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 defaultThemeVersion="124226"/>
  <bookViews>
    <workbookView xWindow="480" yWindow="120" windowWidth="18195" windowHeight="12330" activeTab="6"/>
  </bookViews>
  <sheets>
    <sheet name="CodezAndroid" sheetId="28" r:id="rId1"/>
    <sheet name="5LeverTailRectangle" sheetId="9" r:id="rId2"/>
    <sheet name="CALC60" sheetId="15" r:id="rId3"/>
    <sheet name="5LeverTailRectangle (2)" sheetId="21" r:id="rId4"/>
    <sheet name="Лист3" sheetId="22" r:id="rId5"/>
    <sheet name="Cmnds" sheetId="26" r:id="rId6"/>
    <sheet name="ReCalc" sheetId="27" r:id="rId7"/>
  </sheets>
  <definedNames>
    <definedName name="solver_adj" localSheetId="2" hidden="1">CALC60!$U$6:$V$6</definedName>
    <definedName name="solver_cvg" localSheetId="2" hidden="1">0.0001</definedName>
    <definedName name="solver_drv" localSheetId="2" hidden="1">1</definedName>
    <definedName name="solver_eng" localSheetId="2" hidden="1">2</definedName>
    <definedName name="solver_est" localSheetId="2" hidden="1">1</definedName>
    <definedName name="solver_itr" localSheetId="2" hidden="1">2147483647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2</definedName>
    <definedName name="solver_nod" localSheetId="2" hidden="1">2147483647</definedName>
    <definedName name="solver_num" localSheetId="2" hidden="1">0</definedName>
    <definedName name="solver_nwt" localSheetId="2" hidden="1">1</definedName>
    <definedName name="solver_opt" localSheetId="2" hidden="1">CALC60!$T$6</definedName>
    <definedName name="solver_pre" localSheetId="2" hidden="1">0.000001</definedName>
    <definedName name="solver_rbv" localSheetId="2" hidden="1">1</definedName>
    <definedName name="solver_rlx" localSheetId="2" hidden="1">2</definedName>
    <definedName name="solver_rsd" localSheetId="2" hidden="1">0</definedName>
    <definedName name="solver_scl" localSheetId="2" hidden="1">1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2</definedName>
    <definedName name="solver_val" localSheetId="2" hidden="1">0</definedName>
    <definedName name="solver_ver" localSheetId="2" hidden="1">3</definedName>
  </definedNames>
  <calcPr calcId="145621"/>
</workbook>
</file>

<file path=xl/calcChain.xml><?xml version="1.0" encoding="utf-8"?>
<calcChain xmlns="http://schemas.openxmlformats.org/spreadsheetml/2006/main">
  <c r="F30" i="27" l="1"/>
  <c r="E30" i="27" s="1"/>
  <c r="F42" i="27"/>
  <c r="E42" i="27" s="1"/>
  <c r="E92" i="28" l="1"/>
  <c r="D92" i="28"/>
  <c r="E91" i="28"/>
  <c r="D91" i="28"/>
  <c r="E90" i="28"/>
  <c r="D90" i="28"/>
  <c r="E89" i="28"/>
  <c r="D89" i="28"/>
  <c r="E88" i="28"/>
  <c r="D88" i="28"/>
  <c r="E87" i="28"/>
  <c r="D87" i="28"/>
  <c r="E86" i="28"/>
  <c r="D86" i="28"/>
  <c r="E85" i="28"/>
  <c r="D85" i="28"/>
  <c r="E84" i="28"/>
  <c r="D84" i="28"/>
  <c r="F83" i="28"/>
  <c r="E83" i="28" s="1"/>
  <c r="D83" i="28"/>
  <c r="F82" i="28"/>
  <c r="E82" i="28"/>
  <c r="D82" i="28"/>
  <c r="F81" i="28"/>
  <c r="E81" i="28" s="1"/>
  <c r="E80" i="28"/>
  <c r="D80" i="28"/>
  <c r="E54" i="28"/>
  <c r="F53" i="28"/>
  <c r="E53" i="28" s="1"/>
  <c r="E38" i="28"/>
  <c r="E35" i="28"/>
  <c r="F29" i="28"/>
  <c r="E29" i="28" s="1"/>
  <c r="C50" i="28" s="1"/>
  <c r="F52" i="28"/>
  <c r="E52" i="28" s="1"/>
  <c r="C49" i="28" s="1"/>
  <c r="F51" i="28"/>
  <c r="E51" i="28" s="1"/>
  <c r="C48" i="28" s="1"/>
  <c r="F50" i="28"/>
  <c r="E50" i="28"/>
  <c r="F49" i="28"/>
  <c r="E49" i="28" s="1"/>
  <c r="F48" i="28"/>
  <c r="E48" i="28" s="1"/>
  <c r="F47" i="28"/>
  <c r="E47" i="28"/>
  <c r="F46" i="28"/>
  <c r="E46" i="28" s="1"/>
  <c r="F45" i="28"/>
  <c r="E45" i="28" s="1"/>
  <c r="F44" i="28"/>
  <c r="E44" i="28" s="1"/>
  <c r="C41" i="28" s="1"/>
  <c r="F43" i="28"/>
  <c r="E43" i="28" s="1"/>
  <c r="C40" i="28" s="1"/>
  <c r="F42" i="28"/>
  <c r="E42" i="28"/>
  <c r="F41" i="28"/>
  <c r="E41" i="28" s="1"/>
  <c r="F40" i="28"/>
  <c r="E40" i="28" s="1"/>
  <c r="F39" i="28"/>
  <c r="E39" i="28"/>
  <c r="C36" i="28" s="1"/>
  <c r="F37" i="28"/>
  <c r="E37" i="28" s="1"/>
  <c r="F36" i="28"/>
  <c r="E36" i="28" s="1"/>
  <c r="F34" i="28"/>
  <c r="E34" i="28" s="1"/>
  <c r="F33" i="28"/>
  <c r="E33" i="28" s="1"/>
  <c r="C32" i="28" s="1"/>
  <c r="F32" i="28"/>
  <c r="E32" i="28"/>
  <c r="F31" i="28"/>
  <c r="E31" i="28" s="1"/>
  <c r="F30" i="28"/>
  <c r="E30" i="28" s="1"/>
  <c r="F28" i="28"/>
  <c r="E28" i="28"/>
  <c r="F27" i="28"/>
  <c r="E27" i="28" s="1"/>
  <c r="F26" i="28"/>
  <c r="E26" i="28" s="1"/>
  <c r="E25" i="28"/>
  <c r="D25" i="28" s="1"/>
  <c r="U19" i="28"/>
  <c r="T19" i="28"/>
  <c r="S19" i="28"/>
  <c r="R19" i="28"/>
  <c r="Q19" i="28"/>
  <c r="P19" i="28"/>
  <c r="O19" i="28"/>
  <c r="N19" i="28"/>
  <c r="M19" i="28"/>
  <c r="L19" i="28"/>
  <c r="K19" i="28"/>
  <c r="J19" i="28"/>
  <c r="I19" i="28"/>
  <c r="H19" i="28"/>
  <c r="G19" i="28"/>
  <c r="F19" i="28"/>
  <c r="U18" i="28"/>
  <c r="T18" i="28"/>
  <c r="S18" i="28"/>
  <c r="R18" i="28"/>
  <c r="Q18" i="28"/>
  <c r="P18" i="28"/>
  <c r="O18" i="28"/>
  <c r="N18" i="28"/>
  <c r="M18" i="28"/>
  <c r="L18" i="28"/>
  <c r="K18" i="28"/>
  <c r="J18" i="28"/>
  <c r="I18" i="28"/>
  <c r="H18" i="28"/>
  <c r="G18" i="28"/>
  <c r="F18" i="28"/>
  <c r="C28" i="28" l="1"/>
  <c r="C29" i="28"/>
  <c r="C37" i="28"/>
  <c r="C45" i="28"/>
  <c r="C33" i="28"/>
  <c r="C44" i="28"/>
  <c r="C26" i="28"/>
  <c r="C27" i="28"/>
  <c r="C43" i="28"/>
  <c r="C42" i="28"/>
  <c r="C31" i="28"/>
  <c r="C30" i="28"/>
  <c r="C38" i="28"/>
  <c r="C39" i="28"/>
  <c r="C35" i="28"/>
  <c r="C34" i="28"/>
  <c r="C47" i="28"/>
  <c r="C46" i="28"/>
  <c r="D81" i="28"/>
  <c r="F35" i="27" l="1"/>
  <c r="E35" i="27" s="1"/>
  <c r="F48" i="27"/>
  <c r="E48" i="27" s="1"/>
  <c r="F49" i="27"/>
  <c r="E49" i="27" s="1"/>
  <c r="C49" i="27" s="1"/>
  <c r="F50" i="27"/>
  <c r="E50" i="27" s="1"/>
  <c r="C50" i="27" s="1"/>
  <c r="E51" i="27"/>
  <c r="F53" i="27"/>
  <c r="E52" i="27"/>
  <c r="E53" i="27"/>
  <c r="E54" i="27"/>
  <c r="E25" i="27"/>
  <c r="D25" i="27" s="1"/>
  <c r="F27" i="27"/>
  <c r="E27" i="27" s="1"/>
  <c r="F28" i="27"/>
  <c r="E28" i="27" s="1"/>
  <c r="F29" i="27"/>
  <c r="E29" i="27" s="1"/>
  <c r="F31" i="27"/>
  <c r="E31" i="27" s="1"/>
  <c r="F32" i="27"/>
  <c r="E32" i="27" s="1"/>
  <c r="C32" i="27" s="1"/>
  <c r="F33" i="27"/>
  <c r="E33" i="27" s="1"/>
  <c r="F34" i="27"/>
  <c r="E34" i="27" s="1"/>
  <c r="F36" i="27"/>
  <c r="E36" i="27" s="1"/>
  <c r="C36" i="27" s="1"/>
  <c r="F37" i="27"/>
  <c r="E37" i="27" s="1"/>
  <c r="C37" i="27" s="1"/>
  <c r="F39" i="27"/>
  <c r="E39" i="27" s="1"/>
  <c r="F40" i="27"/>
  <c r="E40" i="27" s="1"/>
  <c r="F43" i="27"/>
  <c r="E43" i="27" s="1"/>
  <c r="C43" i="27" s="1"/>
  <c r="F44" i="27"/>
  <c r="E44" i="27" s="1"/>
  <c r="C44" i="27" s="1"/>
  <c r="F45" i="27"/>
  <c r="E45" i="27" s="1"/>
  <c r="F46" i="27"/>
  <c r="E46" i="27" s="1"/>
  <c r="F47" i="27"/>
  <c r="E47" i="27" s="1"/>
  <c r="F38" i="27"/>
  <c r="E38" i="27" s="1"/>
  <c r="C38" i="27" s="1"/>
  <c r="F41" i="27"/>
  <c r="E41" i="27" s="1"/>
  <c r="C42" i="27" s="1"/>
  <c r="F26" i="27"/>
  <c r="E26" i="27" s="1"/>
  <c r="C26" i="27" s="1"/>
  <c r="C40" i="27" l="1"/>
  <c r="C29" i="27"/>
  <c r="C30" i="27"/>
  <c r="C33" i="27"/>
  <c r="C28" i="27"/>
  <c r="C39" i="27"/>
  <c r="C45" i="27"/>
  <c r="C46" i="27"/>
  <c r="C27" i="27"/>
  <c r="C34" i="27"/>
  <c r="C47" i="27"/>
  <c r="C48" i="27"/>
  <c r="C41" i="27"/>
  <c r="C35" i="27"/>
  <c r="C31" i="27"/>
  <c r="D81" i="27"/>
  <c r="D82" i="27"/>
  <c r="D84" i="27"/>
  <c r="D85" i="27"/>
  <c r="D86" i="27"/>
  <c r="D87" i="27"/>
  <c r="D88" i="27"/>
  <c r="D89" i="27"/>
  <c r="D90" i="27"/>
  <c r="D91" i="27"/>
  <c r="D92" i="27"/>
  <c r="D80" i="27"/>
  <c r="F83" i="27"/>
  <c r="E83" i="27" s="1"/>
  <c r="F82" i="27"/>
  <c r="E82" i="27" s="1"/>
  <c r="F81" i="27"/>
  <c r="E81" i="27" s="1"/>
  <c r="E84" i="27"/>
  <c r="E85" i="27"/>
  <c r="E86" i="27"/>
  <c r="E87" i="27"/>
  <c r="E88" i="27"/>
  <c r="E89" i="27"/>
  <c r="E90" i="27"/>
  <c r="E91" i="27"/>
  <c r="E92" i="27"/>
  <c r="E80" i="27"/>
  <c r="D83" i="27" l="1"/>
  <c r="E59" i="26"/>
  <c r="D59" i="26"/>
  <c r="E58" i="26"/>
  <c r="D58" i="26"/>
  <c r="E54" i="26"/>
  <c r="D54" i="26"/>
  <c r="E53" i="26"/>
  <c r="D53" i="26"/>
  <c r="E30" i="26"/>
  <c r="D30" i="26"/>
  <c r="E29" i="26"/>
  <c r="D29" i="26"/>
  <c r="U1" i="15"/>
  <c r="E60" i="26" l="1"/>
  <c r="D60" i="26"/>
  <c r="E56" i="26"/>
  <c r="D31" i="26"/>
  <c r="D56" i="26"/>
  <c r="E31" i="26"/>
  <c r="E21" i="15"/>
  <c r="U7" i="15" l="1"/>
  <c r="U8" i="15" s="1"/>
  <c r="U9" i="15" s="1"/>
  <c r="U10" i="15" s="1"/>
  <c r="U11" i="15" s="1"/>
  <c r="U12" i="15" s="1"/>
  <c r="U13" i="15" s="1"/>
  <c r="U14" i="15" s="1"/>
  <c r="U15" i="15" s="1"/>
  <c r="U16" i="15" s="1"/>
  <c r="U17" i="15" s="1"/>
  <c r="U18" i="15" s="1"/>
  <c r="F19" i="27"/>
  <c r="G19" i="27"/>
  <c r="H19" i="27"/>
  <c r="I19" i="27"/>
  <c r="J19" i="27"/>
  <c r="K19" i="27"/>
  <c r="L19" i="27"/>
  <c r="M19" i="27"/>
  <c r="N19" i="27"/>
  <c r="O19" i="27"/>
  <c r="P19" i="27"/>
  <c r="Q19" i="27"/>
  <c r="R19" i="27"/>
  <c r="S19" i="27"/>
  <c r="T19" i="27"/>
  <c r="U19" i="27"/>
  <c r="G18" i="27"/>
  <c r="H18" i="27"/>
  <c r="I18" i="27"/>
  <c r="J18" i="27"/>
  <c r="K18" i="27"/>
  <c r="L18" i="27"/>
  <c r="M18" i="27"/>
  <c r="N18" i="27"/>
  <c r="O18" i="27"/>
  <c r="P18" i="27"/>
  <c r="Q18" i="27"/>
  <c r="R18" i="27"/>
  <c r="S18" i="27"/>
  <c r="T18" i="27"/>
  <c r="U18" i="27"/>
  <c r="F18" i="27"/>
  <c r="E24" i="26" l="1"/>
  <c r="E25" i="26"/>
  <c r="E27" i="26" s="1"/>
  <c r="D25" i="26"/>
  <c r="D24" i="26"/>
  <c r="I47" i="26" l="1"/>
  <c r="K47" i="26" s="1"/>
  <c r="I43" i="26"/>
  <c r="K43" i="26" s="1"/>
  <c r="I39" i="26"/>
  <c r="K39" i="26" s="1"/>
  <c r="I11" i="26"/>
  <c r="K11" i="26" s="1"/>
  <c r="I15" i="26"/>
  <c r="K15" i="26" s="1"/>
  <c r="I19" i="26"/>
  <c r="K19" i="26" s="1"/>
  <c r="I7" i="26"/>
  <c r="I51" i="26"/>
  <c r="K51" i="26" s="1"/>
  <c r="I48" i="26"/>
  <c r="K48" i="26" s="1"/>
  <c r="I44" i="26"/>
  <c r="K44" i="26" s="1"/>
  <c r="I40" i="26"/>
  <c r="K40" i="26" s="1"/>
  <c r="I36" i="26"/>
  <c r="K36" i="26" s="1"/>
  <c r="I8" i="26"/>
  <c r="K8" i="26" s="1"/>
  <c r="I12" i="26"/>
  <c r="K12" i="26" s="1"/>
  <c r="I16" i="26"/>
  <c r="K16" i="26" s="1"/>
  <c r="I20" i="26"/>
  <c r="K20" i="26" s="1"/>
  <c r="I49" i="26"/>
  <c r="K49" i="26" s="1"/>
  <c r="I45" i="26"/>
  <c r="K45" i="26" s="1"/>
  <c r="I41" i="26"/>
  <c r="K41" i="26" s="1"/>
  <c r="I37" i="26"/>
  <c r="K37" i="26" s="1"/>
  <c r="I9" i="26"/>
  <c r="K9" i="26" s="1"/>
  <c r="I13" i="26"/>
  <c r="K13" i="26" s="1"/>
  <c r="I17" i="26"/>
  <c r="K17" i="26" s="1"/>
  <c r="I21" i="26"/>
  <c r="K21" i="26" s="1"/>
  <c r="I50" i="26"/>
  <c r="K50" i="26" s="1"/>
  <c r="I46" i="26"/>
  <c r="K46" i="26" s="1"/>
  <c r="I42" i="26"/>
  <c r="K42" i="26" s="1"/>
  <c r="I38" i="26"/>
  <c r="K38" i="26" s="1"/>
  <c r="I10" i="26"/>
  <c r="K10" i="26" s="1"/>
  <c r="I14" i="26"/>
  <c r="K14" i="26" s="1"/>
  <c r="I18" i="26"/>
  <c r="K18" i="26" s="1"/>
  <c r="I22" i="26"/>
  <c r="K22" i="26" s="1"/>
  <c r="D27" i="26"/>
  <c r="H50" i="26"/>
  <c r="J50" i="26" s="1"/>
  <c r="H46" i="26"/>
  <c r="J46" i="26" s="1"/>
  <c r="H42" i="26"/>
  <c r="J42" i="26" s="1"/>
  <c r="H38" i="26"/>
  <c r="J38" i="26" s="1"/>
  <c r="H11" i="26"/>
  <c r="J11" i="26" s="1"/>
  <c r="H15" i="26"/>
  <c r="J15" i="26" s="1"/>
  <c r="H19" i="26"/>
  <c r="J19" i="26" s="1"/>
  <c r="H7" i="26"/>
  <c r="H47" i="26"/>
  <c r="J47" i="26" s="1"/>
  <c r="H43" i="26"/>
  <c r="J43" i="26" s="1"/>
  <c r="H39" i="26"/>
  <c r="J39" i="26" s="1"/>
  <c r="H8" i="26"/>
  <c r="J8" i="26" s="1"/>
  <c r="H12" i="26"/>
  <c r="J12" i="26" s="1"/>
  <c r="H16" i="26"/>
  <c r="J16" i="26" s="1"/>
  <c r="H20" i="26"/>
  <c r="J20" i="26" s="1"/>
  <c r="H10" i="26"/>
  <c r="J10" i="26" s="1"/>
  <c r="H14" i="26"/>
  <c r="J14" i="26" s="1"/>
  <c r="H22" i="26"/>
  <c r="J22" i="26" s="1"/>
  <c r="H51" i="26"/>
  <c r="J51" i="26" s="1"/>
  <c r="H48" i="26"/>
  <c r="J48" i="26" s="1"/>
  <c r="H44" i="26"/>
  <c r="J44" i="26" s="1"/>
  <c r="H40" i="26"/>
  <c r="J40" i="26" s="1"/>
  <c r="H36" i="26"/>
  <c r="J36" i="26" s="1"/>
  <c r="H9" i="26"/>
  <c r="J9" i="26" s="1"/>
  <c r="H13" i="26"/>
  <c r="J13" i="26" s="1"/>
  <c r="H17" i="26"/>
  <c r="J17" i="26" s="1"/>
  <c r="H21" i="26"/>
  <c r="J21" i="26" s="1"/>
  <c r="H49" i="26"/>
  <c r="J49" i="26" s="1"/>
  <c r="H45" i="26"/>
  <c r="J45" i="26" s="1"/>
  <c r="H41" i="26"/>
  <c r="J41" i="26" s="1"/>
  <c r="H37" i="26"/>
  <c r="J37" i="26" s="1"/>
  <c r="H18" i="26"/>
  <c r="J18" i="26" s="1"/>
  <c r="Q41" i="22"/>
  <c r="R41" i="22"/>
  <c r="S41" i="22"/>
  <c r="Q42" i="22"/>
  <c r="R42" i="22"/>
  <c r="S42" i="22"/>
  <c r="Q43" i="22"/>
  <c r="R43" i="22"/>
  <c r="S43" i="22"/>
  <c r="Q44" i="22"/>
  <c r="R44" i="22"/>
  <c r="S44" i="22"/>
  <c r="Q45" i="22"/>
  <c r="R45" i="22"/>
  <c r="S45" i="22"/>
  <c r="Q46" i="22"/>
  <c r="R46" i="22"/>
  <c r="S46" i="22"/>
  <c r="Q47" i="22"/>
  <c r="R47" i="22"/>
  <c r="S47" i="22"/>
  <c r="Q48" i="22"/>
  <c r="R48" i="22"/>
  <c r="S48" i="22"/>
  <c r="Q49" i="22"/>
  <c r="R49" i="22"/>
  <c r="S49" i="22"/>
  <c r="Q50" i="22"/>
  <c r="R50" i="22"/>
  <c r="S50" i="22"/>
  <c r="Q51" i="22"/>
  <c r="R51" i="22"/>
  <c r="S51" i="22"/>
  <c r="Q52" i="22"/>
  <c r="R52" i="22"/>
  <c r="S52" i="22"/>
  <c r="Q53" i="22"/>
  <c r="R53" i="22"/>
  <c r="S53" i="22"/>
  <c r="Q54" i="22"/>
  <c r="R54" i="22"/>
  <c r="S54" i="22"/>
  <c r="Q55" i="22"/>
  <c r="R55" i="22"/>
  <c r="S55" i="22"/>
  <c r="Q56" i="22"/>
  <c r="R56" i="22"/>
  <c r="S56" i="22"/>
  <c r="Q57" i="22"/>
  <c r="R57" i="22"/>
  <c r="S57" i="22"/>
  <c r="Q58" i="22"/>
  <c r="R58" i="22"/>
  <c r="S58" i="22"/>
  <c r="Q59" i="22"/>
  <c r="R59" i="22"/>
  <c r="S59" i="22"/>
  <c r="Q60" i="22"/>
  <c r="R60" i="22"/>
  <c r="S60" i="22"/>
  <c r="Q61" i="22"/>
  <c r="R61" i="22"/>
  <c r="S61" i="22"/>
  <c r="Q62" i="22"/>
  <c r="R62" i="22"/>
  <c r="S62" i="22"/>
  <c r="Q63" i="22"/>
  <c r="R63" i="22"/>
  <c r="S63" i="22"/>
  <c r="Q64" i="22"/>
  <c r="R64" i="22"/>
  <c r="S64" i="22"/>
  <c r="Q65" i="22"/>
  <c r="R65" i="22"/>
  <c r="S65" i="22"/>
  <c r="Q66" i="22"/>
  <c r="R66" i="22"/>
  <c r="S66" i="22"/>
  <c r="Q67" i="22"/>
  <c r="R67" i="22"/>
  <c r="S67" i="22"/>
  <c r="Q68" i="22"/>
  <c r="R68" i="22"/>
  <c r="S68" i="22"/>
  <c r="Q69" i="22"/>
  <c r="R69" i="22"/>
  <c r="S69" i="22"/>
  <c r="Q70" i="22"/>
  <c r="R70" i="22"/>
  <c r="S70" i="22"/>
  <c r="Q71" i="22"/>
  <c r="R71" i="22"/>
  <c r="S71" i="22"/>
  <c r="Q72" i="22"/>
  <c r="R72" i="22"/>
  <c r="S72" i="22"/>
  <c r="Q73" i="22"/>
  <c r="R73" i="22"/>
  <c r="S73" i="22"/>
  <c r="Q74" i="22"/>
  <c r="R74" i="22"/>
  <c r="S74" i="22"/>
  <c r="Q75" i="22"/>
  <c r="R75" i="22"/>
  <c r="S75" i="22"/>
  <c r="Q76" i="22"/>
  <c r="R76" i="22"/>
  <c r="S76" i="22"/>
  <c r="Q77" i="22"/>
  <c r="R77" i="22"/>
  <c r="S77" i="22"/>
  <c r="Q78" i="22"/>
  <c r="R78" i="22"/>
  <c r="S78" i="22"/>
  <c r="Q79" i="22"/>
  <c r="R79" i="22"/>
  <c r="S79" i="22"/>
  <c r="Q80" i="22"/>
  <c r="R80" i="22"/>
  <c r="S80" i="22"/>
  <c r="Q81" i="22"/>
  <c r="R81" i="22"/>
  <c r="S81" i="22"/>
  <c r="Q82" i="22"/>
  <c r="R82" i="22"/>
  <c r="S82" i="22"/>
  <c r="Q83" i="22"/>
  <c r="R83" i="22"/>
  <c r="S83" i="22"/>
  <c r="Q84" i="22"/>
  <c r="R84" i="22"/>
  <c r="S84" i="22"/>
  <c r="Q85" i="22"/>
  <c r="R85" i="22"/>
  <c r="S85" i="22"/>
  <c r="Q86" i="22"/>
  <c r="R86" i="22"/>
  <c r="S86" i="22"/>
  <c r="Q87" i="22"/>
  <c r="R87" i="22"/>
  <c r="S87" i="22"/>
  <c r="Q88" i="22"/>
  <c r="R88" i="22"/>
  <c r="S88" i="22"/>
  <c r="Q89" i="22"/>
  <c r="R89" i="22"/>
  <c r="S89" i="22"/>
  <c r="Q90" i="22"/>
  <c r="R90" i="22"/>
  <c r="S90" i="22"/>
  <c r="Q91" i="22"/>
  <c r="R91" i="22"/>
  <c r="S91" i="22"/>
  <c r="Q92" i="22"/>
  <c r="R92" i="22"/>
  <c r="S92" i="22"/>
  <c r="Q93" i="22"/>
  <c r="R93" i="22"/>
  <c r="S93" i="22"/>
  <c r="Q94" i="22"/>
  <c r="R94" i="22"/>
  <c r="S94" i="22"/>
  <c r="Q95" i="22"/>
  <c r="R95" i="22"/>
  <c r="S95" i="22"/>
  <c r="Q96" i="22"/>
  <c r="R96" i="22"/>
  <c r="S96" i="22"/>
  <c r="Q97" i="22"/>
  <c r="R97" i="22"/>
  <c r="S97" i="22"/>
  <c r="Q98" i="22"/>
  <c r="R98" i="22"/>
  <c r="S98" i="22"/>
  <c r="Q99" i="22"/>
  <c r="R99" i="22"/>
  <c r="S99" i="22"/>
  <c r="Q100" i="22"/>
  <c r="R100" i="22"/>
  <c r="S100" i="22"/>
  <c r="Q101" i="22"/>
  <c r="R101" i="22"/>
  <c r="S101" i="22"/>
  <c r="S40" i="22"/>
  <c r="R40" i="22"/>
  <c r="Q40" i="22"/>
  <c r="P40" i="22"/>
  <c r="D36" i="22"/>
  <c r="D35" i="22"/>
  <c r="J7" i="26" l="1"/>
  <c r="H30" i="26"/>
  <c r="H29" i="26"/>
  <c r="K7" i="26"/>
  <c r="I29" i="26"/>
  <c r="I30" i="26"/>
  <c r="K12" i="22"/>
  <c r="K13" i="22"/>
  <c r="K14" i="22"/>
  <c r="K15" i="22"/>
  <c r="K16" i="22"/>
  <c r="K17" i="22"/>
  <c r="K18" i="22"/>
  <c r="K19" i="22"/>
  <c r="K20" i="22"/>
  <c r="K21" i="22"/>
  <c r="K22" i="22"/>
  <c r="K23" i="22"/>
  <c r="K24" i="22"/>
  <c r="K25" i="22"/>
  <c r="K26" i="22"/>
  <c r="K27" i="22"/>
  <c r="K28" i="22"/>
  <c r="K29" i="22"/>
  <c r="K30" i="22"/>
  <c r="K31" i="22"/>
  <c r="K11" i="22"/>
  <c r="H12" i="22"/>
  <c r="I12" i="22"/>
  <c r="H13" i="22"/>
  <c r="I13" i="22"/>
  <c r="H14" i="22"/>
  <c r="I14" i="22"/>
  <c r="H15" i="22"/>
  <c r="I15" i="22"/>
  <c r="H16" i="22"/>
  <c r="I16" i="22"/>
  <c r="H17" i="22"/>
  <c r="I17" i="22"/>
  <c r="H18" i="22"/>
  <c r="I18" i="22"/>
  <c r="H19" i="22"/>
  <c r="I19" i="22"/>
  <c r="H20" i="22"/>
  <c r="I20" i="22"/>
  <c r="H21" i="22"/>
  <c r="I21" i="22"/>
  <c r="H22" i="22"/>
  <c r="I22" i="22"/>
  <c r="H23" i="22"/>
  <c r="I23" i="22"/>
  <c r="H24" i="22"/>
  <c r="I24" i="22"/>
  <c r="H25" i="22"/>
  <c r="I25" i="22"/>
  <c r="H26" i="22"/>
  <c r="I26" i="22"/>
  <c r="H27" i="22"/>
  <c r="I27" i="22"/>
  <c r="H28" i="22"/>
  <c r="I28" i="22"/>
  <c r="H29" i="22"/>
  <c r="I29" i="22"/>
  <c r="H30" i="22"/>
  <c r="I30" i="22"/>
  <c r="H31" i="22"/>
  <c r="I31" i="22"/>
  <c r="H11" i="22"/>
  <c r="I11" i="22"/>
  <c r="K30" i="26" l="1"/>
  <c r="K29" i="26"/>
  <c r="J30" i="26"/>
  <c r="J29" i="26"/>
  <c r="U32" i="21"/>
  <c r="U33" i="21" s="1"/>
  <c r="U34" i="21" s="1"/>
  <c r="U35" i="21" s="1"/>
  <c r="U36" i="21" s="1"/>
  <c r="U37" i="21" s="1"/>
  <c r="U31" i="21"/>
  <c r="U23" i="21"/>
  <c r="U24" i="21" s="1"/>
  <c r="U25" i="21" s="1"/>
  <c r="U26" i="21" s="1"/>
  <c r="U27" i="21" s="1"/>
  <c r="U28" i="21" s="1"/>
  <c r="U29" i="21" s="1"/>
  <c r="U16" i="21"/>
  <c r="U17" i="21" s="1"/>
  <c r="U18" i="21" s="1"/>
  <c r="U19" i="21" s="1"/>
  <c r="U20" i="21" s="1"/>
  <c r="U21" i="21" s="1"/>
  <c r="AA1" i="21"/>
  <c r="Z2" i="21"/>
  <c r="Z1" i="21"/>
  <c r="U38" i="21" l="1"/>
  <c r="U39" i="21" s="1"/>
  <c r="U40" i="21" s="1"/>
  <c r="U41" i="21" s="1"/>
  <c r="E21" i="21" l="1"/>
  <c r="Y3" i="22" l="1"/>
  <c r="Z3" i="22"/>
  <c r="AA3" i="22"/>
  <c r="AB3" i="22"/>
  <c r="AC3" i="22"/>
  <c r="AD3" i="22"/>
  <c r="AE3" i="22"/>
  <c r="AF3" i="22"/>
  <c r="AG3" i="22"/>
  <c r="AH3" i="22"/>
  <c r="AI3" i="22"/>
  <c r="AJ3" i="22"/>
  <c r="AL3" i="22"/>
  <c r="AM3" i="22"/>
  <c r="X3" i="22"/>
  <c r="AK3" i="22" s="1"/>
  <c r="H3" i="22"/>
  <c r="D3" i="22"/>
  <c r="AL220" i="21"/>
  <c r="AK220" i="21"/>
  <c r="AJ220" i="21"/>
  <c r="AI220" i="21"/>
  <c r="AL219" i="21"/>
  <c r="AK219" i="21"/>
  <c r="AJ219" i="21"/>
  <c r="AI219" i="21"/>
  <c r="AL218" i="21"/>
  <c r="AK218" i="21"/>
  <c r="AJ218" i="21"/>
  <c r="AI218" i="21"/>
  <c r="Z218" i="21"/>
  <c r="Y218" i="21"/>
  <c r="AA218" i="21" s="1"/>
  <c r="X218" i="21"/>
  <c r="AL217" i="21"/>
  <c r="AK217" i="21"/>
  <c r="AJ217" i="21"/>
  <c r="AI217" i="21"/>
  <c r="Z217" i="21"/>
  <c r="Y217" i="21"/>
  <c r="AA217" i="21" s="1"/>
  <c r="X217" i="21"/>
  <c r="AL216" i="21"/>
  <c r="AK216" i="21"/>
  <c r="AJ216" i="21"/>
  <c r="AI216" i="21"/>
  <c r="Z216" i="21"/>
  <c r="Y216" i="21"/>
  <c r="AA216" i="21" s="1"/>
  <c r="X216" i="21"/>
  <c r="AL215" i="21"/>
  <c r="AK215" i="21"/>
  <c r="AJ215" i="21"/>
  <c r="AI215" i="21"/>
  <c r="Z215" i="21"/>
  <c r="Y215" i="21"/>
  <c r="AA215" i="21" s="1"/>
  <c r="W215" i="21" s="1"/>
  <c r="X215" i="21"/>
  <c r="AL214" i="21"/>
  <c r="AK214" i="21"/>
  <c r="AJ214" i="21"/>
  <c r="AI214" i="21"/>
  <c r="Z214" i="21"/>
  <c r="Y214" i="21"/>
  <c r="AA214" i="21" s="1"/>
  <c r="X214" i="21"/>
  <c r="AL213" i="21"/>
  <c r="AK213" i="21"/>
  <c r="AJ213" i="21"/>
  <c r="AI213" i="21"/>
  <c r="Z213" i="21"/>
  <c r="Y213" i="21"/>
  <c r="AA213" i="21" s="1"/>
  <c r="X213" i="21"/>
  <c r="AL212" i="21"/>
  <c r="AK212" i="21"/>
  <c r="AJ212" i="21"/>
  <c r="AI212" i="21"/>
  <c r="Z212" i="21"/>
  <c r="Y212" i="21"/>
  <c r="AA212" i="21" s="1"/>
  <c r="X212" i="21"/>
  <c r="AL211" i="21"/>
  <c r="AK211" i="21"/>
  <c r="AJ211" i="21"/>
  <c r="AI211" i="21"/>
  <c r="Z211" i="21"/>
  <c r="Y211" i="21"/>
  <c r="AA211" i="21" s="1"/>
  <c r="W211" i="21" s="1"/>
  <c r="X211" i="21"/>
  <c r="AL210" i="21"/>
  <c r="AK210" i="21"/>
  <c r="AJ210" i="21"/>
  <c r="AI210" i="21"/>
  <c r="Z210" i="21"/>
  <c r="Y210" i="21"/>
  <c r="AA210" i="21" s="1"/>
  <c r="X210" i="21"/>
  <c r="AL209" i="21"/>
  <c r="AK209" i="21"/>
  <c r="AJ209" i="21"/>
  <c r="AI209" i="21"/>
  <c r="Z209" i="21"/>
  <c r="Y209" i="21"/>
  <c r="AA209" i="21" s="1"/>
  <c r="X209" i="21"/>
  <c r="AL208" i="21"/>
  <c r="AK208" i="21"/>
  <c r="AJ208" i="21"/>
  <c r="AI208" i="21"/>
  <c r="Z208" i="21"/>
  <c r="Y208" i="21"/>
  <c r="AA208" i="21" s="1"/>
  <c r="X208" i="21"/>
  <c r="AL207" i="21"/>
  <c r="AK207" i="21"/>
  <c r="AJ207" i="21"/>
  <c r="AI207" i="21"/>
  <c r="Z207" i="21"/>
  <c r="Y207" i="21"/>
  <c r="AA207" i="21" s="1"/>
  <c r="W207" i="21" s="1"/>
  <c r="X207" i="21"/>
  <c r="AL206" i="21"/>
  <c r="AK206" i="21"/>
  <c r="AJ206" i="21"/>
  <c r="AI206" i="21"/>
  <c r="Z206" i="21"/>
  <c r="Y206" i="21"/>
  <c r="AA206" i="21" s="1"/>
  <c r="X206" i="21"/>
  <c r="AL205" i="21"/>
  <c r="AK205" i="21"/>
  <c r="AJ205" i="21"/>
  <c r="AI205" i="21"/>
  <c r="Z205" i="21"/>
  <c r="Y205" i="21"/>
  <c r="AA205" i="21" s="1"/>
  <c r="X205" i="21"/>
  <c r="AL204" i="21"/>
  <c r="AK204" i="21"/>
  <c r="AJ204" i="21"/>
  <c r="AI204" i="21"/>
  <c r="Z204" i="21"/>
  <c r="Y204" i="21"/>
  <c r="AA204" i="21" s="1"/>
  <c r="X204" i="21"/>
  <c r="AL203" i="21"/>
  <c r="AK203" i="21"/>
  <c r="AJ203" i="21"/>
  <c r="AI203" i="21"/>
  <c r="Z203" i="21"/>
  <c r="Y203" i="21"/>
  <c r="AA203" i="21" s="1"/>
  <c r="W203" i="21" s="1"/>
  <c r="X203" i="21"/>
  <c r="AL202" i="21"/>
  <c r="AK202" i="21"/>
  <c r="AJ202" i="21"/>
  <c r="AI202" i="21"/>
  <c r="Z202" i="21"/>
  <c r="Y202" i="21"/>
  <c r="AA202" i="21" s="1"/>
  <c r="X202" i="21"/>
  <c r="AL201" i="21"/>
  <c r="AK201" i="21"/>
  <c r="AJ201" i="21"/>
  <c r="AI201" i="21"/>
  <c r="Z201" i="21"/>
  <c r="Y201" i="21"/>
  <c r="AA201" i="21" s="1"/>
  <c r="X201" i="21"/>
  <c r="AL200" i="21"/>
  <c r="AK200" i="21"/>
  <c r="AJ200" i="21"/>
  <c r="AI200" i="21"/>
  <c r="Z200" i="21"/>
  <c r="Y200" i="21"/>
  <c r="AA200" i="21" s="1"/>
  <c r="X200" i="21"/>
  <c r="AL199" i="21"/>
  <c r="AK199" i="21"/>
  <c r="AJ199" i="21"/>
  <c r="AI199" i="21"/>
  <c r="Z199" i="21"/>
  <c r="Y199" i="21"/>
  <c r="AA199" i="21" s="1"/>
  <c r="X199" i="21"/>
  <c r="AL198" i="21"/>
  <c r="AK198" i="21"/>
  <c r="AJ198" i="21"/>
  <c r="AI198" i="21"/>
  <c r="Z198" i="21"/>
  <c r="Y198" i="21"/>
  <c r="AA198" i="21" s="1"/>
  <c r="X198" i="21"/>
  <c r="AL197" i="21"/>
  <c r="AK197" i="21"/>
  <c r="AJ197" i="21"/>
  <c r="AI197" i="21"/>
  <c r="Z197" i="21"/>
  <c r="Y197" i="21"/>
  <c r="AA197" i="21" s="1"/>
  <c r="X197" i="21"/>
  <c r="AL196" i="21"/>
  <c r="AK196" i="21"/>
  <c r="AJ196" i="21"/>
  <c r="AI196" i="21"/>
  <c r="Z196" i="21"/>
  <c r="Y196" i="21"/>
  <c r="AA196" i="21" s="1"/>
  <c r="X196" i="21"/>
  <c r="AL195" i="21"/>
  <c r="AK195" i="21"/>
  <c r="AJ195" i="21"/>
  <c r="AI195" i="21"/>
  <c r="Z195" i="21"/>
  <c r="Y195" i="21"/>
  <c r="AA195" i="21" s="1"/>
  <c r="W195" i="21" s="1"/>
  <c r="X195" i="21"/>
  <c r="AL194" i="21"/>
  <c r="AK194" i="21"/>
  <c r="AJ194" i="21"/>
  <c r="AI194" i="21"/>
  <c r="Z194" i="21"/>
  <c r="Y194" i="21"/>
  <c r="AA194" i="21" s="1"/>
  <c r="X194" i="21"/>
  <c r="AL193" i="21"/>
  <c r="AK193" i="21"/>
  <c r="AJ193" i="21"/>
  <c r="AI193" i="21"/>
  <c r="Z193" i="21"/>
  <c r="Y193" i="21"/>
  <c r="AA193" i="21" s="1"/>
  <c r="X193" i="21"/>
  <c r="AL192" i="21"/>
  <c r="AK192" i="21"/>
  <c r="AJ192" i="21"/>
  <c r="AI192" i="21"/>
  <c r="Z192" i="21"/>
  <c r="Y192" i="21"/>
  <c r="AA192" i="21" s="1"/>
  <c r="X192" i="21"/>
  <c r="AL191" i="21"/>
  <c r="AK191" i="21"/>
  <c r="AJ191" i="21"/>
  <c r="AI191" i="21"/>
  <c r="Z191" i="21"/>
  <c r="Y191" i="21"/>
  <c r="AA191" i="21" s="1"/>
  <c r="W191" i="21" s="1"/>
  <c r="X191" i="21"/>
  <c r="AL190" i="21"/>
  <c r="AK190" i="21"/>
  <c r="AJ190" i="21"/>
  <c r="AI190" i="21"/>
  <c r="Z190" i="21"/>
  <c r="Y190" i="21"/>
  <c r="AA190" i="21" s="1"/>
  <c r="X190" i="21"/>
  <c r="AL189" i="21"/>
  <c r="AK189" i="21"/>
  <c r="AJ189" i="21"/>
  <c r="AI189" i="21"/>
  <c r="Z189" i="21"/>
  <c r="Y189" i="21"/>
  <c r="AA189" i="21" s="1"/>
  <c r="X189" i="21"/>
  <c r="AL188" i="21"/>
  <c r="AK188" i="21"/>
  <c r="AJ188" i="21"/>
  <c r="AI188" i="21"/>
  <c r="Z188" i="21"/>
  <c r="Y188" i="21"/>
  <c r="AA188" i="21" s="1"/>
  <c r="X188" i="21"/>
  <c r="AL187" i="21"/>
  <c r="AK187" i="21"/>
  <c r="AJ187" i="21"/>
  <c r="AI187" i="21"/>
  <c r="Z187" i="21"/>
  <c r="Y187" i="21"/>
  <c r="AA187" i="21" s="1"/>
  <c r="W187" i="21" s="1"/>
  <c r="X187" i="21"/>
  <c r="AL186" i="21"/>
  <c r="AK186" i="21"/>
  <c r="AJ186" i="21"/>
  <c r="AI186" i="21"/>
  <c r="Z186" i="21"/>
  <c r="Y186" i="21"/>
  <c r="AA186" i="21" s="1"/>
  <c r="X186" i="21"/>
  <c r="AL185" i="21"/>
  <c r="AK185" i="21"/>
  <c r="AJ185" i="21"/>
  <c r="AI185" i="21"/>
  <c r="Z185" i="21"/>
  <c r="Y185" i="21"/>
  <c r="AA185" i="21" s="1"/>
  <c r="X185" i="21"/>
  <c r="AL184" i="21"/>
  <c r="AK184" i="21"/>
  <c r="AJ184" i="21"/>
  <c r="AI184" i="21"/>
  <c r="Z184" i="21"/>
  <c r="Y184" i="21"/>
  <c r="AA184" i="21" s="1"/>
  <c r="X184" i="21"/>
  <c r="AL183" i="21"/>
  <c r="AK183" i="21"/>
  <c r="AJ183" i="21"/>
  <c r="AI183" i="21"/>
  <c r="Z183" i="21"/>
  <c r="Y183" i="21"/>
  <c r="AA183" i="21" s="1"/>
  <c r="W183" i="21" s="1"/>
  <c r="X183" i="21"/>
  <c r="AL182" i="21"/>
  <c r="AK182" i="21"/>
  <c r="AJ182" i="21"/>
  <c r="AI182" i="21"/>
  <c r="Z182" i="21"/>
  <c r="Y182" i="21"/>
  <c r="AA182" i="21" s="1"/>
  <c r="X182" i="21"/>
  <c r="AL181" i="21"/>
  <c r="AK181" i="21"/>
  <c r="AJ181" i="21"/>
  <c r="AI181" i="21"/>
  <c r="Z181" i="21"/>
  <c r="Y181" i="21"/>
  <c r="AA181" i="21" s="1"/>
  <c r="X181" i="21"/>
  <c r="AL180" i="21"/>
  <c r="AK180" i="21"/>
  <c r="AJ180" i="21"/>
  <c r="AI180" i="21"/>
  <c r="Z180" i="21"/>
  <c r="Y180" i="21"/>
  <c r="AA180" i="21" s="1"/>
  <c r="X180" i="21"/>
  <c r="AL179" i="21"/>
  <c r="AK179" i="21"/>
  <c r="AJ179" i="21"/>
  <c r="AI179" i="21"/>
  <c r="Z179" i="21"/>
  <c r="Y179" i="21"/>
  <c r="AA179" i="21" s="1"/>
  <c r="W179" i="21" s="1"/>
  <c r="X179" i="21"/>
  <c r="AL178" i="21"/>
  <c r="AK178" i="21"/>
  <c r="AJ178" i="21"/>
  <c r="AI178" i="21"/>
  <c r="Z178" i="21"/>
  <c r="Y178" i="21"/>
  <c r="AA178" i="21" s="1"/>
  <c r="X178" i="21"/>
  <c r="AL177" i="21"/>
  <c r="AK177" i="21"/>
  <c r="AJ177" i="21"/>
  <c r="AI177" i="21"/>
  <c r="Z177" i="21"/>
  <c r="Y177" i="21"/>
  <c r="AA177" i="21" s="1"/>
  <c r="X177" i="21"/>
  <c r="AL176" i="21"/>
  <c r="AK176" i="21"/>
  <c r="AJ176" i="21"/>
  <c r="AI176" i="21"/>
  <c r="Z176" i="21"/>
  <c r="Y176" i="21"/>
  <c r="AA176" i="21" s="1"/>
  <c r="X176" i="21"/>
  <c r="AL175" i="21"/>
  <c r="AK175" i="21"/>
  <c r="AJ175" i="21"/>
  <c r="AI175" i="21"/>
  <c r="Z175" i="21"/>
  <c r="Y175" i="21"/>
  <c r="AA175" i="21" s="1"/>
  <c r="X175" i="21"/>
  <c r="AL174" i="21"/>
  <c r="AK174" i="21"/>
  <c r="AJ174" i="21"/>
  <c r="AI174" i="21"/>
  <c r="Z174" i="21"/>
  <c r="Y174" i="21"/>
  <c r="AA174" i="21" s="1"/>
  <c r="X174" i="21"/>
  <c r="AL173" i="21"/>
  <c r="AK173" i="21"/>
  <c r="AJ173" i="21"/>
  <c r="AI173" i="21"/>
  <c r="Z173" i="21"/>
  <c r="Y173" i="21"/>
  <c r="AA173" i="21" s="1"/>
  <c r="X173" i="21"/>
  <c r="AL172" i="21"/>
  <c r="AK172" i="21"/>
  <c r="AJ172" i="21"/>
  <c r="AI172" i="21"/>
  <c r="Z172" i="21"/>
  <c r="Y172" i="21"/>
  <c r="AA172" i="21" s="1"/>
  <c r="X172" i="21"/>
  <c r="AL171" i="21"/>
  <c r="AK171" i="21"/>
  <c r="AJ171" i="21"/>
  <c r="AI171" i="21"/>
  <c r="Z171" i="21"/>
  <c r="Y171" i="21"/>
  <c r="AA171" i="21" s="1"/>
  <c r="X171" i="21"/>
  <c r="AL170" i="21"/>
  <c r="AK170" i="21"/>
  <c r="AJ170" i="21"/>
  <c r="AI170" i="21"/>
  <c r="Z170" i="21"/>
  <c r="Y170" i="21"/>
  <c r="AA170" i="21" s="1"/>
  <c r="X170" i="21"/>
  <c r="AL169" i="21"/>
  <c r="AK169" i="21"/>
  <c r="AJ169" i="21"/>
  <c r="AI169" i="21"/>
  <c r="Z169" i="21"/>
  <c r="Y169" i="21"/>
  <c r="AA169" i="21" s="1"/>
  <c r="X169" i="21"/>
  <c r="AL168" i="21"/>
  <c r="AK168" i="21"/>
  <c r="AJ168" i="21"/>
  <c r="AI168" i="21"/>
  <c r="Z168" i="21"/>
  <c r="Y168" i="21"/>
  <c r="AA168" i="21" s="1"/>
  <c r="X168" i="21"/>
  <c r="AL167" i="21"/>
  <c r="AK167" i="21"/>
  <c r="AJ167" i="21"/>
  <c r="AI167" i="21"/>
  <c r="Z167" i="21"/>
  <c r="Y167" i="21"/>
  <c r="AA167" i="21" s="1"/>
  <c r="X167" i="21"/>
  <c r="AL166" i="21"/>
  <c r="AK166" i="21"/>
  <c r="AJ166" i="21"/>
  <c r="AI166" i="21"/>
  <c r="Z166" i="21"/>
  <c r="Y166" i="21"/>
  <c r="AA166" i="21" s="1"/>
  <c r="X166" i="21"/>
  <c r="AL165" i="21"/>
  <c r="AK165" i="21"/>
  <c r="AJ165" i="21"/>
  <c r="AI165" i="21"/>
  <c r="Z165" i="21"/>
  <c r="Y165" i="21"/>
  <c r="AA165" i="21" s="1"/>
  <c r="X165" i="21"/>
  <c r="AL164" i="21"/>
  <c r="AK164" i="21"/>
  <c r="AJ164" i="21"/>
  <c r="AI164" i="21"/>
  <c r="Z164" i="21"/>
  <c r="Y164" i="21"/>
  <c r="AA164" i="21" s="1"/>
  <c r="X164" i="21"/>
  <c r="AL163" i="21"/>
  <c r="AK163" i="21"/>
  <c r="AJ163" i="21"/>
  <c r="AI163" i="21"/>
  <c r="Z163" i="21"/>
  <c r="Y163" i="21"/>
  <c r="AA163" i="21" s="1"/>
  <c r="X163" i="21"/>
  <c r="AL162" i="21"/>
  <c r="AK162" i="21"/>
  <c r="AJ162" i="21"/>
  <c r="AI162" i="21"/>
  <c r="Z162" i="21"/>
  <c r="Y162" i="21"/>
  <c r="AA162" i="21" s="1"/>
  <c r="X162" i="21"/>
  <c r="AL161" i="21"/>
  <c r="AK161" i="21"/>
  <c r="AJ161" i="21"/>
  <c r="AI161" i="21"/>
  <c r="Z161" i="21"/>
  <c r="Y161" i="21"/>
  <c r="AA161" i="21" s="1"/>
  <c r="X161" i="21"/>
  <c r="AL160" i="21"/>
  <c r="AK160" i="21"/>
  <c r="AJ160" i="21"/>
  <c r="AI160" i="21"/>
  <c r="Z160" i="21"/>
  <c r="Y160" i="21"/>
  <c r="AA160" i="21" s="1"/>
  <c r="X160" i="21"/>
  <c r="AL159" i="21"/>
  <c r="AK159" i="21"/>
  <c r="AJ159" i="21"/>
  <c r="AI159" i="21"/>
  <c r="Z159" i="21"/>
  <c r="Y159" i="21"/>
  <c r="AA159" i="21" s="1"/>
  <c r="X159" i="21"/>
  <c r="AL158" i="21"/>
  <c r="AK158" i="21"/>
  <c r="AJ158" i="21"/>
  <c r="AI158" i="21"/>
  <c r="Z158" i="21"/>
  <c r="Y158" i="21"/>
  <c r="AA158" i="21" s="1"/>
  <c r="X158" i="21"/>
  <c r="AL157" i="21"/>
  <c r="AK157" i="21"/>
  <c r="AJ157" i="21"/>
  <c r="AI157" i="21"/>
  <c r="Z157" i="21"/>
  <c r="Y157" i="21"/>
  <c r="AA157" i="21" s="1"/>
  <c r="X157" i="21"/>
  <c r="AL156" i="21"/>
  <c r="AK156" i="21"/>
  <c r="AJ156" i="21"/>
  <c r="AI156" i="21"/>
  <c r="Z156" i="21"/>
  <c r="Y156" i="21"/>
  <c r="AA156" i="21" s="1"/>
  <c r="X156" i="21"/>
  <c r="AL155" i="21"/>
  <c r="AK155" i="21"/>
  <c r="AJ155" i="21"/>
  <c r="AI155" i="21"/>
  <c r="Z155" i="21"/>
  <c r="Y155" i="21"/>
  <c r="AA155" i="21" s="1"/>
  <c r="X155" i="21"/>
  <c r="AL154" i="21"/>
  <c r="AK154" i="21"/>
  <c r="AJ154" i="21"/>
  <c r="AI154" i="21"/>
  <c r="Z154" i="21"/>
  <c r="Y154" i="21"/>
  <c r="AA154" i="21" s="1"/>
  <c r="X154" i="21"/>
  <c r="AL153" i="21"/>
  <c r="AK153" i="21"/>
  <c r="AJ153" i="21"/>
  <c r="AI153" i="21"/>
  <c r="Z153" i="21"/>
  <c r="Y153" i="21"/>
  <c r="AA153" i="21" s="1"/>
  <c r="X153" i="21"/>
  <c r="AL152" i="21"/>
  <c r="AK152" i="21"/>
  <c r="AJ152" i="21"/>
  <c r="AI152" i="21"/>
  <c r="Z152" i="21"/>
  <c r="Y152" i="21"/>
  <c r="AA152" i="21" s="1"/>
  <c r="X152" i="21"/>
  <c r="AL151" i="21"/>
  <c r="AK151" i="21"/>
  <c r="AJ151" i="21"/>
  <c r="AI151" i="21"/>
  <c r="Z151" i="21"/>
  <c r="Y151" i="21"/>
  <c r="AA151" i="21" s="1"/>
  <c r="X151" i="21"/>
  <c r="AL150" i="21"/>
  <c r="AK150" i="21"/>
  <c r="AJ150" i="21"/>
  <c r="AI150" i="21"/>
  <c r="Z150" i="21"/>
  <c r="Y150" i="21"/>
  <c r="AA150" i="21" s="1"/>
  <c r="X150" i="21"/>
  <c r="AL149" i="21"/>
  <c r="AK149" i="21"/>
  <c r="AJ149" i="21"/>
  <c r="AI149" i="21"/>
  <c r="Z149" i="21"/>
  <c r="Y149" i="21"/>
  <c r="AA149" i="21" s="1"/>
  <c r="X149" i="21"/>
  <c r="AL148" i="21"/>
  <c r="AK148" i="21"/>
  <c r="AJ148" i="21"/>
  <c r="AI148" i="21"/>
  <c r="Z148" i="21"/>
  <c r="Y148" i="21"/>
  <c r="AA148" i="21" s="1"/>
  <c r="X148" i="21"/>
  <c r="AL147" i="21"/>
  <c r="AK147" i="21"/>
  <c r="AJ147" i="21"/>
  <c r="AI147" i="21"/>
  <c r="Z147" i="21"/>
  <c r="Y147" i="21"/>
  <c r="AA147" i="21" s="1"/>
  <c r="X147" i="21"/>
  <c r="AL146" i="21"/>
  <c r="AK146" i="21"/>
  <c r="AJ146" i="21"/>
  <c r="AI146" i="21"/>
  <c r="Z146" i="21"/>
  <c r="Y146" i="21"/>
  <c r="AA146" i="21" s="1"/>
  <c r="X146" i="21"/>
  <c r="AL145" i="21"/>
  <c r="AK145" i="21"/>
  <c r="AJ145" i="21"/>
  <c r="AI145" i="21"/>
  <c r="Z145" i="21"/>
  <c r="Y145" i="21"/>
  <c r="AA145" i="21" s="1"/>
  <c r="X145" i="21"/>
  <c r="AL144" i="21"/>
  <c r="AK144" i="21"/>
  <c r="AJ144" i="21"/>
  <c r="AI144" i="21"/>
  <c r="Z144" i="21"/>
  <c r="Y144" i="21"/>
  <c r="AA144" i="21" s="1"/>
  <c r="X144" i="21"/>
  <c r="AL143" i="21"/>
  <c r="AK143" i="21"/>
  <c r="AJ143" i="21"/>
  <c r="AI143" i="21"/>
  <c r="Z143" i="21"/>
  <c r="Y143" i="21"/>
  <c r="AA143" i="21" s="1"/>
  <c r="X143" i="21"/>
  <c r="AL142" i="21"/>
  <c r="AK142" i="21"/>
  <c r="AJ142" i="21"/>
  <c r="AI142" i="21"/>
  <c r="Z142" i="21"/>
  <c r="Y142" i="21"/>
  <c r="AA142" i="21" s="1"/>
  <c r="X142" i="21"/>
  <c r="AL141" i="21"/>
  <c r="AK141" i="21"/>
  <c r="AJ141" i="21"/>
  <c r="AI141" i="21"/>
  <c r="Z141" i="21"/>
  <c r="Y141" i="21"/>
  <c r="AA141" i="21" s="1"/>
  <c r="X141" i="21"/>
  <c r="AL140" i="21"/>
  <c r="AK140" i="21"/>
  <c r="AJ140" i="21"/>
  <c r="AI140" i="21"/>
  <c r="Z140" i="21"/>
  <c r="Y140" i="21"/>
  <c r="AA140" i="21" s="1"/>
  <c r="X140" i="21"/>
  <c r="AL139" i="21"/>
  <c r="AK139" i="21"/>
  <c r="AJ139" i="21"/>
  <c r="AI139" i="21"/>
  <c r="Z139" i="21"/>
  <c r="Y139" i="21"/>
  <c r="AA139" i="21" s="1"/>
  <c r="X139" i="21"/>
  <c r="AL138" i="21"/>
  <c r="AK138" i="21"/>
  <c r="AJ138" i="21"/>
  <c r="AI138" i="21"/>
  <c r="Z138" i="21"/>
  <c r="Y138" i="21"/>
  <c r="AA138" i="21" s="1"/>
  <c r="X138" i="21"/>
  <c r="AL137" i="21"/>
  <c r="AK137" i="21"/>
  <c r="AJ137" i="21"/>
  <c r="AI137" i="21"/>
  <c r="Z137" i="21"/>
  <c r="Y137" i="21"/>
  <c r="AA137" i="21" s="1"/>
  <c r="X137" i="21"/>
  <c r="AL136" i="21"/>
  <c r="AK136" i="21"/>
  <c r="AJ136" i="21"/>
  <c r="AI136" i="21"/>
  <c r="Z136" i="21"/>
  <c r="Y136" i="21"/>
  <c r="AA136" i="21" s="1"/>
  <c r="X136" i="21"/>
  <c r="AL135" i="21"/>
  <c r="AK135" i="21"/>
  <c r="AJ135" i="21"/>
  <c r="AI135" i="21"/>
  <c r="Z135" i="21"/>
  <c r="Y135" i="21"/>
  <c r="AA135" i="21" s="1"/>
  <c r="X135" i="21"/>
  <c r="AL134" i="21"/>
  <c r="AK134" i="21"/>
  <c r="AJ134" i="21"/>
  <c r="AI134" i="21"/>
  <c r="Z134" i="21"/>
  <c r="Y134" i="21"/>
  <c r="AA134" i="21" s="1"/>
  <c r="X134" i="21"/>
  <c r="AL133" i="21"/>
  <c r="AK133" i="21"/>
  <c r="AJ133" i="21"/>
  <c r="AI133" i="21"/>
  <c r="Z133" i="21"/>
  <c r="Y133" i="21"/>
  <c r="AA133" i="21" s="1"/>
  <c r="X133" i="21"/>
  <c r="AL132" i="21"/>
  <c r="AK132" i="21"/>
  <c r="AJ132" i="21"/>
  <c r="AI132" i="21"/>
  <c r="Z132" i="21"/>
  <c r="Y132" i="21"/>
  <c r="AA132" i="21" s="1"/>
  <c r="X132" i="21"/>
  <c r="AL131" i="21"/>
  <c r="AK131" i="21"/>
  <c r="AJ131" i="21"/>
  <c r="AI131" i="21"/>
  <c r="Z131" i="21"/>
  <c r="Y131" i="21"/>
  <c r="AA131" i="21" s="1"/>
  <c r="X131" i="21"/>
  <c r="AL130" i="21"/>
  <c r="AK130" i="21"/>
  <c r="AJ130" i="21"/>
  <c r="AI130" i="21"/>
  <c r="Z130" i="21"/>
  <c r="Y130" i="21"/>
  <c r="AA130" i="21" s="1"/>
  <c r="X130" i="21"/>
  <c r="AL129" i="21"/>
  <c r="AK129" i="21"/>
  <c r="AJ129" i="21"/>
  <c r="AI129" i="21"/>
  <c r="Z129" i="21"/>
  <c r="Y129" i="21"/>
  <c r="AA129" i="21" s="1"/>
  <c r="X129" i="21"/>
  <c r="AL128" i="21"/>
  <c r="AK128" i="21"/>
  <c r="AJ128" i="21"/>
  <c r="AI128" i="21"/>
  <c r="Z128" i="21"/>
  <c r="Y128" i="21"/>
  <c r="AA128" i="21" s="1"/>
  <c r="X128" i="21"/>
  <c r="AL127" i="21"/>
  <c r="AK127" i="21"/>
  <c r="AJ127" i="21"/>
  <c r="AI127" i="21"/>
  <c r="Z127" i="21"/>
  <c r="Y127" i="21"/>
  <c r="AA127" i="21" s="1"/>
  <c r="X127" i="21"/>
  <c r="AL126" i="21"/>
  <c r="AK126" i="21"/>
  <c r="AJ126" i="21"/>
  <c r="AI126" i="21"/>
  <c r="Z126" i="21"/>
  <c r="Y126" i="21"/>
  <c r="AA126" i="21" s="1"/>
  <c r="X126" i="21"/>
  <c r="AL125" i="21"/>
  <c r="AK125" i="21"/>
  <c r="AJ125" i="21"/>
  <c r="AI125" i="21"/>
  <c r="Z125" i="21"/>
  <c r="Y125" i="21"/>
  <c r="AA125" i="21" s="1"/>
  <c r="X125" i="21"/>
  <c r="AL124" i="21"/>
  <c r="AK124" i="21"/>
  <c r="AJ124" i="21"/>
  <c r="AI124" i="21"/>
  <c r="Z124" i="21"/>
  <c r="Y124" i="21"/>
  <c r="AA124" i="21" s="1"/>
  <c r="X124" i="21"/>
  <c r="AL123" i="21"/>
  <c r="AK123" i="21"/>
  <c r="AJ123" i="21"/>
  <c r="AI123" i="21"/>
  <c r="Z123" i="21"/>
  <c r="Y123" i="21"/>
  <c r="AA123" i="21" s="1"/>
  <c r="X123" i="21"/>
  <c r="AL122" i="21"/>
  <c r="AK122" i="21"/>
  <c r="AJ122" i="21"/>
  <c r="AI122" i="21"/>
  <c r="Z122" i="21"/>
  <c r="Y122" i="21"/>
  <c r="AA122" i="21" s="1"/>
  <c r="X122" i="21"/>
  <c r="AL121" i="21"/>
  <c r="AK121" i="21"/>
  <c r="AJ121" i="21"/>
  <c r="AI121" i="21"/>
  <c r="Z121" i="21"/>
  <c r="Y121" i="21"/>
  <c r="AA121" i="21" s="1"/>
  <c r="X121" i="21"/>
  <c r="AL120" i="21"/>
  <c r="AK120" i="21"/>
  <c r="AJ120" i="21"/>
  <c r="AI120" i="21"/>
  <c r="Z120" i="21"/>
  <c r="Y120" i="21"/>
  <c r="AA120" i="21" s="1"/>
  <c r="X120" i="21"/>
  <c r="AL119" i="21"/>
  <c r="AK119" i="21"/>
  <c r="AJ119" i="21"/>
  <c r="AI119" i="21"/>
  <c r="Z119" i="21"/>
  <c r="Y119" i="21"/>
  <c r="AA119" i="21" s="1"/>
  <c r="X119" i="21"/>
  <c r="AL118" i="21"/>
  <c r="AK118" i="21"/>
  <c r="AJ118" i="21"/>
  <c r="AI118" i="21"/>
  <c r="Z118" i="21"/>
  <c r="Y118" i="21"/>
  <c r="AA118" i="21" s="1"/>
  <c r="X118" i="21"/>
  <c r="AL117" i="21"/>
  <c r="AK117" i="21"/>
  <c r="AJ117" i="21"/>
  <c r="AI117" i="21"/>
  <c r="Z117" i="21"/>
  <c r="Y117" i="21"/>
  <c r="AA117" i="21" s="1"/>
  <c r="X117" i="21"/>
  <c r="AL116" i="21"/>
  <c r="AK116" i="21"/>
  <c r="AJ116" i="21"/>
  <c r="AI116" i="21"/>
  <c r="Z116" i="21"/>
  <c r="Y116" i="21"/>
  <c r="AA116" i="21" s="1"/>
  <c r="X116" i="21"/>
  <c r="AL115" i="21"/>
  <c r="AK115" i="21"/>
  <c r="AJ115" i="21"/>
  <c r="AI115" i="21"/>
  <c r="Z115" i="21"/>
  <c r="Y115" i="21"/>
  <c r="AA115" i="21" s="1"/>
  <c r="X115" i="21"/>
  <c r="AL114" i="21"/>
  <c r="AK114" i="21"/>
  <c r="AJ114" i="21"/>
  <c r="AI114" i="21"/>
  <c r="Z114" i="21"/>
  <c r="Y114" i="21"/>
  <c r="AA114" i="21" s="1"/>
  <c r="X114" i="21"/>
  <c r="AL113" i="21"/>
  <c r="AK113" i="21"/>
  <c r="AJ113" i="21"/>
  <c r="AI113" i="21"/>
  <c r="Z113" i="21"/>
  <c r="Y113" i="21"/>
  <c r="AA113" i="21" s="1"/>
  <c r="X113" i="21"/>
  <c r="AL112" i="21"/>
  <c r="AK112" i="21"/>
  <c r="AJ112" i="21"/>
  <c r="AI112" i="21"/>
  <c r="Z112" i="21"/>
  <c r="Y112" i="21"/>
  <c r="AA112" i="21" s="1"/>
  <c r="X112" i="21"/>
  <c r="AL111" i="21"/>
  <c r="AK111" i="21"/>
  <c r="AJ111" i="21"/>
  <c r="AI111" i="21"/>
  <c r="Z111" i="21"/>
  <c r="Y111" i="21"/>
  <c r="AA111" i="21" s="1"/>
  <c r="X111" i="21"/>
  <c r="AL110" i="21"/>
  <c r="AK110" i="21"/>
  <c r="AJ110" i="21"/>
  <c r="AI110" i="21"/>
  <c r="Z110" i="21"/>
  <c r="Y110" i="21"/>
  <c r="AA110" i="21" s="1"/>
  <c r="X110" i="21"/>
  <c r="AL109" i="21"/>
  <c r="AK109" i="21"/>
  <c r="AJ109" i="21"/>
  <c r="AI109" i="21"/>
  <c r="Z109" i="21"/>
  <c r="Y109" i="21"/>
  <c r="AA109" i="21" s="1"/>
  <c r="X109" i="21"/>
  <c r="AL108" i="21"/>
  <c r="AK108" i="21"/>
  <c r="AJ108" i="21"/>
  <c r="AI108" i="21"/>
  <c r="Z108" i="21"/>
  <c r="Y108" i="21"/>
  <c r="AA108" i="21" s="1"/>
  <c r="X108" i="21"/>
  <c r="AL107" i="21"/>
  <c r="AK107" i="21"/>
  <c r="AJ107" i="21"/>
  <c r="AI107" i="21"/>
  <c r="Z107" i="21"/>
  <c r="Y107" i="21"/>
  <c r="AA107" i="21" s="1"/>
  <c r="X107" i="21"/>
  <c r="AL106" i="21"/>
  <c r="AK106" i="21"/>
  <c r="AJ106" i="21"/>
  <c r="AI106" i="21"/>
  <c r="Z106" i="21"/>
  <c r="Y106" i="21"/>
  <c r="AA106" i="21" s="1"/>
  <c r="X106" i="21"/>
  <c r="AL105" i="21"/>
  <c r="AK105" i="21"/>
  <c r="AJ105" i="21"/>
  <c r="AI105" i="21"/>
  <c r="Z105" i="21"/>
  <c r="Y105" i="21"/>
  <c r="AA105" i="21" s="1"/>
  <c r="X105" i="21"/>
  <c r="AL104" i="21"/>
  <c r="AK104" i="21"/>
  <c r="AJ104" i="21"/>
  <c r="AI104" i="21"/>
  <c r="Z104" i="21"/>
  <c r="Y104" i="21"/>
  <c r="AA104" i="21" s="1"/>
  <c r="X104" i="21"/>
  <c r="AL103" i="21"/>
  <c r="AK103" i="21"/>
  <c r="AJ103" i="21"/>
  <c r="AI103" i="21"/>
  <c r="Z103" i="21"/>
  <c r="Y103" i="21"/>
  <c r="AA103" i="21" s="1"/>
  <c r="X103" i="21"/>
  <c r="AL102" i="21"/>
  <c r="AK102" i="21"/>
  <c r="AJ102" i="21"/>
  <c r="AI102" i="21"/>
  <c r="Z102" i="21"/>
  <c r="Y102" i="21"/>
  <c r="AA102" i="21" s="1"/>
  <c r="X102" i="21"/>
  <c r="AL101" i="21"/>
  <c r="AK101" i="21"/>
  <c r="AJ101" i="21"/>
  <c r="AI101" i="21"/>
  <c r="Z101" i="21"/>
  <c r="Y101" i="21"/>
  <c r="AA101" i="21" s="1"/>
  <c r="X101" i="21"/>
  <c r="AL100" i="21"/>
  <c r="AK100" i="21"/>
  <c r="AJ100" i="21"/>
  <c r="AI100" i="21"/>
  <c r="Z100" i="21"/>
  <c r="Y100" i="21"/>
  <c r="AA100" i="21" s="1"/>
  <c r="X100" i="21"/>
  <c r="AL99" i="21"/>
  <c r="AK99" i="21"/>
  <c r="AJ99" i="21"/>
  <c r="AI99" i="21"/>
  <c r="Z99" i="21"/>
  <c r="Y99" i="21"/>
  <c r="AA99" i="21" s="1"/>
  <c r="X99" i="21"/>
  <c r="AL98" i="21"/>
  <c r="AK98" i="21"/>
  <c r="AJ98" i="21"/>
  <c r="AI98" i="21"/>
  <c r="Z98" i="21"/>
  <c r="Y98" i="21"/>
  <c r="AA98" i="21" s="1"/>
  <c r="X98" i="21"/>
  <c r="AL97" i="21"/>
  <c r="AK97" i="21"/>
  <c r="AJ97" i="21"/>
  <c r="AI97" i="21"/>
  <c r="Z97" i="21"/>
  <c r="Y97" i="21"/>
  <c r="AA97" i="21" s="1"/>
  <c r="X97" i="21"/>
  <c r="AL96" i="21"/>
  <c r="AK96" i="21"/>
  <c r="AJ96" i="21"/>
  <c r="AI96" i="21"/>
  <c r="Z96" i="21"/>
  <c r="Y96" i="21"/>
  <c r="AA96" i="21" s="1"/>
  <c r="X96" i="21"/>
  <c r="AL95" i="21"/>
  <c r="AK95" i="21"/>
  <c r="AJ95" i="21"/>
  <c r="AI95" i="21"/>
  <c r="Z95" i="21"/>
  <c r="Y95" i="21"/>
  <c r="AA95" i="21" s="1"/>
  <c r="X95" i="21"/>
  <c r="AL94" i="21"/>
  <c r="AK94" i="21"/>
  <c r="AJ94" i="21"/>
  <c r="AI94" i="21"/>
  <c r="Z94" i="21"/>
  <c r="Y94" i="21"/>
  <c r="AA94" i="21" s="1"/>
  <c r="X94" i="21"/>
  <c r="AL93" i="21"/>
  <c r="AK93" i="21"/>
  <c r="AJ93" i="21"/>
  <c r="AI93" i="21"/>
  <c r="Z93" i="21"/>
  <c r="Y93" i="21"/>
  <c r="AA93" i="21" s="1"/>
  <c r="X93" i="21"/>
  <c r="AL92" i="21"/>
  <c r="AK92" i="21"/>
  <c r="AJ92" i="21"/>
  <c r="AI92" i="21"/>
  <c r="Z92" i="21"/>
  <c r="Y92" i="21"/>
  <c r="AA92" i="21" s="1"/>
  <c r="X92" i="21"/>
  <c r="AL91" i="21"/>
  <c r="AK91" i="21"/>
  <c r="AJ91" i="21"/>
  <c r="AI91" i="21"/>
  <c r="Z91" i="21"/>
  <c r="Y91" i="21"/>
  <c r="AA91" i="21" s="1"/>
  <c r="X91" i="21"/>
  <c r="AL90" i="21"/>
  <c r="AK90" i="21"/>
  <c r="AJ90" i="21"/>
  <c r="AI90" i="21"/>
  <c r="Z90" i="21"/>
  <c r="Y90" i="21"/>
  <c r="AA90" i="21" s="1"/>
  <c r="X90" i="21"/>
  <c r="AL89" i="21"/>
  <c r="AK89" i="21"/>
  <c r="AJ89" i="21"/>
  <c r="AI89" i="21"/>
  <c r="Z89" i="21"/>
  <c r="Y89" i="21"/>
  <c r="AA89" i="21" s="1"/>
  <c r="X89" i="21"/>
  <c r="AL88" i="21"/>
  <c r="AK88" i="21"/>
  <c r="AJ88" i="21"/>
  <c r="AI88" i="21"/>
  <c r="Z88" i="21"/>
  <c r="Y88" i="21"/>
  <c r="AA88" i="21" s="1"/>
  <c r="X88" i="21"/>
  <c r="AL87" i="21"/>
  <c r="AK87" i="21"/>
  <c r="AJ87" i="21"/>
  <c r="AI87" i="21"/>
  <c r="Z87" i="21"/>
  <c r="Y87" i="21"/>
  <c r="AA87" i="21" s="1"/>
  <c r="X87" i="21"/>
  <c r="AL86" i="21"/>
  <c r="AK86" i="21"/>
  <c r="AJ86" i="21"/>
  <c r="AI86" i="21"/>
  <c r="Z86" i="21"/>
  <c r="Y86" i="21"/>
  <c r="AA86" i="21" s="1"/>
  <c r="X86" i="21"/>
  <c r="AL85" i="21"/>
  <c r="AK85" i="21"/>
  <c r="AJ85" i="21"/>
  <c r="AI85" i="21"/>
  <c r="Z85" i="21"/>
  <c r="Y85" i="21"/>
  <c r="AA85" i="21" s="1"/>
  <c r="X85" i="21"/>
  <c r="AL84" i="21"/>
  <c r="AK84" i="21"/>
  <c r="AJ84" i="21"/>
  <c r="AI84" i="21"/>
  <c r="Z84" i="21"/>
  <c r="Y84" i="21"/>
  <c r="AA84" i="21" s="1"/>
  <c r="X84" i="21"/>
  <c r="AL83" i="21"/>
  <c r="AK83" i="21"/>
  <c r="AJ83" i="21"/>
  <c r="AI83" i="21"/>
  <c r="Z83" i="21"/>
  <c r="Y83" i="21"/>
  <c r="AA83" i="21" s="1"/>
  <c r="X83" i="21"/>
  <c r="AL82" i="21"/>
  <c r="AK82" i="21"/>
  <c r="AJ82" i="21"/>
  <c r="AI82" i="21"/>
  <c r="Z82" i="21"/>
  <c r="Y82" i="21"/>
  <c r="AA82" i="21" s="1"/>
  <c r="X82" i="21"/>
  <c r="AL81" i="21"/>
  <c r="AK81" i="21"/>
  <c r="AJ81" i="21"/>
  <c r="AI81" i="21"/>
  <c r="Z81" i="21"/>
  <c r="Y81" i="21"/>
  <c r="AA81" i="21" s="1"/>
  <c r="X81" i="21"/>
  <c r="AL80" i="21"/>
  <c r="AK80" i="21"/>
  <c r="AJ80" i="21"/>
  <c r="AI80" i="21"/>
  <c r="Z80" i="21"/>
  <c r="Y80" i="21"/>
  <c r="AA80" i="21" s="1"/>
  <c r="X80" i="21"/>
  <c r="AL79" i="21"/>
  <c r="AK79" i="21"/>
  <c r="AJ79" i="21"/>
  <c r="AI79" i="21"/>
  <c r="Z79" i="21"/>
  <c r="Y79" i="21"/>
  <c r="AA79" i="21" s="1"/>
  <c r="X79" i="21"/>
  <c r="AL78" i="21"/>
  <c r="AK78" i="21"/>
  <c r="AJ78" i="21"/>
  <c r="AI78" i="21"/>
  <c r="Z78" i="21"/>
  <c r="Y78" i="21"/>
  <c r="AA78" i="21" s="1"/>
  <c r="X78" i="21"/>
  <c r="AL77" i="21"/>
  <c r="AK77" i="21"/>
  <c r="AJ77" i="21"/>
  <c r="AI77" i="21"/>
  <c r="Z77" i="21"/>
  <c r="Y77" i="21"/>
  <c r="AA77" i="21" s="1"/>
  <c r="X77" i="21"/>
  <c r="AL76" i="21"/>
  <c r="AK76" i="21"/>
  <c r="AJ76" i="21"/>
  <c r="AI76" i="21"/>
  <c r="Z76" i="21"/>
  <c r="Y76" i="21"/>
  <c r="AA76" i="21" s="1"/>
  <c r="X76" i="21"/>
  <c r="AL75" i="21"/>
  <c r="AK75" i="21"/>
  <c r="AJ75" i="21"/>
  <c r="AI75" i="21"/>
  <c r="Z75" i="21"/>
  <c r="Y75" i="21"/>
  <c r="AA75" i="21" s="1"/>
  <c r="X75" i="21"/>
  <c r="AL74" i="21"/>
  <c r="AK74" i="21"/>
  <c r="AJ74" i="21"/>
  <c r="AI74" i="21"/>
  <c r="Z74" i="21"/>
  <c r="Y74" i="21"/>
  <c r="AA74" i="21" s="1"/>
  <c r="X74" i="21"/>
  <c r="AL73" i="21"/>
  <c r="AK73" i="21"/>
  <c r="AJ73" i="21"/>
  <c r="AI73" i="21"/>
  <c r="Z73" i="21"/>
  <c r="Y73" i="21"/>
  <c r="AA73" i="21" s="1"/>
  <c r="X73" i="21"/>
  <c r="AL72" i="21"/>
  <c r="AK72" i="21"/>
  <c r="AJ72" i="21"/>
  <c r="AI72" i="21"/>
  <c r="Z72" i="21"/>
  <c r="Y72" i="21"/>
  <c r="AA72" i="21" s="1"/>
  <c r="X72" i="21"/>
  <c r="AL71" i="21"/>
  <c r="AK71" i="21"/>
  <c r="AJ71" i="21"/>
  <c r="AI71" i="21"/>
  <c r="Z71" i="21"/>
  <c r="Y71" i="21"/>
  <c r="AA71" i="21" s="1"/>
  <c r="X71" i="21"/>
  <c r="AL70" i="21"/>
  <c r="AK70" i="21"/>
  <c r="AJ70" i="21"/>
  <c r="AI70" i="21"/>
  <c r="Z70" i="21"/>
  <c r="Y70" i="21"/>
  <c r="AA70" i="21" s="1"/>
  <c r="X70" i="21"/>
  <c r="AL69" i="21"/>
  <c r="AK69" i="21"/>
  <c r="AJ69" i="21"/>
  <c r="AI69" i="21"/>
  <c r="Z69" i="21"/>
  <c r="Y69" i="21"/>
  <c r="AA69" i="21" s="1"/>
  <c r="X69" i="21"/>
  <c r="AL68" i="21"/>
  <c r="AK68" i="21"/>
  <c r="AJ68" i="21"/>
  <c r="AI68" i="21"/>
  <c r="Z68" i="21"/>
  <c r="Y68" i="21"/>
  <c r="AA68" i="21" s="1"/>
  <c r="X68" i="21"/>
  <c r="AL67" i="21"/>
  <c r="AK67" i="21"/>
  <c r="AJ67" i="21"/>
  <c r="AI67" i="21"/>
  <c r="Z67" i="21"/>
  <c r="Y67" i="21"/>
  <c r="AA67" i="21" s="1"/>
  <c r="X67" i="21"/>
  <c r="AL66" i="21"/>
  <c r="AK66" i="21"/>
  <c r="AJ66" i="21"/>
  <c r="AI66" i="21"/>
  <c r="Z66" i="21"/>
  <c r="Y66" i="21"/>
  <c r="AA66" i="21" s="1"/>
  <c r="X66" i="21"/>
  <c r="AL65" i="21"/>
  <c r="AK65" i="21"/>
  <c r="AJ65" i="21"/>
  <c r="AI65" i="21"/>
  <c r="Z65" i="21"/>
  <c r="Y65" i="21"/>
  <c r="AA65" i="21" s="1"/>
  <c r="X65" i="21"/>
  <c r="AL64" i="21"/>
  <c r="AK64" i="21"/>
  <c r="AJ64" i="21"/>
  <c r="AI64" i="21"/>
  <c r="Z64" i="21"/>
  <c r="Y64" i="21"/>
  <c r="AA64" i="21" s="1"/>
  <c r="X64" i="21"/>
  <c r="AL63" i="21"/>
  <c r="AK63" i="21"/>
  <c r="AJ63" i="21"/>
  <c r="AI63" i="21"/>
  <c r="Z63" i="21"/>
  <c r="Y63" i="21"/>
  <c r="AA63" i="21" s="1"/>
  <c r="X63" i="21"/>
  <c r="AJ62" i="21"/>
  <c r="AI62" i="21"/>
  <c r="Z62" i="21"/>
  <c r="Y62" i="21"/>
  <c r="AA62" i="21" s="1"/>
  <c r="X62" i="21"/>
  <c r="AJ61" i="21"/>
  <c r="AI61" i="21"/>
  <c r="Z61" i="21"/>
  <c r="Y61" i="21"/>
  <c r="AA61" i="21" s="1"/>
  <c r="X61" i="21"/>
  <c r="AJ60" i="21"/>
  <c r="AI60" i="21"/>
  <c r="Z60" i="21"/>
  <c r="Y60" i="21"/>
  <c r="AA60" i="21" s="1"/>
  <c r="X60" i="21"/>
  <c r="AJ59" i="21"/>
  <c r="AI59" i="21"/>
  <c r="Z59" i="21"/>
  <c r="Y59" i="21"/>
  <c r="AA59" i="21" s="1"/>
  <c r="X59" i="21"/>
  <c r="AJ58" i="21"/>
  <c r="AI58" i="21"/>
  <c r="Z58" i="21"/>
  <c r="Y58" i="21"/>
  <c r="AA58" i="21" s="1"/>
  <c r="X58" i="21"/>
  <c r="AJ57" i="21"/>
  <c r="AI57" i="21"/>
  <c r="Z57" i="21"/>
  <c r="Y57" i="21"/>
  <c r="AA57" i="21" s="1"/>
  <c r="X57" i="21"/>
  <c r="AJ56" i="21"/>
  <c r="AI56" i="21"/>
  <c r="Z56" i="21"/>
  <c r="Y56" i="21"/>
  <c r="AA56" i="21" s="1"/>
  <c r="X56" i="21"/>
  <c r="AJ55" i="21"/>
  <c r="AI55" i="21"/>
  <c r="Z55" i="21"/>
  <c r="Y55" i="21"/>
  <c r="AA55" i="21" s="1"/>
  <c r="X55" i="21"/>
  <c r="AJ54" i="21"/>
  <c r="AI54" i="21"/>
  <c r="Z54" i="21"/>
  <c r="Y54" i="21"/>
  <c r="AA54" i="21" s="1"/>
  <c r="X54" i="21"/>
  <c r="AJ53" i="21"/>
  <c r="AI53" i="21"/>
  <c r="Z53" i="21"/>
  <c r="Y53" i="21"/>
  <c r="AA53" i="21" s="1"/>
  <c r="X53" i="21"/>
  <c r="AJ52" i="21"/>
  <c r="AI52" i="21"/>
  <c r="Z52" i="21"/>
  <c r="Y52" i="21"/>
  <c r="AA52" i="21" s="1"/>
  <c r="X52" i="21"/>
  <c r="AJ51" i="21"/>
  <c r="AI51" i="21"/>
  <c r="Z51" i="21"/>
  <c r="Y51" i="21"/>
  <c r="AA51" i="21" s="1"/>
  <c r="X51" i="21"/>
  <c r="AJ50" i="21"/>
  <c r="AI50" i="21"/>
  <c r="Z50" i="21"/>
  <c r="Y50" i="21"/>
  <c r="AA50" i="21" s="1"/>
  <c r="X50" i="21"/>
  <c r="AJ49" i="21"/>
  <c r="AI49" i="21"/>
  <c r="Z49" i="21"/>
  <c r="Y49" i="21"/>
  <c r="AA49" i="21" s="1"/>
  <c r="X49" i="21"/>
  <c r="AJ48" i="21"/>
  <c r="AI48" i="21"/>
  <c r="Z48" i="21"/>
  <c r="Y48" i="21"/>
  <c r="AA48" i="21" s="1"/>
  <c r="X48" i="21"/>
  <c r="AJ47" i="21"/>
  <c r="AI47" i="21"/>
  <c r="Z47" i="21"/>
  <c r="Y47" i="21"/>
  <c r="AA47" i="21" s="1"/>
  <c r="X47" i="21"/>
  <c r="AJ46" i="21"/>
  <c r="AI46" i="21"/>
  <c r="Z46" i="21"/>
  <c r="Y46" i="21"/>
  <c r="AA46" i="21" s="1"/>
  <c r="X46" i="21"/>
  <c r="AJ45" i="21"/>
  <c r="AI45" i="21"/>
  <c r="Z45" i="21"/>
  <c r="Y45" i="21"/>
  <c r="AA45" i="21" s="1"/>
  <c r="X45" i="21"/>
  <c r="AJ44" i="21"/>
  <c r="AI44" i="21"/>
  <c r="Z44" i="21"/>
  <c r="Y44" i="21"/>
  <c r="AA44" i="21" s="1"/>
  <c r="X44" i="21"/>
  <c r="AJ43" i="21"/>
  <c r="AI43" i="21"/>
  <c r="Z43" i="21"/>
  <c r="Y43" i="21"/>
  <c r="AA43" i="21" s="1"/>
  <c r="X43" i="21"/>
  <c r="AJ42" i="21"/>
  <c r="AI42" i="21"/>
  <c r="Z42" i="21"/>
  <c r="Y42" i="21"/>
  <c r="AA42" i="21" s="1"/>
  <c r="X42" i="21"/>
  <c r="AJ41" i="21"/>
  <c r="AI41" i="21"/>
  <c r="Z41" i="21"/>
  <c r="Y41" i="21"/>
  <c r="AA41" i="21" s="1"/>
  <c r="X41" i="21"/>
  <c r="AJ40" i="21"/>
  <c r="AI40" i="21"/>
  <c r="Z40" i="21"/>
  <c r="Y40" i="21"/>
  <c r="AA40" i="21" s="1"/>
  <c r="X40" i="21"/>
  <c r="AJ39" i="21"/>
  <c r="AI39" i="21"/>
  <c r="Z39" i="21"/>
  <c r="Y39" i="21"/>
  <c r="AA39" i="21" s="1"/>
  <c r="X39" i="21"/>
  <c r="AJ38" i="21"/>
  <c r="AI38" i="21"/>
  <c r="Z38" i="21"/>
  <c r="Y38" i="21"/>
  <c r="AA38" i="21" s="1"/>
  <c r="X38" i="21"/>
  <c r="AJ37" i="21"/>
  <c r="AI37" i="21"/>
  <c r="Z37" i="21"/>
  <c r="Y37" i="21"/>
  <c r="AA37" i="21" s="1"/>
  <c r="X37" i="21"/>
  <c r="AJ36" i="21"/>
  <c r="AI36" i="21"/>
  <c r="Z36" i="21"/>
  <c r="Y36" i="21"/>
  <c r="AA36" i="21" s="1"/>
  <c r="X36" i="21"/>
  <c r="AJ35" i="21"/>
  <c r="AI35" i="21"/>
  <c r="Z35" i="21"/>
  <c r="Y35" i="21"/>
  <c r="AA35" i="21" s="1"/>
  <c r="X35" i="21"/>
  <c r="AJ34" i="21"/>
  <c r="AI34" i="21"/>
  <c r="Z34" i="21"/>
  <c r="Y34" i="21"/>
  <c r="AA34" i="21" s="1"/>
  <c r="X34" i="21"/>
  <c r="AJ33" i="21"/>
  <c r="AI33" i="21"/>
  <c r="Z33" i="21"/>
  <c r="Y33" i="21"/>
  <c r="AA33" i="21" s="1"/>
  <c r="X33" i="21"/>
  <c r="AJ32" i="21"/>
  <c r="AI32" i="21"/>
  <c r="Z32" i="21"/>
  <c r="Y32" i="21"/>
  <c r="AA32" i="21" s="1"/>
  <c r="X32" i="21"/>
  <c r="AJ31" i="21"/>
  <c r="AI31" i="21"/>
  <c r="Z31" i="21"/>
  <c r="Y31" i="21"/>
  <c r="AA31" i="21" s="1"/>
  <c r="X31" i="21"/>
  <c r="AJ30" i="21"/>
  <c r="AI30" i="21"/>
  <c r="Z30" i="21"/>
  <c r="Y30" i="21"/>
  <c r="AA30" i="21" s="1"/>
  <c r="X30" i="21"/>
  <c r="AJ29" i="21"/>
  <c r="AI29" i="21"/>
  <c r="Z29" i="21"/>
  <c r="Y29" i="21"/>
  <c r="AA29" i="21" s="1"/>
  <c r="X29" i="21"/>
  <c r="AJ28" i="21"/>
  <c r="AI28" i="21"/>
  <c r="Z28" i="21"/>
  <c r="Y28" i="21"/>
  <c r="AA28" i="21" s="1"/>
  <c r="X28" i="21"/>
  <c r="AJ27" i="21"/>
  <c r="AI27" i="21"/>
  <c r="Z27" i="21"/>
  <c r="Y27" i="21"/>
  <c r="AA27" i="21" s="1"/>
  <c r="X27" i="21"/>
  <c r="AJ26" i="21"/>
  <c r="AI26" i="21"/>
  <c r="Z26" i="21"/>
  <c r="Y26" i="21"/>
  <c r="AA26" i="21" s="1"/>
  <c r="X26" i="21"/>
  <c r="AJ25" i="21"/>
  <c r="AI25" i="21"/>
  <c r="Z25" i="21"/>
  <c r="Y25" i="21"/>
  <c r="AA25" i="21" s="1"/>
  <c r="X25" i="21"/>
  <c r="AJ24" i="21"/>
  <c r="AI24" i="21"/>
  <c r="Z24" i="21"/>
  <c r="Y24" i="21"/>
  <c r="AA24" i="21" s="1"/>
  <c r="X24" i="21"/>
  <c r="AJ23" i="21"/>
  <c r="AI23" i="21"/>
  <c r="Z23" i="21"/>
  <c r="Y23" i="21"/>
  <c r="AA23" i="21" s="1"/>
  <c r="X23" i="21"/>
  <c r="AJ22" i="21"/>
  <c r="AI22" i="21"/>
  <c r="Z22" i="21"/>
  <c r="Y22" i="21"/>
  <c r="AA22" i="21" s="1"/>
  <c r="X22" i="21"/>
  <c r="AJ21" i="21"/>
  <c r="AI21" i="21"/>
  <c r="Z21" i="21"/>
  <c r="Y21" i="21"/>
  <c r="AA21" i="21" s="1"/>
  <c r="X21" i="21"/>
  <c r="AJ20" i="21"/>
  <c r="AI20" i="21"/>
  <c r="Z20" i="21"/>
  <c r="Y20" i="21"/>
  <c r="AA20" i="21" s="1"/>
  <c r="X20" i="21"/>
  <c r="AJ19" i="21"/>
  <c r="AI19" i="21"/>
  <c r="Z19" i="21"/>
  <c r="Y19" i="21"/>
  <c r="AA19" i="21" s="1"/>
  <c r="X19" i="21"/>
  <c r="AJ18" i="21"/>
  <c r="AI18" i="21"/>
  <c r="Z18" i="21"/>
  <c r="Y18" i="21"/>
  <c r="AA18" i="21" s="1"/>
  <c r="X18" i="21"/>
  <c r="AJ17" i="21"/>
  <c r="AI17" i="21"/>
  <c r="Z17" i="21"/>
  <c r="Y17" i="21"/>
  <c r="AA17" i="21" s="1"/>
  <c r="X17" i="21"/>
  <c r="AJ16" i="21"/>
  <c r="AI16" i="21"/>
  <c r="Z16" i="21"/>
  <c r="Y16" i="21"/>
  <c r="AA16" i="21" s="1"/>
  <c r="X16" i="21"/>
  <c r="AJ15" i="21"/>
  <c r="X15" i="21"/>
  <c r="AJ14" i="21"/>
  <c r="X14" i="21"/>
  <c r="AJ13" i="21"/>
  <c r="X13" i="21"/>
  <c r="AJ12" i="21"/>
  <c r="X12" i="21"/>
  <c r="AJ11" i="21"/>
  <c r="X11" i="21"/>
  <c r="AJ10" i="21"/>
  <c r="X10" i="21"/>
  <c r="AJ9" i="21"/>
  <c r="X9" i="21"/>
  <c r="AJ8" i="21"/>
  <c r="X8" i="21"/>
  <c r="AJ7" i="21"/>
  <c r="X7" i="21"/>
  <c r="AI7" i="21"/>
  <c r="AJ6" i="21"/>
  <c r="AI6" i="21"/>
  <c r="Z6" i="21"/>
  <c r="Y6" i="21"/>
  <c r="AA6" i="21" s="1"/>
  <c r="X6" i="21"/>
  <c r="G4" i="21"/>
  <c r="P2" i="21"/>
  <c r="G1" i="21"/>
  <c r="W57" i="21" l="1"/>
  <c r="W61" i="21"/>
  <c r="AB61" i="21" s="1"/>
  <c r="B61" i="21" s="1"/>
  <c r="W177" i="21"/>
  <c r="W181" i="21"/>
  <c r="AC181" i="21" s="1"/>
  <c r="W185" i="21"/>
  <c r="W189" i="21"/>
  <c r="AC189" i="21" s="1"/>
  <c r="W193" i="21"/>
  <c r="W197" i="21"/>
  <c r="AC197" i="21" s="1"/>
  <c r="W201" i="21"/>
  <c r="W205" i="21"/>
  <c r="AC205" i="21" s="1"/>
  <c r="W209" i="21"/>
  <c r="W213" i="21"/>
  <c r="AB213" i="21" s="1"/>
  <c r="W217" i="21"/>
  <c r="W58" i="21"/>
  <c r="AC58" i="21" s="1"/>
  <c r="C58" i="21" s="1"/>
  <c r="W62" i="21"/>
  <c r="W64" i="21"/>
  <c r="AC64" i="21" s="1"/>
  <c r="C64" i="21" s="1"/>
  <c r="W68" i="21"/>
  <c r="W72" i="21"/>
  <c r="AB72" i="21" s="1"/>
  <c r="B72" i="21" s="1"/>
  <c r="W76" i="21"/>
  <c r="W80" i="21"/>
  <c r="AB80" i="21" s="1"/>
  <c r="B80" i="21" s="1"/>
  <c r="W84" i="21"/>
  <c r="W88" i="21"/>
  <c r="AC88" i="21" s="1"/>
  <c r="C88" i="21" s="1"/>
  <c r="W92" i="21"/>
  <c r="W96" i="21"/>
  <c r="AB96" i="21" s="1"/>
  <c r="B96" i="21" s="1"/>
  <c r="W100" i="21"/>
  <c r="W104" i="21"/>
  <c r="AB104" i="21" s="1"/>
  <c r="B104" i="21" s="1"/>
  <c r="W108" i="21"/>
  <c r="W112" i="21"/>
  <c r="AB112" i="21" s="1"/>
  <c r="B112" i="21" s="1"/>
  <c r="W116" i="21"/>
  <c r="W120" i="21"/>
  <c r="AB120" i="21" s="1"/>
  <c r="B120" i="21" s="1"/>
  <c r="W124" i="21"/>
  <c r="W128" i="21"/>
  <c r="AC128" i="21" s="1"/>
  <c r="C128" i="21" s="1"/>
  <c r="W132" i="21"/>
  <c r="W136" i="21"/>
  <c r="AC136" i="21" s="1"/>
  <c r="C136" i="21" s="1"/>
  <c r="W140" i="21"/>
  <c r="W144" i="21"/>
  <c r="AC144" i="21" s="1"/>
  <c r="W148" i="21"/>
  <c r="W152" i="21"/>
  <c r="AC152" i="21" s="1"/>
  <c r="W156" i="21"/>
  <c r="W160" i="21"/>
  <c r="AC160" i="21" s="1"/>
  <c r="W164" i="21"/>
  <c r="W168" i="21"/>
  <c r="AB168" i="21" s="1"/>
  <c r="W172" i="21"/>
  <c r="W176" i="21"/>
  <c r="AC176" i="21" s="1"/>
  <c r="W180" i="21"/>
  <c r="W184" i="21"/>
  <c r="AC184" i="21" s="1"/>
  <c r="W188" i="21"/>
  <c r="W192" i="21"/>
  <c r="AC192" i="21" s="1"/>
  <c r="W196" i="21"/>
  <c r="W200" i="21"/>
  <c r="AB200" i="21" s="1"/>
  <c r="W204" i="21"/>
  <c r="W21" i="21"/>
  <c r="AC21" i="21" s="1"/>
  <c r="C21" i="21" s="1"/>
  <c r="W25" i="21"/>
  <c r="AC25" i="21" s="1"/>
  <c r="C25" i="21" s="1"/>
  <c r="W26" i="21"/>
  <c r="AC26" i="21" s="1"/>
  <c r="C26" i="21" s="1"/>
  <c r="W206" i="21"/>
  <c r="AC206" i="21" s="1"/>
  <c r="W210" i="21"/>
  <c r="AC210" i="21" s="1"/>
  <c r="W214" i="21"/>
  <c r="AC214" i="21" s="1"/>
  <c r="W17" i="21"/>
  <c r="AC17" i="21" s="1"/>
  <c r="C17" i="21" s="1"/>
  <c r="W18" i="21"/>
  <c r="AC18" i="21" s="1"/>
  <c r="C18" i="21" s="1"/>
  <c r="W35" i="21"/>
  <c r="AB35" i="21" s="1"/>
  <c r="B35" i="21" s="1"/>
  <c r="W39" i="21"/>
  <c r="AB39" i="21" s="1"/>
  <c r="B39" i="21" s="1"/>
  <c r="W43" i="21"/>
  <c r="AB43" i="21" s="1"/>
  <c r="B43" i="21" s="1"/>
  <c r="W47" i="21"/>
  <c r="AB47" i="21" s="1"/>
  <c r="B47" i="21" s="1"/>
  <c r="W51" i="21"/>
  <c r="AB51" i="21" s="1"/>
  <c r="B51" i="21" s="1"/>
  <c r="W55" i="21"/>
  <c r="AB55" i="21" s="1"/>
  <c r="B55" i="21" s="1"/>
  <c r="W63" i="21"/>
  <c r="AC63" i="21" s="1"/>
  <c r="C63" i="21" s="1"/>
  <c r="W22" i="21"/>
  <c r="AB22" i="21" s="1"/>
  <c r="B22" i="21" s="1"/>
  <c r="W33" i="21"/>
  <c r="AC33" i="21" s="1"/>
  <c r="C33" i="21" s="1"/>
  <c r="W37" i="21"/>
  <c r="AB37" i="21" s="1"/>
  <c r="B37" i="21" s="1"/>
  <c r="W49" i="21"/>
  <c r="AC49" i="21" s="1"/>
  <c r="C49" i="21" s="1"/>
  <c r="W53" i="21"/>
  <c r="AB53" i="21" s="1"/>
  <c r="B53" i="21" s="1"/>
  <c r="W73" i="21"/>
  <c r="AC73" i="21" s="1"/>
  <c r="C73" i="21" s="1"/>
  <c r="W77" i="21"/>
  <c r="AC77" i="21" s="1"/>
  <c r="C77" i="21" s="1"/>
  <c r="W145" i="21"/>
  <c r="AC145" i="21" s="1"/>
  <c r="W157" i="21"/>
  <c r="AC157" i="21" s="1"/>
  <c r="W161" i="21"/>
  <c r="AB161" i="21" s="1"/>
  <c r="W169" i="21"/>
  <c r="AC169" i="21" s="1"/>
  <c r="W19" i="21"/>
  <c r="AC19" i="21" s="1"/>
  <c r="C19" i="21" s="1"/>
  <c r="W23" i="21"/>
  <c r="AC23" i="21" s="1"/>
  <c r="C23" i="21" s="1"/>
  <c r="W27" i="21"/>
  <c r="AB27" i="21" s="1"/>
  <c r="B27" i="21" s="1"/>
  <c r="W59" i="21"/>
  <c r="AC59" i="21" s="1"/>
  <c r="C59" i="21" s="1"/>
  <c r="W208" i="21"/>
  <c r="AC208" i="21" s="1"/>
  <c r="W212" i="21"/>
  <c r="AC212" i="21" s="1"/>
  <c r="W216" i="21"/>
  <c r="AB216" i="21" s="1"/>
  <c r="AI9" i="21"/>
  <c r="W29" i="21"/>
  <c r="AB29" i="21" s="1"/>
  <c r="B29" i="21" s="1"/>
  <c r="W41" i="21"/>
  <c r="AB41" i="21" s="1"/>
  <c r="B41" i="21" s="1"/>
  <c r="W45" i="21"/>
  <c r="AC45" i="21" s="1"/>
  <c r="C45" i="21" s="1"/>
  <c r="W65" i="21"/>
  <c r="AC65" i="21" s="1"/>
  <c r="C65" i="21" s="1"/>
  <c r="W69" i="21"/>
  <c r="AB69" i="21" s="1"/>
  <c r="B69" i="21" s="1"/>
  <c r="W81" i="21"/>
  <c r="AB81" i="21" s="1"/>
  <c r="B81" i="21" s="1"/>
  <c r="W141" i="21"/>
  <c r="AB141" i="21" s="1"/>
  <c r="B141" i="21" s="1"/>
  <c r="W149" i="21"/>
  <c r="AB149" i="21" s="1"/>
  <c r="W153" i="21"/>
  <c r="AC153" i="21" s="1"/>
  <c r="W165" i="21"/>
  <c r="AC165" i="21" s="1"/>
  <c r="W173" i="21"/>
  <c r="AB173" i="21" s="1"/>
  <c r="Y7" i="21"/>
  <c r="AA7" i="21" s="1"/>
  <c r="W16" i="21"/>
  <c r="AB16" i="21" s="1"/>
  <c r="B16" i="21" s="1"/>
  <c r="W20" i="21"/>
  <c r="AB20" i="21" s="1"/>
  <c r="B20" i="21" s="1"/>
  <c r="W24" i="21"/>
  <c r="AB24" i="21" s="1"/>
  <c r="B24" i="21" s="1"/>
  <c r="W60" i="21"/>
  <c r="AC60" i="21" s="1"/>
  <c r="C60" i="21" s="1"/>
  <c r="W66" i="21"/>
  <c r="AB66" i="21" s="1"/>
  <c r="B66" i="21" s="1"/>
  <c r="W67" i="21"/>
  <c r="AC67" i="21" s="1"/>
  <c r="C67" i="21" s="1"/>
  <c r="W70" i="21"/>
  <c r="AC70" i="21" s="1"/>
  <c r="C70" i="21" s="1"/>
  <c r="W71" i="21"/>
  <c r="AC71" i="21" s="1"/>
  <c r="C71" i="21" s="1"/>
  <c r="W74" i="21"/>
  <c r="AC74" i="21" s="1"/>
  <c r="C74" i="21" s="1"/>
  <c r="W75" i="21"/>
  <c r="AB75" i="21" s="1"/>
  <c r="B75" i="21" s="1"/>
  <c r="W78" i="21"/>
  <c r="AB78" i="21" s="1"/>
  <c r="B78" i="21" s="1"/>
  <c r="W79" i="21"/>
  <c r="AC79" i="21" s="1"/>
  <c r="C79" i="21" s="1"/>
  <c r="W82" i="21"/>
  <c r="AB82" i="21" s="1"/>
  <c r="B82" i="21" s="1"/>
  <c r="W86" i="21"/>
  <c r="AB86" i="21" s="1"/>
  <c r="B86" i="21" s="1"/>
  <c r="W90" i="21"/>
  <c r="AB90" i="21" s="1"/>
  <c r="B90" i="21" s="1"/>
  <c r="W94" i="21"/>
  <c r="AC94" i="21" s="1"/>
  <c r="C94" i="21" s="1"/>
  <c r="W98" i="21"/>
  <c r="AB98" i="21" s="1"/>
  <c r="B98" i="21" s="1"/>
  <c r="W102" i="21"/>
  <c r="AC102" i="21" s="1"/>
  <c r="C102" i="21" s="1"/>
  <c r="W106" i="21"/>
  <c r="AB106" i="21" s="1"/>
  <c r="B106" i="21" s="1"/>
  <c r="W110" i="21"/>
  <c r="AC110" i="21" s="1"/>
  <c r="C110" i="21" s="1"/>
  <c r="W114" i="21"/>
  <c r="AB114" i="21" s="1"/>
  <c r="B114" i="21" s="1"/>
  <c r="W118" i="21"/>
  <c r="AC118" i="21" s="1"/>
  <c r="C118" i="21" s="1"/>
  <c r="W122" i="21"/>
  <c r="AB122" i="21" s="1"/>
  <c r="B122" i="21" s="1"/>
  <c r="W126" i="21"/>
  <c r="AB126" i="21" s="1"/>
  <c r="B126" i="21" s="1"/>
  <c r="W130" i="21"/>
  <c r="AB130" i="21" s="1"/>
  <c r="B130" i="21" s="1"/>
  <c r="W134" i="21"/>
  <c r="AC134" i="21" s="1"/>
  <c r="C134" i="21" s="1"/>
  <c r="W138" i="21"/>
  <c r="AC138" i="21" s="1"/>
  <c r="C138" i="21" s="1"/>
  <c r="W139" i="21"/>
  <c r="AB139" i="21" s="1"/>
  <c r="B139" i="21" s="1"/>
  <c r="W142" i="21"/>
  <c r="AC142" i="21" s="1"/>
  <c r="C142" i="21" s="1"/>
  <c r="W143" i="21"/>
  <c r="AC143" i="21" s="1"/>
  <c r="W146" i="21"/>
  <c r="AB146" i="21" s="1"/>
  <c r="W147" i="21"/>
  <c r="AB147" i="21" s="1"/>
  <c r="W150" i="21"/>
  <c r="AC150" i="21" s="1"/>
  <c r="W151" i="21"/>
  <c r="AC151" i="21" s="1"/>
  <c r="W154" i="21"/>
  <c r="AB154" i="21" s="1"/>
  <c r="W155" i="21"/>
  <c r="AB155" i="21" s="1"/>
  <c r="W158" i="21"/>
  <c r="AC158" i="21" s="1"/>
  <c r="W159" i="21"/>
  <c r="AC159" i="21" s="1"/>
  <c r="W162" i="21"/>
  <c r="AB162" i="21" s="1"/>
  <c r="W163" i="21"/>
  <c r="AC163" i="21" s="1"/>
  <c r="W166" i="21"/>
  <c r="AC166" i="21" s="1"/>
  <c r="W167" i="21"/>
  <c r="AC167" i="21" s="1"/>
  <c r="W170" i="21"/>
  <c r="AB170" i="21" s="1"/>
  <c r="W171" i="21"/>
  <c r="AC171" i="21" s="1"/>
  <c r="W174" i="21"/>
  <c r="AC174" i="21" s="1"/>
  <c r="W175" i="21"/>
  <c r="AC175" i="21" s="1"/>
  <c r="W178" i="21"/>
  <c r="AC178" i="21" s="1"/>
  <c r="W182" i="21"/>
  <c r="AC182" i="21" s="1"/>
  <c r="W186" i="21"/>
  <c r="AB186" i="21" s="1"/>
  <c r="W190" i="21"/>
  <c r="AB190" i="21" s="1"/>
  <c r="W194" i="21"/>
  <c r="AC194" i="21" s="1"/>
  <c r="W198" i="21"/>
  <c r="AB198" i="21" s="1"/>
  <c r="W202" i="21"/>
  <c r="AC202" i="21" s="1"/>
  <c r="Z9" i="21"/>
  <c r="AC24" i="21"/>
  <c r="C24" i="21" s="1"/>
  <c r="W31" i="21"/>
  <c r="W6" i="21"/>
  <c r="AB21" i="21"/>
  <c r="B21" i="21" s="1"/>
  <c r="W28" i="21"/>
  <c r="W30" i="21"/>
  <c r="AI8" i="21"/>
  <c r="Z7" i="21"/>
  <c r="AB58" i="21"/>
  <c r="B58" i="21" s="1"/>
  <c r="AB62" i="21"/>
  <c r="B62" i="21" s="1"/>
  <c r="AC62" i="21"/>
  <c r="C62" i="21" s="1"/>
  <c r="AB64" i="21"/>
  <c r="B64" i="21" s="1"/>
  <c r="AB68" i="21"/>
  <c r="B68" i="21" s="1"/>
  <c r="AC68" i="21"/>
  <c r="C68" i="21" s="1"/>
  <c r="W32" i="21"/>
  <c r="W34" i="21"/>
  <c r="W36" i="21"/>
  <c r="W38" i="21"/>
  <c r="W40" i="21"/>
  <c r="W42" i="21"/>
  <c r="W44" i="21"/>
  <c r="W46" i="21"/>
  <c r="W48" i="21"/>
  <c r="W50" i="21"/>
  <c r="W52" i="21"/>
  <c r="W54" i="21"/>
  <c r="W56" i="21"/>
  <c r="AB57" i="21"/>
  <c r="B57" i="21" s="1"/>
  <c r="AC57" i="21"/>
  <c r="C57" i="21" s="1"/>
  <c r="AC61" i="21"/>
  <c r="C61" i="21" s="1"/>
  <c r="AC72" i="21"/>
  <c r="C72" i="21" s="1"/>
  <c r="AB73" i="21"/>
  <c r="B73" i="21" s="1"/>
  <c r="AC76" i="21"/>
  <c r="C76" i="21" s="1"/>
  <c r="AB76" i="21"/>
  <c r="B76" i="21" s="1"/>
  <c r="AB79" i="21"/>
  <c r="B79" i="21" s="1"/>
  <c r="AC80" i="21"/>
  <c r="C80" i="21" s="1"/>
  <c r="AB84" i="21"/>
  <c r="B84" i="21" s="1"/>
  <c r="AC84" i="21"/>
  <c r="C84" i="21" s="1"/>
  <c r="AB88" i="21"/>
  <c r="B88" i="21" s="1"/>
  <c r="AB92" i="21"/>
  <c r="B92" i="21" s="1"/>
  <c r="AC92" i="21"/>
  <c r="C92" i="21" s="1"/>
  <c r="W83" i="21"/>
  <c r="W85" i="21"/>
  <c r="W87" i="21"/>
  <c r="W89" i="21"/>
  <c r="W91" i="21"/>
  <c r="W93" i="21"/>
  <c r="W95" i="21"/>
  <c r="AC96" i="21"/>
  <c r="C96" i="21" s="1"/>
  <c r="W97" i="21"/>
  <c r="W99" i="21"/>
  <c r="AB100" i="21"/>
  <c r="B100" i="21" s="1"/>
  <c r="AC100" i="21"/>
  <c r="C100" i="21" s="1"/>
  <c r="W101" i="21"/>
  <c r="W103" i="21"/>
  <c r="AC104" i="21"/>
  <c r="C104" i="21" s="1"/>
  <c r="W105" i="21"/>
  <c r="W107" i="21"/>
  <c r="AB108" i="21"/>
  <c r="B108" i="21" s="1"/>
  <c r="AC108" i="21"/>
  <c r="C108" i="21" s="1"/>
  <c r="W109" i="21"/>
  <c r="W111" i="21"/>
  <c r="AC112" i="21"/>
  <c r="C112" i="21" s="1"/>
  <c r="W113" i="21"/>
  <c r="W115" i="21"/>
  <c r="AB116" i="21"/>
  <c r="B116" i="21" s="1"/>
  <c r="AC116" i="21"/>
  <c r="C116" i="21" s="1"/>
  <c r="W117" i="21"/>
  <c r="W119" i="21"/>
  <c r="AC120" i="21"/>
  <c r="C120" i="21" s="1"/>
  <c r="W121" i="21"/>
  <c r="W123" i="21"/>
  <c r="AB124" i="21"/>
  <c r="B124" i="21" s="1"/>
  <c r="AC124" i="21"/>
  <c r="C124" i="21" s="1"/>
  <c r="W125" i="21"/>
  <c r="AC126" i="21"/>
  <c r="C126" i="21" s="1"/>
  <c r="W127" i="21"/>
  <c r="AB128" i="21"/>
  <c r="B128" i="21" s="1"/>
  <c r="W129" i="21"/>
  <c r="W131" i="21"/>
  <c r="AB132" i="21"/>
  <c r="B132" i="21" s="1"/>
  <c r="AC132" i="21"/>
  <c r="C132" i="21" s="1"/>
  <c r="W133" i="21"/>
  <c r="W135" i="21"/>
  <c r="AB136" i="21"/>
  <c r="B136" i="21" s="1"/>
  <c r="W137" i="21"/>
  <c r="AC140" i="21"/>
  <c r="C140" i="21" s="1"/>
  <c r="AB140" i="21"/>
  <c r="B140" i="21" s="1"/>
  <c r="AB144" i="21"/>
  <c r="AC148" i="21"/>
  <c r="AB148" i="21"/>
  <c r="AC149" i="21"/>
  <c r="AB152" i="21"/>
  <c r="AC155" i="21"/>
  <c r="AC156" i="21"/>
  <c r="AB156" i="21"/>
  <c r="AB160" i="21"/>
  <c r="AC164" i="21"/>
  <c r="AB164" i="21"/>
  <c r="AC168" i="21"/>
  <c r="AB171" i="21"/>
  <c r="AC172" i="21"/>
  <c r="AB172" i="21"/>
  <c r="AB176" i="21"/>
  <c r="AC180" i="21"/>
  <c r="AB180" i="21"/>
  <c r="AB182" i="21"/>
  <c r="AB184" i="21"/>
  <c r="AC188" i="21"/>
  <c r="AB188" i="21"/>
  <c r="AB192" i="21"/>
  <c r="AC196" i="21"/>
  <c r="AB196" i="21"/>
  <c r="AC198" i="21"/>
  <c r="W199" i="21"/>
  <c r="AC200" i="21"/>
  <c r="AC204" i="21"/>
  <c r="AB204" i="21"/>
  <c r="AB177" i="21"/>
  <c r="AC177" i="21"/>
  <c r="AB179" i="21"/>
  <c r="AC179" i="21"/>
  <c r="AB181" i="21"/>
  <c r="AB183" i="21"/>
  <c r="AC183" i="21"/>
  <c r="AB185" i="21"/>
  <c r="AC185" i="21"/>
  <c r="AB187" i="21"/>
  <c r="AC187" i="21"/>
  <c r="AB189" i="21"/>
  <c r="AB191" i="21"/>
  <c r="AC191" i="21"/>
  <c r="AB193" i="21"/>
  <c r="AC193" i="21"/>
  <c r="AB195" i="21"/>
  <c r="AC195" i="21"/>
  <c r="AB197" i="21"/>
  <c r="AB201" i="21"/>
  <c r="AC201" i="21"/>
  <c r="AB203" i="21"/>
  <c r="AC203" i="21"/>
  <c r="AB205" i="21"/>
  <c r="AB206" i="21"/>
  <c r="AB207" i="21"/>
  <c r="AC207" i="21"/>
  <c r="AB209" i="21"/>
  <c r="AC209" i="21"/>
  <c r="AB210" i="21"/>
  <c r="AB211" i="21"/>
  <c r="AC211" i="21"/>
  <c r="AC213" i="21"/>
  <c r="AB215" i="21"/>
  <c r="AC215" i="21"/>
  <c r="AB217" i="21"/>
  <c r="AC217" i="21"/>
  <c r="W218" i="21"/>
  <c r="AB178" i="21" l="1"/>
  <c r="AC154" i="21"/>
  <c r="AB70" i="21"/>
  <c r="B70" i="21" s="1"/>
  <c r="AB194" i="21"/>
  <c r="AC161" i="21"/>
  <c r="AC146" i="21"/>
  <c r="AC51" i="21"/>
  <c r="C51" i="21" s="1"/>
  <c r="N51" i="21" s="1"/>
  <c r="L51" i="21" s="1"/>
  <c r="AC147" i="21"/>
  <c r="AB94" i="21"/>
  <c r="B94" i="21" s="1"/>
  <c r="AB77" i="21"/>
  <c r="B77" i="21" s="1"/>
  <c r="AC55" i="21"/>
  <c r="C55" i="21" s="1"/>
  <c r="G55" i="21" s="1"/>
  <c r="AC139" i="21"/>
  <c r="C139" i="21" s="1"/>
  <c r="AB33" i="21"/>
  <c r="B33" i="21" s="1"/>
  <c r="G33" i="21" s="1"/>
  <c r="AB26" i="21"/>
  <c r="B26" i="21" s="1"/>
  <c r="F26" i="21" s="1"/>
  <c r="AB25" i="21"/>
  <c r="B25" i="21" s="1"/>
  <c r="F25" i="21" s="1"/>
  <c r="AC39" i="21"/>
  <c r="C39" i="21" s="1"/>
  <c r="G39" i="21" s="1"/>
  <c r="AC37" i="21"/>
  <c r="C37" i="21" s="1"/>
  <c r="M37" i="21" s="1"/>
  <c r="P37" i="21" s="1"/>
  <c r="AB17" i="21"/>
  <c r="B17" i="21" s="1"/>
  <c r="N17" i="21" s="1"/>
  <c r="L17" i="21" s="1"/>
  <c r="AB142" i="21"/>
  <c r="B142" i="21" s="1"/>
  <c r="AB214" i="21"/>
  <c r="AB174" i="21"/>
  <c r="AB169" i="21"/>
  <c r="AB145" i="21"/>
  <c r="AC114" i="21"/>
  <c r="C114" i="21" s="1"/>
  <c r="AB60" i="21"/>
  <c r="B60" i="21" s="1"/>
  <c r="N60" i="21" s="1"/>
  <c r="L60" i="21" s="1"/>
  <c r="AC186" i="21"/>
  <c r="AC66" i="21"/>
  <c r="C66" i="21" s="1"/>
  <c r="AB163" i="21"/>
  <c r="AB110" i="21"/>
  <c r="B110" i="21" s="1"/>
  <c r="AB63" i="21"/>
  <c r="B63" i="21" s="1"/>
  <c r="AB71" i="21"/>
  <c r="B71" i="21" s="1"/>
  <c r="AB59" i="21"/>
  <c r="B59" i="21" s="1"/>
  <c r="M59" i="21" s="1"/>
  <c r="P59" i="21" s="1"/>
  <c r="AC43" i="21"/>
  <c r="C43" i="21" s="1"/>
  <c r="G43" i="21" s="1"/>
  <c r="AB19" i="21"/>
  <c r="B19" i="21" s="1"/>
  <c r="N19" i="21" s="1"/>
  <c r="L19" i="21" s="1"/>
  <c r="AC141" i="21"/>
  <c r="C141" i="21" s="1"/>
  <c r="AC106" i="21"/>
  <c r="C106" i="21" s="1"/>
  <c r="AC90" i="21"/>
  <c r="C90" i="21" s="1"/>
  <c r="AB45" i="21"/>
  <c r="B45" i="21" s="1"/>
  <c r="M45" i="21" s="1"/>
  <c r="P45" i="21" s="1"/>
  <c r="AC216" i="21"/>
  <c r="AC170" i="21"/>
  <c r="AC162" i="21"/>
  <c r="AB138" i="21"/>
  <c r="B138" i="21" s="1"/>
  <c r="AC78" i="21"/>
  <c r="C78" i="21" s="1"/>
  <c r="AC35" i="21"/>
  <c r="C35" i="21" s="1"/>
  <c r="G35" i="21" s="1"/>
  <c r="AC27" i="21"/>
  <c r="C27" i="21" s="1"/>
  <c r="F27" i="21" s="1"/>
  <c r="AC173" i="21"/>
  <c r="AC122" i="21"/>
  <c r="C122" i="21" s="1"/>
  <c r="AB18" i="21"/>
  <c r="B18" i="21" s="1"/>
  <c r="F18" i="21" s="1"/>
  <c r="AC22" i="21"/>
  <c r="C22" i="21" s="1"/>
  <c r="M22" i="21" s="1"/>
  <c r="P22" i="21" s="1"/>
  <c r="AB157" i="21"/>
  <c r="AC47" i="21"/>
  <c r="C47" i="21" s="1"/>
  <c r="M47" i="21" s="1"/>
  <c r="P47" i="21" s="1"/>
  <c r="AB65" i="21"/>
  <c r="B65" i="21" s="1"/>
  <c r="AC16" i="21"/>
  <c r="C16" i="21" s="1"/>
  <c r="F16" i="21" s="1"/>
  <c r="Y8" i="21"/>
  <c r="AA8" i="21" s="1"/>
  <c r="Y10" i="21"/>
  <c r="AA10" i="21" s="1"/>
  <c r="Y9" i="21"/>
  <c r="AA9" i="21" s="1"/>
  <c r="W9" i="21" s="1"/>
  <c r="AB9" i="21" s="1"/>
  <c r="B9" i="21" s="1"/>
  <c r="Z8" i="21"/>
  <c r="W7" i="21"/>
  <c r="AC7" i="21" s="1"/>
  <c r="C7" i="21" s="1"/>
  <c r="AC190" i="21"/>
  <c r="AB167" i="21"/>
  <c r="AB134" i="21"/>
  <c r="B134" i="21" s="1"/>
  <c r="AB102" i="21"/>
  <c r="B102" i="21" s="1"/>
  <c r="AB166" i="21"/>
  <c r="AB159" i="21"/>
  <c r="AB151" i="21"/>
  <c r="AC130" i="21"/>
  <c r="C130" i="21" s="1"/>
  <c r="AC98" i="21"/>
  <c r="C98" i="21" s="1"/>
  <c r="AC82" i="21"/>
  <c r="C82" i="21" s="1"/>
  <c r="AB74" i="21"/>
  <c r="B74" i="21" s="1"/>
  <c r="AB49" i="21"/>
  <c r="B49" i="21" s="1"/>
  <c r="F49" i="21" s="1"/>
  <c r="AC29" i="21"/>
  <c r="C29" i="21" s="1"/>
  <c r="G29" i="21" s="1"/>
  <c r="AC20" i="21"/>
  <c r="C20" i="21" s="1"/>
  <c r="G20" i="21" s="1"/>
  <c r="AB175" i="21"/>
  <c r="AB165" i="21"/>
  <c r="AB158" i="21"/>
  <c r="AB153" i="21"/>
  <c r="AB150" i="21"/>
  <c r="AB143" i="21"/>
  <c r="AB118" i="21"/>
  <c r="B118" i="21" s="1"/>
  <c r="AC86" i="21"/>
  <c r="C86" i="21" s="1"/>
  <c r="AB23" i="21"/>
  <c r="B23" i="21" s="1"/>
  <c r="G23" i="21" s="1"/>
  <c r="AB212" i="21"/>
  <c r="AB208" i="21"/>
  <c r="AB202" i="21"/>
  <c r="AC81" i="21"/>
  <c r="C81" i="21" s="1"/>
  <c r="AC75" i="21"/>
  <c r="C75" i="21" s="1"/>
  <c r="AC69" i="21"/>
  <c r="C69" i="21" s="1"/>
  <c r="AC53" i="21"/>
  <c r="C53" i="21" s="1"/>
  <c r="M53" i="21" s="1"/>
  <c r="P53" i="21" s="1"/>
  <c r="AC41" i="21"/>
  <c r="C41" i="21" s="1"/>
  <c r="F41" i="21" s="1"/>
  <c r="AB67" i="21"/>
  <c r="B67" i="21" s="1"/>
  <c r="AC218" i="21"/>
  <c r="AB218" i="21"/>
  <c r="AC137" i="21"/>
  <c r="C137" i="21" s="1"/>
  <c r="AB137" i="21"/>
  <c r="B137" i="21" s="1"/>
  <c r="AC133" i="21"/>
  <c r="C133" i="21" s="1"/>
  <c r="AB133" i="21"/>
  <c r="B133" i="21" s="1"/>
  <c r="AC129" i="21"/>
  <c r="C129" i="21" s="1"/>
  <c r="AB129" i="21"/>
  <c r="B129" i="21" s="1"/>
  <c r="AC125" i="21"/>
  <c r="C125" i="21" s="1"/>
  <c r="AB125" i="21"/>
  <c r="B125" i="21" s="1"/>
  <c r="AC121" i="21"/>
  <c r="C121" i="21" s="1"/>
  <c r="AB121" i="21"/>
  <c r="B121" i="21" s="1"/>
  <c r="AC117" i="21"/>
  <c r="C117" i="21" s="1"/>
  <c r="AB117" i="21"/>
  <c r="B117" i="21" s="1"/>
  <c r="AC113" i="21"/>
  <c r="C113" i="21" s="1"/>
  <c r="AB113" i="21"/>
  <c r="B113" i="21" s="1"/>
  <c r="AC109" i="21"/>
  <c r="C109" i="21" s="1"/>
  <c r="AB109" i="21"/>
  <c r="B109" i="21" s="1"/>
  <c r="AC105" i="21"/>
  <c r="C105" i="21" s="1"/>
  <c r="AB105" i="21"/>
  <c r="B105" i="21" s="1"/>
  <c r="AC101" i="21"/>
  <c r="C101" i="21" s="1"/>
  <c r="AB101" i="21"/>
  <c r="B101" i="21" s="1"/>
  <c r="AC97" i="21"/>
  <c r="C97" i="21" s="1"/>
  <c r="AB97" i="21"/>
  <c r="B97" i="21" s="1"/>
  <c r="AC93" i="21"/>
  <c r="C93" i="21" s="1"/>
  <c r="AB93" i="21"/>
  <c r="B93" i="21" s="1"/>
  <c r="AC89" i="21"/>
  <c r="C89" i="21" s="1"/>
  <c r="AB89" i="21"/>
  <c r="B89" i="21" s="1"/>
  <c r="AC85" i="21"/>
  <c r="C85" i="21" s="1"/>
  <c r="AB85" i="21"/>
  <c r="B85" i="21" s="1"/>
  <c r="AC54" i="21"/>
  <c r="C54" i="21" s="1"/>
  <c r="AB54" i="21"/>
  <c r="B54" i="21" s="1"/>
  <c r="AC50" i="21"/>
  <c r="C50" i="21" s="1"/>
  <c r="AB50" i="21"/>
  <c r="B50" i="21" s="1"/>
  <c r="AC46" i="21"/>
  <c r="C46" i="21" s="1"/>
  <c r="AB46" i="21"/>
  <c r="B46" i="21" s="1"/>
  <c r="AC42" i="21"/>
  <c r="C42" i="21" s="1"/>
  <c r="AB42" i="21"/>
  <c r="B42" i="21" s="1"/>
  <c r="AC38" i="21"/>
  <c r="C38" i="21" s="1"/>
  <c r="AB38" i="21"/>
  <c r="B38" i="21" s="1"/>
  <c r="AC34" i="21"/>
  <c r="C34" i="21" s="1"/>
  <c r="AB34" i="21"/>
  <c r="B34" i="21" s="1"/>
  <c r="M62" i="21"/>
  <c r="P62" i="21" s="1"/>
  <c r="F62" i="21"/>
  <c r="N62" i="21"/>
  <c r="L62" i="21" s="1"/>
  <c r="G62" i="21"/>
  <c r="M60" i="21"/>
  <c r="P60" i="21" s="1"/>
  <c r="F60" i="21"/>
  <c r="M58" i="21"/>
  <c r="P58" i="21" s="1"/>
  <c r="F58" i="21"/>
  <c r="N58" i="21"/>
  <c r="L58" i="21" s="1"/>
  <c r="G58" i="21"/>
  <c r="AC30" i="21"/>
  <c r="C30" i="21" s="1"/>
  <c r="AB30" i="21"/>
  <c r="B30" i="21" s="1"/>
  <c r="AC6" i="21"/>
  <c r="C6" i="21" s="1"/>
  <c r="AB6" i="21"/>
  <c r="B6" i="21" s="1"/>
  <c r="AB199" i="21"/>
  <c r="AC199" i="21"/>
  <c r="AC135" i="21"/>
  <c r="C135" i="21" s="1"/>
  <c r="AB135" i="21"/>
  <c r="B135" i="21" s="1"/>
  <c r="AC131" i="21"/>
  <c r="C131" i="21" s="1"/>
  <c r="AB131" i="21"/>
  <c r="B131" i="21" s="1"/>
  <c r="AC127" i="21"/>
  <c r="C127" i="21" s="1"/>
  <c r="AB127" i="21"/>
  <c r="B127" i="21" s="1"/>
  <c r="AC123" i="21"/>
  <c r="C123" i="21" s="1"/>
  <c r="AB123" i="21"/>
  <c r="B123" i="21" s="1"/>
  <c r="AC119" i="21"/>
  <c r="C119" i="21" s="1"/>
  <c r="AB119" i="21"/>
  <c r="B119" i="21" s="1"/>
  <c r="AC115" i="21"/>
  <c r="C115" i="21" s="1"/>
  <c r="AB115" i="21"/>
  <c r="B115" i="21" s="1"/>
  <c r="AC111" i="21"/>
  <c r="C111" i="21" s="1"/>
  <c r="AB111" i="21"/>
  <c r="B111" i="21" s="1"/>
  <c r="AC107" i="21"/>
  <c r="C107" i="21" s="1"/>
  <c r="AB107" i="21"/>
  <c r="B107" i="21" s="1"/>
  <c r="AC103" i="21"/>
  <c r="C103" i="21" s="1"/>
  <c r="AB103" i="21"/>
  <c r="B103" i="21" s="1"/>
  <c r="AC99" i="21"/>
  <c r="C99" i="21" s="1"/>
  <c r="AB99" i="21"/>
  <c r="B99" i="21" s="1"/>
  <c r="AC95" i="21"/>
  <c r="C95" i="21" s="1"/>
  <c r="AB95" i="21"/>
  <c r="B95" i="21" s="1"/>
  <c r="AC91" i="21"/>
  <c r="C91" i="21" s="1"/>
  <c r="AB91" i="21"/>
  <c r="B91" i="21" s="1"/>
  <c r="AC87" i="21"/>
  <c r="C87" i="21" s="1"/>
  <c r="AB87" i="21"/>
  <c r="B87" i="21" s="1"/>
  <c r="AC83" i="21"/>
  <c r="C83" i="21" s="1"/>
  <c r="AB83" i="21"/>
  <c r="B83" i="21" s="1"/>
  <c r="M61" i="21"/>
  <c r="P61" i="21" s="1"/>
  <c r="F61" i="21"/>
  <c r="G61" i="21"/>
  <c r="N61" i="21"/>
  <c r="L61" i="21" s="1"/>
  <c r="N59" i="21"/>
  <c r="L59" i="21" s="1"/>
  <c r="M57" i="21"/>
  <c r="P57" i="21" s="1"/>
  <c r="F57" i="21"/>
  <c r="G57" i="21"/>
  <c r="N57" i="21"/>
  <c r="L57" i="21" s="1"/>
  <c r="AC56" i="21"/>
  <c r="C56" i="21" s="1"/>
  <c r="AB56" i="21"/>
  <c r="B56" i="21" s="1"/>
  <c r="AC52" i="21"/>
  <c r="C52" i="21" s="1"/>
  <c r="AB52" i="21"/>
  <c r="B52" i="21" s="1"/>
  <c r="AC48" i="21"/>
  <c r="C48" i="21" s="1"/>
  <c r="AB48" i="21"/>
  <c r="B48" i="21" s="1"/>
  <c r="AC44" i="21"/>
  <c r="C44" i="21" s="1"/>
  <c r="AB44" i="21"/>
  <c r="B44" i="21" s="1"/>
  <c r="AC40" i="21"/>
  <c r="C40" i="21" s="1"/>
  <c r="AB40" i="21"/>
  <c r="B40" i="21" s="1"/>
  <c r="AC36" i="21"/>
  <c r="C36" i="21" s="1"/>
  <c r="AB36" i="21"/>
  <c r="B36" i="21" s="1"/>
  <c r="AC32" i="21"/>
  <c r="C32" i="21" s="1"/>
  <c r="AB32" i="21"/>
  <c r="B32" i="21" s="1"/>
  <c r="N55" i="21"/>
  <c r="L55" i="21" s="1"/>
  <c r="G53" i="21"/>
  <c r="M51" i="21"/>
  <c r="P51" i="21" s="1"/>
  <c r="F51" i="21"/>
  <c r="N43" i="21"/>
  <c r="L43" i="21" s="1"/>
  <c r="F43" i="21"/>
  <c r="M41" i="21"/>
  <c r="P41" i="21" s="1"/>
  <c r="N39" i="21"/>
  <c r="L39" i="21" s="1"/>
  <c r="N33" i="21"/>
  <c r="L33" i="21" s="1"/>
  <c r="F33" i="21"/>
  <c r="AC28" i="21"/>
  <c r="C28" i="21" s="1"/>
  <c r="AB28" i="21"/>
  <c r="B28" i="21" s="1"/>
  <c r="M25" i="21"/>
  <c r="P25" i="21" s="1"/>
  <c r="N21" i="21"/>
  <c r="L21" i="21" s="1"/>
  <c r="G21" i="21"/>
  <c r="M21" i="21"/>
  <c r="P21" i="21" s="1"/>
  <c r="F21" i="21"/>
  <c r="F17" i="21"/>
  <c r="AC31" i="21"/>
  <c r="C31" i="21" s="1"/>
  <c r="AB31" i="21"/>
  <c r="B31" i="21" s="1"/>
  <c r="G26" i="21"/>
  <c r="M26" i="21"/>
  <c r="P26" i="21" s="1"/>
  <c r="N24" i="21"/>
  <c r="L24" i="21" s="1"/>
  <c r="G24" i="21"/>
  <c r="M24" i="21"/>
  <c r="P24" i="21" s="1"/>
  <c r="F24" i="21"/>
  <c r="AI10" i="21"/>
  <c r="M18" i="21" l="1"/>
  <c r="P18" i="21" s="1"/>
  <c r="M35" i="21"/>
  <c r="P35" i="21" s="1"/>
  <c r="G51" i="21"/>
  <c r="J51" i="21" s="1"/>
  <c r="F59" i="21"/>
  <c r="S59" i="21" s="1"/>
  <c r="G59" i="21"/>
  <c r="N18" i="21"/>
  <c r="L18" i="21" s="1"/>
  <c r="N35" i="21"/>
  <c r="L35" i="21" s="1"/>
  <c r="E35" i="21" s="1"/>
  <c r="M20" i="21"/>
  <c r="P20" i="21" s="1"/>
  <c r="F47" i="21"/>
  <c r="N26" i="21"/>
  <c r="L26" i="21" s="1"/>
  <c r="E26" i="21" s="1"/>
  <c r="G17" i="21"/>
  <c r="J17" i="21" s="1"/>
  <c r="N25" i="21"/>
  <c r="L25" i="21" s="1"/>
  <c r="E25" i="21" s="1"/>
  <c r="G47" i="21"/>
  <c r="M55" i="21"/>
  <c r="P55" i="21" s="1"/>
  <c r="G25" i="21"/>
  <c r="J25" i="21" s="1"/>
  <c r="F55" i="21"/>
  <c r="S55" i="21" s="1"/>
  <c r="M49" i="21"/>
  <c r="P49" i="21" s="1"/>
  <c r="M33" i="21"/>
  <c r="P33" i="21" s="1"/>
  <c r="M39" i="21"/>
  <c r="P39" i="21" s="1"/>
  <c r="G18" i="21"/>
  <c r="J18" i="21" s="1"/>
  <c r="N20" i="21"/>
  <c r="L20" i="21" s="1"/>
  <c r="M17" i="21"/>
  <c r="P17" i="21" s="1"/>
  <c r="F35" i="21"/>
  <c r="S35" i="21" s="1"/>
  <c r="F39" i="21"/>
  <c r="H39" i="21" s="1"/>
  <c r="K39" i="21" s="1"/>
  <c r="F20" i="21"/>
  <c r="S20" i="21" s="1"/>
  <c r="F19" i="21"/>
  <c r="H19" i="21" s="1"/>
  <c r="K19" i="21" s="1"/>
  <c r="F37" i="21"/>
  <c r="H37" i="21" s="1"/>
  <c r="K37" i="21" s="1"/>
  <c r="N29" i="21"/>
  <c r="L29" i="21" s="1"/>
  <c r="O29" i="21" s="1"/>
  <c r="M27" i="21"/>
  <c r="P27" i="21" s="1"/>
  <c r="G37" i="21"/>
  <c r="J37" i="21" s="1"/>
  <c r="M29" i="21"/>
  <c r="P29" i="21" s="1"/>
  <c r="N37" i="21"/>
  <c r="L37" i="21" s="1"/>
  <c r="E37" i="21" s="1"/>
  <c r="G27" i="21"/>
  <c r="J27" i="21" s="1"/>
  <c r="M19" i="21"/>
  <c r="P19" i="21" s="1"/>
  <c r="G45" i="21"/>
  <c r="J45" i="21" s="1"/>
  <c r="F22" i="21"/>
  <c r="H22" i="21" s="1"/>
  <c r="K22" i="21" s="1"/>
  <c r="G19" i="21"/>
  <c r="J19" i="21" s="1"/>
  <c r="M43" i="21"/>
  <c r="P43" i="21" s="1"/>
  <c r="G60" i="21"/>
  <c r="J60" i="21" s="1"/>
  <c r="G22" i="21"/>
  <c r="J22" i="21" s="1"/>
  <c r="W8" i="21"/>
  <c r="AC8" i="21" s="1"/>
  <c r="C8" i="21" s="1"/>
  <c r="N23" i="21"/>
  <c r="L23" i="21" s="1"/>
  <c r="O23" i="21" s="1"/>
  <c r="N27" i="21"/>
  <c r="L27" i="21" s="1"/>
  <c r="F45" i="21"/>
  <c r="H45" i="21" s="1"/>
  <c r="K45" i="21" s="1"/>
  <c r="N45" i="21"/>
  <c r="L45" i="21" s="1"/>
  <c r="AB7" i="21"/>
  <c r="B7" i="21" s="1"/>
  <c r="M7" i="21" s="1"/>
  <c r="P7" i="21" s="1"/>
  <c r="N22" i="21"/>
  <c r="L22" i="21" s="1"/>
  <c r="E22" i="21" s="1"/>
  <c r="M16" i="21"/>
  <c r="P16" i="21" s="1"/>
  <c r="N16" i="21"/>
  <c r="L16" i="21" s="1"/>
  <c r="O16" i="21" s="1"/>
  <c r="G16" i="21"/>
  <c r="F29" i="21"/>
  <c r="S29" i="21" s="1"/>
  <c r="G41" i="21"/>
  <c r="J41" i="21" s="1"/>
  <c r="N47" i="21"/>
  <c r="L47" i="21" s="1"/>
  <c r="F23" i="21"/>
  <c r="S23" i="21" s="1"/>
  <c r="AI11" i="21"/>
  <c r="Z10" i="21"/>
  <c r="W10" i="21" s="1"/>
  <c r="AC9" i="21"/>
  <c r="C9" i="21" s="1"/>
  <c r="N9" i="21" s="1"/>
  <c r="L9" i="21" s="1"/>
  <c r="G49" i="21"/>
  <c r="N41" i="21"/>
  <c r="L41" i="21" s="1"/>
  <c r="E41" i="21" s="1"/>
  <c r="N49" i="21"/>
  <c r="L49" i="21" s="1"/>
  <c r="E49" i="21" s="1"/>
  <c r="M23" i="21"/>
  <c r="P23" i="21" s="1"/>
  <c r="N53" i="21"/>
  <c r="L53" i="21" s="1"/>
  <c r="O53" i="21" s="1"/>
  <c r="F53" i="21"/>
  <c r="H53" i="21" s="1"/>
  <c r="O20" i="21"/>
  <c r="O26" i="21"/>
  <c r="E17" i="21"/>
  <c r="O17" i="21"/>
  <c r="O21" i="21"/>
  <c r="S16" i="21"/>
  <c r="H16" i="21"/>
  <c r="K16" i="21" s="1"/>
  <c r="S18" i="21"/>
  <c r="H18" i="21"/>
  <c r="K18" i="21" s="1"/>
  <c r="J20" i="21"/>
  <c r="S24" i="21"/>
  <c r="H24" i="21"/>
  <c r="K24" i="21" s="1"/>
  <c r="J24" i="21"/>
  <c r="S26" i="21"/>
  <c r="H26" i="21"/>
  <c r="K26" i="21" s="1"/>
  <c r="J26" i="21"/>
  <c r="J29" i="21"/>
  <c r="S17" i="21"/>
  <c r="H17" i="21"/>
  <c r="K17" i="21" s="1"/>
  <c r="S21" i="21"/>
  <c r="H21" i="21"/>
  <c r="K21" i="21" s="1"/>
  <c r="J21" i="21"/>
  <c r="J23" i="21"/>
  <c r="S25" i="21"/>
  <c r="H25" i="21"/>
  <c r="K25" i="21" s="1"/>
  <c r="S27" i="21"/>
  <c r="H27" i="21"/>
  <c r="K27" i="21" s="1"/>
  <c r="S33" i="21"/>
  <c r="H33" i="21"/>
  <c r="K33" i="21" s="1"/>
  <c r="J33" i="21"/>
  <c r="J35" i="21"/>
  <c r="J39" i="21"/>
  <c r="S41" i="21"/>
  <c r="H41" i="21"/>
  <c r="K41" i="21" s="1"/>
  <c r="S43" i="21"/>
  <c r="H43" i="21"/>
  <c r="K43" i="21" s="1"/>
  <c r="J43" i="21"/>
  <c r="S45" i="21"/>
  <c r="S47" i="21"/>
  <c r="H47" i="21"/>
  <c r="K47" i="21" s="1"/>
  <c r="J47" i="21"/>
  <c r="S49" i="21"/>
  <c r="H49" i="21"/>
  <c r="K49" i="21" s="1"/>
  <c r="J49" i="21"/>
  <c r="S51" i="21"/>
  <c r="H51" i="21"/>
  <c r="K51" i="21" s="1"/>
  <c r="J53" i="21"/>
  <c r="J55" i="21"/>
  <c r="O57" i="21"/>
  <c r="E57" i="21"/>
  <c r="S57" i="21"/>
  <c r="H57" i="21"/>
  <c r="K57" i="21" s="1"/>
  <c r="O59" i="21"/>
  <c r="E59" i="21"/>
  <c r="H59" i="21"/>
  <c r="K59" i="21" s="1"/>
  <c r="O61" i="21"/>
  <c r="E61" i="21"/>
  <c r="S61" i="21"/>
  <c r="H61" i="21"/>
  <c r="K61" i="21" s="1"/>
  <c r="J58" i="21"/>
  <c r="S58" i="21"/>
  <c r="H58" i="21"/>
  <c r="K58" i="21" s="1"/>
  <c r="S60" i="21"/>
  <c r="H60" i="21"/>
  <c r="K60" i="21" s="1"/>
  <c r="J62" i="21"/>
  <c r="S62" i="21"/>
  <c r="H62" i="21"/>
  <c r="K62" i="21" s="1"/>
  <c r="Y11" i="21"/>
  <c r="AA11" i="21" s="1"/>
  <c r="E18" i="21"/>
  <c r="O18" i="21"/>
  <c r="E24" i="21"/>
  <c r="O24" i="21"/>
  <c r="N31" i="21"/>
  <c r="L31" i="21" s="1"/>
  <c r="G31" i="21"/>
  <c r="M31" i="21"/>
  <c r="P31" i="21" s="1"/>
  <c r="F31" i="21"/>
  <c r="O19" i="21"/>
  <c r="N28" i="21"/>
  <c r="L28" i="21" s="1"/>
  <c r="G28" i="21"/>
  <c r="M28" i="21"/>
  <c r="P28" i="21" s="1"/>
  <c r="F28" i="21"/>
  <c r="E33" i="21"/>
  <c r="O33" i="21"/>
  <c r="O39" i="21"/>
  <c r="E43" i="21"/>
  <c r="O43" i="21"/>
  <c r="E45" i="21"/>
  <c r="O45" i="21"/>
  <c r="E47" i="21"/>
  <c r="O47" i="21"/>
  <c r="E51" i="21"/>
  <c r="O51" i="21"/>
  <c r="E55" i="21"/>
  <c r="O55" i="21"/>
  <c r="N32" i="21"/>
  <c r="L32" i="21" s="1"/>
  <c r="G32" i="21"/>
  <c r="M32" i="21"/>
  <c r="P32" i="21" s="1"/>
  <c r="F32" i="21"/>
  <c r="N36" i="21"/>
  <c r="L36" i="21" s="1"/>
  <c r="G36" i="21"/>
  <c r="M36" i="21"/>
  <c r="P36" i="21" s="1"/>
  <c r="F36" i="21"/>
  <c r="N40" i="21"/>
  <c r="L40" i="21" s="1"/>
  <c r="G40" i="21"/>
  <c r="M40" i="21"/>
  <c r="P40" i="21" s="1"/>
  <c r="F40" i="21"/>
  <c r="N44" i="21"/>
  <c r="L44" i="21" s="1"/>
  <c r="G44" i="21"/>
  <c r="M44" i="21"/>
  <c r="P44" i="21" s="1"/>
  <c r="F44" i="21"/>
  <c r="N48" i="21"/>
  <c r="L48" i="21" s="1"/>
  <c r="G48" i="21"/>
  <c r="M48" i="21"/>
  <c r="P48" i="21" s="1"/>
  <c r="F48" i="21"/>
  <c r="N52" i="21"/>
  <c r="L52" i="21" s="1"/>
  <c r="G52" i="21"/>
  <c r="M52" i="21"/>
  <c r="P52" i="21" s="1"/>
  <c r="F52" i="21"/>
  <c r="N56" i="21"/>
  <c r="L56" i="21" s="1"/>
  <c r="G56" i="21"/>
  <c r="M56" i="21"/>
  <c r="P56" i="21" s="1"/>
  <c r="F56" i="21"/>
  <c r="J57" i="21"/>
  <c r="J59" i="21"/>
  <c r="J61" i="21"/>
  <c r="N6" i="21"/>
  <c r="L6" i="21" s="1"/>
  <c r="G6" i="21"/>
  <c r="M6" i="21"/>
  <c r="P6" i="21" s="1"/>
  <c r="F6" i="21"/>
  <c r="N30" i="21"/>
  <c r="L30" i="21" s="1"/>
  <c r="G30" i="21"/>
  <c r="M30" i="21"/>
  <c r="P30" i="21" s="1"/>
  <c r="F30" i="21"/>
  <c r="O58" i="21"/>
  <c r="E58" i="21"/>
  <c r="O60" i="21"/>
  <c r="E60" i="21"/>
  <c r="O62" i="21"/>
  <c r="E62" i="21"/>
  <c r="N34" i="21"/>
  <c r="L34" i="21" s="1"/>
  <c r="G34" i="21"/>
  <c r="M34" i="21"/>
  <c r="P34" i="21" s="1"/>
  <c r="F34" i="21"/>
  <c r="N38" i="21"/>
  <c r="L38" i="21" s="1"/>
  <c r="G38" i="21"/>
  <c r="M38" i="21"/>
  <c r="P38" i="21" s="1"/>
  <c r="F38" i="21"/>
  <c r="N42" i="21"/>
  <c r="L42" i="21" s="1"/>
  <c r="G42" i="21"/>
  <c r="M42" i="21"/>
  <c r="P42" i="21" s="1"/>
  <c r="F42" i="21"/>
  <c r="N46" i="21"/>
  <c r="L46" i="21" s="1"/>
  <c r="G46" i="21"/>
  <c r="M46" i="21"/>
  <c r="P46" i="21" s="1"/>
  <c r="F46" i="21"/>
  <c r="N50" i="21"/>
  <c r="L50" i="21" s="1"/>
  <c r="G50" i="21"/>
  <c r="M50" i="21"/>
  <c r="P50" i="21" s="1"/>
  <c r="F50" i="21"/>
  <c r="N54" i="21"/>
  <c r="L54" i="21" s="1"/>
  <c r="G54" i="21"/>
  <c r="M54" i="21"/>
  <c r="P54" i="21" s="1"/>
  <c r="F54" i="21"/>
  <c r="H55" i="21" l="1"/>
  <c r="K55" i="21" s="1"/>
  <c r="O35" i="21"/>
  <c r="S19" i="21"/>
  <c r="E20" i="21"/>
  <c r="AL20" i="21" s="1"/>
  <c r="O25" i="21"/>
  <c r="S39" i="21"/>
  <c r="H35" i="21"/>
  <c r="K35" i="21" s="1"/>
  <c r="E39" i="21"/>
  <c r="R39" i="21" s="1"/>
  <c r="S37" i="21"/>
  <c r="H20" i="21"/>
  <c r="K20" i="21" s="1"/>
  <c r="O37" i="21"/>
  <c r="O22" i="21"/>
  <c r="E27" i="21"/>
  <c r="R27" i="21" s="1"/>
  <c r="F7" i="21"/>
  <c r="H7" i="21" s="1"/>
  <c r="K7" i="21" s="1"/>
  <c r="E19" i="21"/>
  <c r="R19" i="21" s="1"/>
  <c r="E29" i="21"/>
  <c r="R29" i="21" s="1"/>
  <c r="AB8" i="21"/>
  <c r="B8" i="21" s="1"/>
  <c r="F8" i="21" s="1"/>
  <c r="S8" i="21" s="1"/>
  <c r="G7" i="21"/>
  <c r="J7" i="21" s="1"/>
  <c r="E53" i="21"/>
  <c r="AL53" i="21" s="1"/>
  <c r="S22" i="21"/>
  <c r="D59" i="21"/>
  <c r="H29" i="21"/>
  <c r="K29" i="21" s="1"/>
  <c r="O27" i="21"/>
  <c r="N7" i="21"/>
  <c r="L7" i="21" s="1"/>
  <c r="E7" i="21" s="1"/>
  <c r="M9" i="21"/>
  <c r="P9" i="21" s="1"/>
  <c r="D18" i="21"/>
  <c r="AK18" i="21" s="1"/>
  <c r="E16" i="21"/>
  <c r="AL16" i="21" s="1"/>
  <c r="D16" i="21"/>
  <c r="AK16" i="21" s="1"/>
  <c r="F9" i="21"/>
  <c r="S9" i="21" s="1"/>
  <c r="J16" i="21"/>
  <c r="H23" i="21"/>
  <c r="K23" i="21" s="1"/>
  <c r="O49" i="21"/>
  <c r="O41" i="21"/>
  <c r="G9" i="21"/>
  <c r="J9" i="21" s="1"/>
  <c r="D61" i="21"/>
  <c r="AK61" i="21" s="1"/>
  <c r="D57" i="21"/>
  <c r="AK57" i="21" s="1"/>
  <c r="Z11" i="21"/>
  <c r="W11" i="21" s="1"/>
  <c r="AC11" i="21" s="1"/>
  <c r="C11" i="21" s="1"/>
  <c r="S53" i="21"/>
  <c r="D26" i="21"/>
  <c r="Q26" i="21" s="1"/>
  <c r="E23" i="21"/>
  <c r="AL23" i="21" s="1"/>
  <c r="D24" i="21"/>
  <c r="Q24" i="21" s="1"/>
  <c r="D22" i="21"/>
  <c r="AK22" i="21" s="1"/>
  <c r="K53" i="21"/>
  <c r="D53" i="21"/>
  <c r="AK53" i="21" s="1"/>
  <c r="D55" i="21"/>
  <c r="AK55" i="21" s="1"/>
  <c r="D51" i="21"/>
  <c r="AK51" i="21" s="1"/>
  <c r="D49" i="21"/>
  <c r="D47" i="21"/>
  <c r="D45" i="21"/>
  <c r="AK45" i="21" s="1"/>
  <c r="D43" i="21"/>
  <c r="Q43" i="21" s="1"/>
  <c r="D41" i="21"/>
  <c r="Q41" i="21" s="1"/>
  <c r="D39" i="21"/>
  <c r="D37" i="21"/>
  <c r="Q37" i="21" s="1"/>
  <c r="D33" i="21"/>
  <c r="D27" i="21"/>
  <c r="D25" i="21"/>
  <c r="Q25" i="21" s="1"/>
  <c r="D21" i="21"/>
  <c r="D19" i="21"/>
  <c r="D17" i="21"/>
  <c r="Q17" i="21" s="1"/>
  <c r="E54" i="21"/>
  <c r="O54" i="21"/>
  <c r="E50" i="21"/>
  <c r="O50" i="21"/>
  <c r="E46" i="21"/>
  <c r="O46" i="21"/>
  <c r="E42" i="21"/>
  <c r="O42" i="21"/>
  <c r="E38" i="21"/>
  <c r="O38" i="21"/>
  <c r="E34" i="21"/>
  <c r="O34" i="21"/>
  <c r="E30" i="21"/>
  <c r="O30" i="21"/>
  <c r="E6" i="21"/>
  <c r="O6" i="21"/>
  <c r="AK59" i="21"/>
  <c r="Q59" i="21"/>
  <c r="E56" i="21"/>
  <c r="O56" i="21"/>
  <c r="E52" i="21"/>
  <c r="O52" i="21"/>
  <c r="E48" i="21"/>
  <c r="O48" i="21"/>
  <c r="E44" i="21"/>
  <c r="O44" i="21"/>
  <c r="E40" i="21"/>
  <c r="O40" i="21"/>
  <c r="E36" i="21"/>
  <c r="O36" i="21"/>
  <c r="E32" i="21"/>
  <c r="O32" i="21"/>
  <c r="AL55" i="21"/>
  <c r="R55" i="21"/>
  <c r="AL51" i="21"/>
  <c r="R51" i="21"/>
  <c r="AL49" i="21"/>
  <c r="R49" i="21"/>
  <c r="AL47" i="21"/>
  <c r="R47" i="21"/>
  <c r="AL45" i="21"/>
  <c r="R45" i="21"/>
  <c r="AL43" i="21"/>
  <c r="R43" i="21"/>
  <c r="AL41" i="21"/>
  <c r="R41" i="21"/>
  <c r="AL37" i="21"/>
  <c r="R37" i="21"/>
  <c r="AL35" i="21"/>
  <c r="R35" i="21"/>
  <c r="AL33" i="21"/>
  <c r="R33" i="21"/>
  <c r="E28" i="21"/>
  <c r="O28" i="21"/>
  <c r="AL27" i="21"/>
  <c r="E31" i="21"/>
  <c r="O31" i="21"/>
  <c r="AL24" i="21"/>
  <c r="R24" i="21"/>
  <c r="AL22" i="21"/>
  <c r="R22" i="21"/>
  <c r="AL18" i="21"/>
  <c r="R18" i="21"/>
  <c r="AI12" i="21"/>
  <c r="Z12" i="21"/>
  <c r="Y12" i="21"/>
  <c r="AA12" i="21" s="1"/>
  <c r="D62" i="21"/>
  <c r="D60" i="21"/>
  <c r="D58" i="21"/>
  <c r="O9" i="21"/>
  <c r="S54" i="21"/>
  <c r="H54" i="21"/>
  <c r="K54" i="21" s="1"/>
  <c r="J54" i="21"/>
  <c r="S50" i="21"/>
  <c r="H50" i="21"/>
  <c r="K50" i="21" s="1"/>
  <c r="J50" i="21"/>
  <c r="S46" i="21"/>
  <c r="H46" i="21"/>
  <c r="K46" i="21" s="1"/>
  <c r="J46" i="21"/>
  <c r="S42" i="21"/>
  <c r="H42" i="21"/>
  <c r="K42" i="21" s="1"/>
  <c r="J42" i="21"/>
  <c r="S38" i="21"/>
  <c r="H38" i="21"/>
  <c r="K38" i="21" s="1"/>
  <c r="J38" i="21"/>
  <c r="S34" i="21"/>
  <c r="H34" i="21"/>
  <c r="K34" i="21" s="1"/>
  <c r="J34" i="21"/>
  <c r="R62" i="21"/>
  <c r="AL62" i="21"/>
  <c r="R60" i="21"/>
  <c r="AL60" i="21"/>
  <c r="R58" i="21"/>
  <c r="AL58" i="21"/>
  <c r="S30" i="21"/>
  <c r="H30" i="21"/>
  <c r="J30" i="21"/>
  <c r="H6" i="21"/>
  <c r="K6" i="21" s="1"/>
  <c r="S6" i="21"/>
  <c r="J6" i="21"/>
  <c r="S56" i="21"/>
  <c r="H56" i="21"/>
  <c r="J56" i="21"/>
  <c r="S52" i="21"/>
  <c r="H52" i="21"/>
  <c r="J52" i="21"/>
  <c r="S48" i="21"/>
  <c r="H48" i="21"/>
  <c r="J48" i="21"/>
  <c r="S44" i="21"/>
  <c r="H44" i="21"/>
  <c r="J44" i="21"/>
  <c r="S40" i="21"/>
  <c r="H40" i="21"/>
  <c r="J40" i="21"/>
  <c r="S36" i="21"/>
  <c r="H36" i="21"/>
  <c r="J36" i="21"/>
  <c r="S32" i="21"/>
  <c r="H32" i="21"/>
  <c r="J32" i="21"/>
  <c r="S28" i="21"/>
  <c r="H28" i="21"/>
  <c r="J28" i="21"/>
  <c r="S31" i="21"/>
  <c r="H31" i="21"/>
  <c r="J31" i="21"/>
  <c r="AL61" i="21"/>
  <c r="R61" i="21"/>
  <c r="AL59" i="21"/>
  <c r="R59" i="21"/>
  <c r="AL57" i="21"/>
  <c r="R57" i="21"/>
  <c r="Q45" i="21"/>
  <c r="AB10" i="21"/>
  <c r="B10" i="21" s="1"/>
  <c r="AC10" i="21"/>
  <c r="C10" i="21" s="1"/>
  <c r="AL25" i="21"/>
  <c r="R25" i="21"/>
  <c r="AL21" i="21"/>
  <c r="R21" i="21"/>
  <c r="AL17" i="21"/>
  <c r="R17" i="21"/>
  <c r="AL26" i="21"/>
  <c r="R26" i="21"/>
  <c r="R20" i="21"/>
  <c r="B219" i="15"/>
  <c r="C219" i="15"/>
  <c r="M219" i="15"/>
  <c r="P219" i="15" s="1"/>
  <c r="B220" i="15"/>
  <c r="C220" i="15"/>
  <c r="G220" i="15" s="1"/>
  <c r="J220" i="15" s="1"/>
  <c r="N220" i="15"/>
  <c r="L220" i="15" s="1"/>
  <c r="B221" i="15"/>
  <c r="C221" i="15"/>
  <c r="F221" i="15"/>
  <c r="H221" i="15" s="1"/>
  <c r="K221" i="15" s="1"/>
  <c r="M221" i="15"/>
  <c r="P221" i="15" s="1"/>
  <c r="B222" i="15"/>
  <c r="C222" i="15"/>
  <c r="G222" i="15" s="1"/>
  <c r="B223" i="15"/>
  <c r="C223" i="15"/>
  <c r="M223" i="15"/>
  <c r="P223" i="15" s="1"/>
  <c r="B224" i="15"/>
  <c r="G224" i="15" s="1"/>
  <c r="J224" i="15" s="1"/>
  <c r="C224" i="15"/>
  <c r="N224" i="15"/>
  <c r="L224" i="15" s="1"/>
  <c r="B225" i="15"/>
  <c r="C225" i="15"/>
  <c r="F225" i="15"/>
  <c r="H225" i="15" s="1"/>
  <c r="K225" i="15" s="1"/>
  <c r="M225" i="15"/>
  <c r="P225" i="15" s="1"/>
  <c r="B226" i="15"/>
  <c r="C226" i="15"/>
  <c r="G226" i="15" s="1"/>
  <c r="B227" i="15"/>
  <c r="C227" i="15"/>
  <c r="M227" i="15"/>
  <c r="P227" i="15" s="1"/>
  <c r="B228" i="15"/>
  <c r="G228" i="15" s="1"/>
  <c r="J228" i="15" s="1"/>
  <c r="C228" i="15"/>
  <c r="N228" i="15"/>
  <c r="L228" i="15" s="1"/>
  <c r="B229" i="15"/>
  <c r="C229" i="15"/>
  <c r="F229" i="15"/>
  <c r="H229" i="15" s="1"/>
  <c r="K229" i="15" s="1"/>
  <c r="M229" i="15"/>
  <c r="P229" i="15" s="1"/>
  <c r="B230" i="15"/>
  <c r="C230" i="15"/>
  <c r="G230" i="15" s="1"/>
  <c r="B231" i="15"/>
  <c r="C231" i="15"/>
  <c r="M231" i="15"/>
  <c r="P231" i="15" s="1"/>
  <c r="B232" i="15"/>
  <c r="G232" i="15" s="1"/>
  <c r="J232" i="15" s="1"/>
  <c r="C232" i="15"/>
  <c r="N232" i="15"/>
  <c r="L232" i="15" s="1"/>
  <c r="B233" i="15"/>
  <c r="C233" i="15"/>
  <c r="F233" i="15"/>
  <c r="H233" i="15" s="1"/>
  <c r="K233" i="15" s="1"/>
  <c r="M233" i="15"/>
  <c r="P233" i="15" s="1"/>
  <c r="B234" i="15"/>
  <c r="C234" i="15"/>
  <c r="G234" i="15" s="1"/>
  <c r="B235" i="15"/>
  <c r="C235" i="15"/>
  <c r="M235" i="15"/>
  <c r="P235" i="15" s="1"/>
  <c r="B236" i="15"/>
  <c r="G236" i="15" s="1"/>
  <c r="J236" i="15" s="1"/>
  <c r="C236" i="15"/>
  <c r="N236" i="15"/>
  <c r="L236" i="15" s="1"/>
  <c r="B237" i="15"/>
  <c r="C237" i="15"/>
  <c r="F237" i="15"/>
  <c r="H237" i="15" s="1"/>
  <c r="K237" i="15" s="1"/>
  <c r="M237" i="15"/>
  <c r="P237" i="15" s="1"/>
  <c r="B238" i="15"/>
  <c r="C238" i="15"/>
  <c r="G238" i="15" s="1"/>
  <c r="B239" i="15"/>
  <c r="C239" i="15"/>
  <c r="M239" i="15"/>
  <c r="P239" i="15" s="1"/>
  <c r="B240" i="15"/>
  <c r="G240" i="15" s="1"/>
  <c r="J240" i="15" s="1"/>
  <c r="C240" i="15"/>
  <c r="N240" i="15"/>
  <c r="L240" i="15" s="1"/>
  <c r="B241" i="15"/>
  <c r="C241" i="15"/>
  <c r="F241" i="15"/>
  <c r="H241" i="15" s="1"/>
  <c r="K241" i="15" s="1"/>
  <c r="M241" i="15"/>
  <c r="P241" i="15" s="1"/>
  <c r="B242" i="15"/>
  <c r="C242" i="15"/>
  <c r="G242" i="15" s="1"/>
  <c r="B243" i="15"/>
  <c r="C243" i="15"/>
  <c r="M243" i="15"/>
  <c r="P243" i="15" s="1"/>
  <c r="B244" i="15"/>
  <c r="G244" i="15" s="1"/>
  <c r="J244" i="15" s="1"/>
  <c r="C244" i="15"/>
  <c r="N244" i="15"/>
  <c r="L244" i="15" s="1"/>
  <c r="B245" i="15"/>
  <c r="C245" i="15"/>
  <c r="F245" i="15"/>
  <c r="H245" i="15" s="1"/>
  <c r="K245" i="15" s="1"/>
  <c r="M245" i="15"/>
  <c r="P245" i="15" s="1"/>
  <c r="B246" i="15"/>
  <c r="C246" i="15"/>
  <c r="G246" i="15" s="1"/>
  <c r="B247" i="15"/>
  <c r="C247" i="15"/>
  <c r="M247" i="15"/>
  <c r="P247" i="15" s="1"/>
  <c r="B248" i="15"/>
  <c r="G248" i="15" s="1"/>
  <c r="J248" i="15" s="1"/>
  <c r="C248" i="15"/>
  <c r="N248" i="15"/>
  <c r="L248" i="15" s="1"/>
  <c r="B249" i="15"/>
  <c r="C249" i="15"/>
  <c r="F249" i="15"/>
  <c r="H249" i="15" s="1"/>
  <c r="K249" i="15" s="1"/>
  <c r="M249" i="15"/>
  <c r="P249" i="15" s="1"/>
  <c r="B250" i="15"/>
  <c r="C250" i="15"/>
  <c r="G250" i="15" s="1"/>
  <c r="B251" i="15"/>
  <c r="C251" i="15"/>
  <c r="M251" i="15"/>
  <c r="P251" i="15" s="1"/>
  <c r="B252" i="15"/>
  <c r="G252" i="15" s="1"/>
  <c r="J252" i="15" s="1"/>
  <c r="C252" i="15"/>
  <c r="N252" i="15"/>
  <c r="L252" i="15" s="1"/>
  <c r="Q53" i="21" l="1"/>
  <c r="AL39" i="21"/>
  <c r="Q51" i="21"/>
  <c r="S7" i="21"/>
  <c r="Q61" i="21"/>
  <c r="D23" i="21"/>
  <c r="AK23" i="21" s="1"/>
  <c r="AK43" i="21"/>
  <c r="D20" i="21"/>
  <c r="AK20" i="21" s="1"/>
  <c r="D35" i="21"/>
  <c r="AK35" i="21" s="1"/>
  <c r="AL19" i="21"/>
  <c r="N8" i="21"/>
  <c r="L8" i="21" s="1"/>
  <c r="AL29" i="21"/>
  <c r="M8" i="21"/>
  <c r="P8" i="21" s="1"/>
  <c r="G8" i="21"/>
  <c r="J8" i="21" s="1"/>
  <c r="AK26" i="21"/>
  <c r="O7" i="21"/>
  <c r="AK25" i="21"/>
  <c r="AK24" i="21"/>
  <c r="AK37" i="21"/>
  <c r="R53" i="21"/>
  <c r="Q55" i="21"/>
  <c r="D29" i="21"/>
  <c r="H9" i="21"/>
  <c r="K9" i="21" s="1"/>
  <c r="Q20" i="21"/>
  <c r="E9" i="21"/>
  <c r="R9" i="21" s="1"/>
  <c r="Q22" i="21"/>
  <c r="R23" i="21"/>
  <c r="Q18" i="21"/>
  <c r="AK17" i="21"/>
  <c r="R16" i="21"/>
  <c r="Q16" i="21"/>
  <c r="H8" i="21"/>
  <c r="K8" i="21" s="1"/>
  <c r="Q57" i="21"/>
  <c r="AB11" i="21"/>
  <c r="B11" i="21" s="1"/>
  <c r="F11" i="21" s="1"/>
  <c r="D34" i="21"/>
  <c r="Q34" i="21" s="1"/>
  <c r="D38" i="21"/>
  <c r="AK38" i="21" s="1"/>
  <c r="D42" i="21"/>
  <c r="Q42" i="21" s="1"/>
  <c r="D46" i="21"/>
  <c r="Q46" i="21" s="1"/>
  <c r="D50" i="21"/>
  <c r="AK50" i="21" s="1"/>
  <c r="D54" i="21"/>
  <c r="AK54" i="21" s="1"/>
  <c r="AK41" i="21"/>
  <c r="D6" i="21"/>
  <c r="K48" i="21"/>
  <c r="D48" i="21"/>
  <c r="Q48" i="21" s="1"/>
  <c r="AK27" i="21"/>
  <c r="Q27" i="21"/>
  <c r="AK47" i="21"/>
  <c r="Q47" i="21"/>
  <c r="K32" i="21"/>
  <c r="D32" i="21"/>
  <c r="Q32" i="21" s="1"/>
  <c r="AK19" i="21"/>
  <c r="Q19" i="21"/>
  <c r="AK39" i="21"/>
  <c r="Q39" i="21"/>
  <c r="S249" i="15"/>
  <c r="S245" i="15"/>
  <c r="S241" i="15"/>
  <c r="S237" i="15"/>
  <c r="S233" i="15"/>
  <c r="S229" i="15"/>
  <c r="S225" i="15"/>
  <c r="S221" i="15"/>
  <c r="K28" i="21"/>
  <c r="D28" i="21"/>
  <c r="K44" i="21"/>
  <c r="D44" i="21"/>
  <c r="AK44" i="21" s="1"/>
  <c r="K30" i="21"/>
  <c r="D30" i="21"/>
  <c r="Q30" i="21" s="1"/>
  <c r="AK21" i="21"/>
  <c r="Q21" i="21"/>
  <c r="Q33" i="21"/>
  <c r="AK33" i="21"/>
  <c r="Q49" i="21"/>
  <c r="AK49" i="21"/>
  <c r="K31" i="21"/>
  <c r="D31" i="21"/>
  <c r="Q31" i="21" s="1"/>
  <c r="K40" i="21"/>
  <c r="D40" i="21"/>
  <c r="Q40" i="21" s="1"/>
  <c r="K56" i="21"/>
  <c r="D56" i="21"/>
  <c r="Q56" i="21" s="1"/>
  <c r="K36" i="21"/>
  <c r="D36" i="21"/>
  <c r="AK36" i="21" s="1"/>
  <c r="K52" i="21"/>
  <c r="D52" i="21"/>
  <c r="D7" i="21"/>
  <c r="AK7" i="21" s="1"/>
  <c r="R7" i="21"/>
  <c r="AL7" i="21"/>
  <c r="AK60" i="21"/>
  <c r="Q60" i="21"/>
  <c r="W12" i="21"/>
  <c r="N10" i="21"/>
  <c r="L10" i="21" s="1"/>
  <c r="G10" i="21"/>
  <c r="M10" i="21"/>
  <c r="P10" i="21" s="1"/>
  <c r="F10" i="21"/>
  <c r="AK58" i="21"/>
  <c r="Q58" i="21"/>
  <c r="AK62" i="21"/>
  <c r="Q62" i="21"/>
  <c r="Y13" i="21"/>
  <c r="AA13" i="21" s="1"/>
  <c r="AI13" i="21"/>
  <c r="Z13" i="21"/>
  <c r="AL31" i="21"/>
  <c r="R31" i="21"/>
  <c r="AL28" i="21"/>
  <c r="R28" i="21"/>
  <c r="AL32" i="21"/>
  <c r="R32" i="21"/>
  <c r="AL36" i="21"/>
  <c r="R36" i="21"/>
  <c r="AL40" i="21"/>
  <c r="R40" i="21"/>
  <c r="AL44" i="21"/>
  <c r="R44" i="21"/>
  <c r="AL48" i="21"/>
  <c r="R48" i="21"/>
  <c r="AL52" i="21"/>
  <c r="R52" i="21"/>
  <c r="AL56" i="21"/>
  <c r="R56" i="21"/>
  <c r="AL6" i="21"/>
  <c r="R6" i="21"/>
  <c r="AL30" i="21"/>
  <c r="R30" i="21"/>
  <c r="AL34" i="21"/>
  <c r="R34" i="21"/>
  <c r="AL38" i="21"/>
  <c r="R38" i="21"/>
  <c r="AL42" i="21"/>
  <c r="R42" i="21"/>
  <c r="AL46" i="21"/>
  <c r="R46" i="21"/>
  <c r="AL50" i="21"/>
  <c r="R50" i="21"/>
  <c r="AL54" i="21"/>
  <c r="R54" i="21"/>
  <c r="O252" i="15"/>
  <c r="O248" i="15"/>
  <c r="O244" i="15"/>
  <c r="O240" i="15"/>
  <c r="O236" i="15"/>
  <c r="O232" i="15"/>
  <c r="O228" i="15"/>
  <c r="O224" i="15"/>
  <c r="O220" i="15"/>
  <c r="G251" i="15"/>
  <c r="N251" i="15"/>
  <c r="L251" i="15" s="1"/>
  <c r="F250" i="15"/>
  <c r="M250" i="15"/>
  <c r="P250" i="15" s="1"/>
  <c r="G247" i="15"/>
  <c r="N247" i="15"/>
  <c r="L247" i="15" s="1"/>
  <c r="F246" i="15"/>
  <c r="M246" i="15"/>
  <c r="P246" i="15" s="1"/>
  <c r="G243" i="15"/>
  <c r="N243" i="15"/>
  <c r="L243" i="15" s="1"/>
  <c r="F242" i="15"/>
  <c r="M242" i="15"/>
  <c r="P242" i="15" s="1"/>
  <c r="G239" i="15"/>
  <c r="N239" i="15"/>
  <c r="L239" i="15" s="1"/>
  <c r="F238" i="15"/>
  <c r="M238" i="15"/>
  <c r="P238" i="15" s="1"/>
  <c r="G235" i="15"/>
  <c r="N235" i="15"/>
  <c r="L235" i="15" s="1"/>
  <c r="F234" i="15"/>
  <c r="M234" i="15"/>
  <c r="P234" i="15" s="1"/>
  <c r="G231" i="15"/>
  <c r="N231" i="15"/>
  <c r="L231" i="15" s="1"/>
  <c r="F230" i="15"/>
  <c r="M230" i="15"/>
  <c r="P230" i="15" s="1"/>
  <c r="G227" i="15"/>
  <c r="N227" i="15"/>
  <c r="L227" i="15" s="1"/>
  <c r="F226" i="15"/>
  <c r="M226" i="15"/>
  <c r="P226" i="15" s="1"/>
  <c r="G223" i="15"/>
  <c r="N223" i="15"/>
  <c r="L223" i="15" s="1"/>
  <c r="F222" i="15"/>
  <c r="M222" i="15"/>
  <c r="P222" i="15" s="1"/>
  <c r="G219" i="15"/>
  <c r="N219" i="15"/>
  <c r="L219" i="15" s="1"/>
  <c r="F252" i="15"/>
  <c r="M252" i="15"/>
  <c r="P252" i="15" s="1"/>
  <c r="F251" i="15"/>
  <c r="N250" i="15"/>
  <c r="L250" i="15" s="1"/>
  <c r="J250" i="15"/>
  <c r="G249" i="15"/>
  <c r="N249" i="15"/>
  <c r="L249" i="15" s="1"/>
  <c r="F248" i="15"/>
  <c r="M248" i="15"/>
  <c r="P248" i="15" s="1"/>
  <c r="F247" i="15"/>
  <c r="N246" i="15"/>
  <c r="L246" i="15" s="1"/>
  <c r="J246" i="15"/>
  <c r="G245" i="15"/>
  <c r="N245" i="15"/>
  <c r="L245" i="15" s="1"/>
  <c r="F244" i="15"/>
  <c r="M244" i="15"/>
  <c r="P244" i="15" s="1"/>
  <c r="F243" i="15"/>
  <c r="N242" i="15"/>
  <c r="L242" i="15" s="1"/>
  <c r="J242" i="15"/>
  <c r="G241" i="15"/>
  <c r="N241" i="15"/>
  <c r="L241" i="15" s="1"/>
  <c r="F240" i="15"/>
  <c r="M240" i="15"/>
  <c r="P240" i="15" s="1"/>
  <c r="F239" i="15"/>
  <c r="N238" i="15"/>
  <c r="L238" i="15" s="1"/>
  <c r="J238" i="15"/>
  <c r="G237" i="15"/>
  <c r="N237" i="15"/>
  <c r="L237" i="15" s="1"/>
  <c r="F236" i="15"/>
  <c r="M236" i="15"/>
  <c r="P236" i="15" s="1"/>
  <c r="F235" i="15"/>
  <c r="N234" i="15"/>
  <c r="L234" i="15" s="1"/>
  <c r="J234" i="15"/>
  <c r="G233" i="15"/>
  <c r="N233" i="15"/>
  <c r="L233" i="15" s="1"/>
  <c r="F232" i="15"/>
  <c r="M232" i="15"/>
  <c r="P232" i="15" s="1"/>
  <c r="F231" i="15"/>
  <c r="N230" i="15"/>
  <c r="L230" i="15" s="1"/>
  <c r="J230" i="15"/>
  <c r="G229" i="15"/>
  <c r="N229" i="15"/>
  <c r="L229" i="15" s="1"/>
  <c r="F228" i="15"/>
  <c r="M228" i="15"/>
  <c r="P228" i="15" s="1"/>
  <c r="F227" i="15"/>
  <c r="N226" i="15"/>
  <c r="L226" i="15" s="1"/>
  <c r="J226" i="15"/>
  <c r="G225" i="15"/>
  <c r="N225" i="15"/>
  <c r="L225" i="15" s="1"/>
  <c r="F224" i="15"/>
  <c r="M224" i="15"/>
  <c r="P224" i="15" s="1"/>
  <c r="F223" i="15"/>
  <c r="N222" i="15"/>
  <c r="L222" i="15" s="1"/>
  <c r="J222" i="15"/>
  <c r="G221" i="15"/>
  <c r="N221" i="15"/>
  <c r="L221" i="15" s="1"/>
  <c r="F220" i="15"/>
  <c r="M220" i="15"/>
  <c r="P220" i="15" s="1"/>
  <c r="F219" i="15"/>
  <c r="Q1" i="15"/>
  <c r="E228" i="15" l="1"/>
  <c r="R228" i="15" s="1"/>
  <c r="E244" i="15"/>
  <c r="R244" i="15" s="1"/>
  <c r="Q23" i="21"/>
  <c r="E8" i="21"/>
  <c r="R8" i="21" s="1"/>
  <c r="O8" i="21"/>
  <c r="Q6" i="21"/>
  <c r="W1" i="21"/>
  <c r="Q35" i="21"/>
  <c r="AK34" i="21"/>
  <c r="Q36" i="21"/>
  <c r="D9" i="21"/>
  <c r="AK9" i="21" s="1"/>
  <c r="AL9" i="21"/>
  <c r="AK42" i="21"/>
  <c r="AK40" i="21"/>
  <c r="AK48" i="21"/>
  <c r="AK29" i="21"/>
  <c r="Q29" i="21"/>
  <c r="Q54" i="21"/>
  <c r="Q44" i="21"/>
  <c r="AK31" i="21"/>
  <c r="D8" i="21"/>
  <c r="Q8" i="21" s="1"/>
  <c r="N11" i="21"/>
  <c r="L11" i="21" s="1"/>
  <c r="O11" i="21" s="1"/>
  <c r="M11" i="21"/>
  <c r="P11" i="21" s="1"/>
  <c r="G11" i="21"/>
  <c r="J11" i="21" s="1"/>
  <c r="Q38" i="21"/>
  <c r="Q50" i="21"/>
  <c r="Q7" i="21"/>
  <c r="AK46" i="21"/>
  <c r="AK6" i="21"/>
  <c r="E220" i="15"/>
  <c r="R220" i="15" s="1"/>
  <c r="E236" i="15"/>
  <c r="R236" i="15" s="1"/>
  <c r="E252" i="15"/>
  <c r="R252" i="15" s="1"/>
  <c r="AK52" i="21"/>
  <c r="Q52" i="21"/>
  <c r="AK28" i="21"/>
  <c r="Q28" i="21"/>
  <c r="E224" i="15"/>
  <c r="R224" i="15" s="1"/>
  <c r="E232" i="15"/>
  <c r="R232" i="15" s="1"/>
  <c r="E240" i="15"/>
  <c r="R240" i="15" s="1"/>
  <c r="E248" i="15"/>
  <c r="R248" i="15" s="1"/>
  <c r="AK56" i="21"/>
  <c r="AK30" i="21"/>
  <c r="AK32" i="21"/>
  <c r="W13" i="21"/>
  <c r="AC13" i="21" s="1"/>
  <c r="C13" i="21" s="1"/>
  <c r="S10" i="21"/>
  <c r="H10" i="21"/>
  <c r="K10" i="21" s="1"/>
  <c r="J10" i="21"/>
  <c r="AB12" i="21"/>
  <c r="B12" i="21" s="1"/>
  <c r="AC12" i="21"/>
  <c r="C12" i="21" s="1"/>
  <c r="AI14" i="21"/>
  <c r="Z14" i="21"/>
  <c r="Y14" i="21"/>
  <c r="AA14" i="21" s="1"/>
  <c r="E10" i="21"/>
  <c r="O10" i="21"/>
  <c r="S11" i="21"/>
  <c r="H11" i="21"/>
  <c r="K11" i="21" s="1"/>
  <c r="S219" i="15"/>
  <c r="H219" i="15"/>
  <c r="K219" i="15" s="1"/>
  <c r="H220" i="15"/>
  <c r="S220" i="15"/>
  <c r="E221" i="15"/>
  <c r="R221" i="15" s="1"/>
  <c r="O221" i="15"/>
  <c r="S223" i="15"/>
  <c r="H223" i="15"/>
  <c r="K223" i="15" s="1"/>
  <c r="H224" i="15"/>
  <c r="S224" i="15"/>
  <c r="E225" i="15"/>
  <c r="R225" i="15" s="1"/>
  <c r="O225" i="15"/>
  <c r="S227" i="15"/>
  <c r="H227" i="15"/>
  <c r="K227" i="15" s="1"/>
  <c r="H228" i="15"/>
  <c r="S228" i="15"/>
  <c r="E229" i="15"/>
  <c r="R229" i="15" s="1"/>
  <c r="O229" i="15"/>
  <c r="S231" i="15"/>
  <c r="H231" i="15"/>
  <c r="K231" i="15" s="1"/>
  <c r="H232" i="15"/>
  <c r="S232" i="15"/>
  <c r="E233" i="15"/>
  <c r="R233" i="15" s="1"/>
  <c r="O233" i="15"/>
  <c r="S235" i="15"/>
  <c r="H235" i="15"/>
  <c r="K235" i="15" s="1"/>
  <c r="H236" i="15"/>
  <c r="S236" i="15"/>
  <c r="E237" i="15"/>
  <c r="R237" i="15" s="1"/>
  <c r="O237" i="15"/>
  <c r="S239" i="15"/>
  <c r="H239" i="15"/>
  <c r="K239" i="15" s="1"/>
  <c r="H240" i="15"/>
  <c r="S240" i="15"/>
  <c r="E241" i="15"/>
  <c r="R241" i="15" s="1"/>
  <c r="O241" i="15"/>
  <c r="S243" i="15"/>
  <c r="H243" i="15"/>
  <c r="K243" i="15" s="1"/>
  <c r="H244" i="15"/>
  <c r="S244" i="15"/>
  <c r="E245" i="15"/>
  <c r="R245" i="15" s="1"/>
  <c r="O245" i="15"/>
  <c r="S247" i="15"/>
  <c r="H247" i="15"/>
  <c r="K247" i="15" s="1"/>
  <c r="H248" i="15"/>
  <c r="S248" i="15"/>
  <c r="E249" i="15"/>
  <c r="R249" i="15" s="1"/>
  <c r="O249" i="15"/>
  <c r="S251" i="15"/>
  <c r="H251" i="15"/>
  <c r="K251" i="15" s="1"/>
  <c r="H252" i="15"/>
  <c r="S252" i="15"/>
  <c r="E219" i="15"/>
  <c r="R219" i="15" s="1"/>
  <c r="O219" i="15"/>
  <c r="J223" i="15"/>
  <c r="D223" i="15"/>
  <c r="Q223" i="15" s="1"/>
  <c r="H226" i="15"/>
  <c r="S226" i="15"/>
  <c r="E227" i="15"/>
  <c r="R227" i="15" s="1"/>
  <c r="O227" i="15"/>
  <c r="J231" i="15"/>
  <c r="H234" i="15"/>
  <c r="S234" i="15"/>
  <c r="E235" i="15"/>
  <c r="R235" i="15" s="1"/>
  <c r="O235" i="15"/>
  <c r="J239" i="15"/>
  <c r="H242" i="15"/>
  <c r="S242" i="15"/>
  <c r="E243" i="15"/>
  <c r="R243" i="15" s="1"/>
  <c r="O243" i="15"/>
  <c r="J247" i="15"/>
  <c r="H250" i="15"/>
  <c r="S250" i="15"/>
  <c r="E251" i="15"/>
  <c r="R251" i="15" s="1"/>
  <c r="O251" i="15"/>
  <c r="J221" i="15"/>
  <c r="D221" i="15"/>
  <c r="Q221" i="15" s="1"/>
  <c r="O222" i="15"/>
  <c r="E222" i="15"/>
  <c r="R222" i="15" s="1"/>
  <c r="J225" i="15"/>
  <c r="D225" i="15"/>
  <c r="Q225" i="15" s="1"/>
  <c r="O226" i="15"/>
  <c r="E226" i="15"/>
  <c r="R226" i="15" s="1"/>
  <c r="J229" i="15"/>
  <c r="D229" i="15"/>
  <c r="Q229" i="15" s="1"/>
  <c r="O230" i="15"/>
  <c r="E230" i="15"/>
  <c r="R230" i="15" s="1"/>
  <c r="J233" i="15"/>
  <c r="D233" i="15"/>
  <c r="Q233" i="15" s="1"/>
  <c r="O234" i="15"/>
  <c r="E234" i="15"/>
  <c r="R234" i="15" s="1"/>
  <c r="J237" i="15"/>
  <c r="D237" i="15"/>
  <c r="Q237" i="15" s="1"/>
  <c r="O238" i="15"/>
  <c r="E238" i="15"/>
  <c r="R238" i="15" s="1"/>
  <c r="J241" i="15"/>
  <c r="D241" i="15"/>
  <c r="Q241" i="15" s="1"/>
  <c r="O242" i="15"/>
  <c r="E242" i="15"/>
  <c r="R242" i="15" s="1"/>
  <c r="J245" i="15"/>
  <c r="D245" i="15"/>
  <c r="Q245" i="15" s="1"/>
  <c r="O246" i="15"/>
  <c r="E246" i="15"/>
  <c r="R246" i="15" s="1"/>
  <c r="J249" i="15"/>
  <c r="D249" i="15"/>
  <c r="Q249" i="15" s="1"/>
  <c r="O250" i="15"/>
  <c r="E250" i="15"/>
  <c r="R250" i="15" s="1"/>
  <c r="J219" i="15"/>
  <c r="H222" i="15"/>
  <c r="S222" i="15"/>
  <c r="E223" i="15"/>
  <c r="R223" i="15" s="1"/>
  <c r="O223" i="15"/>
  <c r="J227" i="15"/>
  <c r="H230" i="15"/>
  <c r="S230" i="15"/>
  <c r="E231" i="15"/>
  <c r="R231" i="15" s="1"/>
  <c r="O231" i="15"/>
  <c r="J235" i="15"/>
  <c r="H238" i="15"/>
  <c r="S238" i="15"/>
  <c r="E239" i="15"/>
  <c r="R239" i="15" s="1"/>
  <c r="O239" i="15"/>
  <c r="J243" i="15"/>
  <c r="H246" i="15"/>
  <c r="S246" i="15"/>
  <c r="E247" i="15"/>
  <c r="R247" i="15" s="1"/>
  <c r="O247" i="15"/>
  <c r="J251" i="15"/>
  <c r="AJ220" i="15"/>
  <c r="AI220" i="15"/>
  <c r="AJ219" i="15"/>
  <c r="AI219" i="15"/>
  <c r="AJ218" i="15"/>
  <c r="AI218" i="15"/>
  <c r="Z218" i="15"/>
  <c r="Y218" i="15"/>
  <c r="AA218" i="15" s="1"/>
  <c r="X218" i="15"/>
  <c r="AJ217" i="15"/>
  <c r="AI217" i="15"/>
  <c r="Z217" i="15"/>
  <c r="Y217" i="15"/>
  <c r="AA217" i="15" s="1"/>
  <c r="X217" i="15"/>
  <c r="AJ216" i="15"/>
  <c r="AI216" i="15"/>
  <c r="Z216" i="15"/>
  <c r="Y216" i="15"/>
  <c r="AA216" i="15" s="1"/>
  <c r="X216" i="15"/>
  <c r="AJ215" i="15"/>
  <c r="AI215" i="15"/>
  <c r="Z215" i="15"/>
  <c r="Y215" i="15"/>
  <c r="AA215" i="15" s="1"/>
  <c r="W215" i="15" s="1"/>
  <c r="X215" i="15"/>
  <c r="AJ214" i="15"/>
  <c r="AI214" i="15"/>
  <c r="Z214" i="15"/>
  <c r="Y214" i="15"/>
  <c r="AA214" i="15" s="1"/>
  <c r="X214" i="15"/>
  <c r="AJ213" i="15"/>
  <c r="AI213" i="15"/>
  <c r="Z213" i="15"/>
  <c r="Y213" i="15"/>
  <c r="AA213" i="15" s="1"/>
  <c r="X213" i="15"/>
  <c r="AJ212" i="15"/>
  <c r="AI212" i="15"/>
  <c r="Z212" i="15"/>
  <c r="Y212" i="15"/>
  <c r="AA212" i="15" s="1"/>
  <c r="X212" i="15"/>
  <c r="AJ211" i="15"/>
  <c r="AI211" i="15"/>
  <c r="Z211" i="15"/>
  <c r="Y211" i="15"/>
  <c r="AA211" i="15" s="1"/>
  <c r="X211" i="15"/>
  <c r="AJ210" i="15"/>
  <c r="AI210" i="15"/>
  <c r="Z210" i="15"/>
  <c r="Y210" i="15"/>
  <c r="AA210" i="15" s="1"/>
  <c r="X210" i="15"/>
  <c r="AJ209" i="15"/>
  <c r="AI209" i="15"/>
  <c r="Z209" i="15"/>
  <c r="Y209" i="15"/>
  <c r="AA209" i="15" s="1"/>
  <c r="X209" i="15"/>
  <c r="AJ208" i="15"/>
  <c r="AI208" i="15"/>
  <c r="Z208" i="15"/>
  <c r="Y208" i="15"/>
  <c r="AA208" i="15" s="1"/>
  <c r="X208" i="15"/>
  <c r="AJ207" i="15"/>
  <c r="AI207" i="15"/>
  <c r="Z207" i="15"/>
  <c r="Y207" i="15"/>
  <c r="AA207" i="15" s="1"/>
  <c r="X207" i="15"/>
  <c r="AJ206" i="15"/>
  <c r="AI206" i="15"/>
  <c r="Z206" i="15"/>
  <c r="Y206" i="15"/>
  <c r="AA206" i="15" s="1"/>
  <c r="X206" i="15"/>
  <c r="AJ205" i="15"/>
  <c r="AI205" i="15"/>
  <c r="Z205" i="15"/>
  <c r="Y205" i="15"/>
  <c r="AA205" i="15" s="1"/>
  <c r="W205" i="15" s="1"/>
  <c r="X205" i="15"/>
  <c r="AJ204" i="15"/>
  <c r="AI204" i="15"/>
  <c r="Z204" i="15"/>
  <c r="Y204" i="15"/>
  <c r="AA204" i="15" s="1"/>
  <c r="X204" i="15"/>
  <c r="AJ203" i="15"/>
  <c r="AI203" i="15"/>
  <c r="Z203" i="15"/>
  <c r="Y203" i="15"/>
  <c r="AA203" i="15" s="1"/>
  <c r="X203" i="15"/>
  <c r="AJ202" i="15"/>
  <c r="AI202" i="15"/>
  <c r="Z202" i="15"/>
  <c r="Y202" i="15"/>
  <c r="AA202" i="15" s="1"/>
  <c r="X202" i="15"/>
  <c r="AJ201" i="15"/>
  <c r="AI201" i="15"/>
  <c r="Z201" i="15"/>
  <c r="Y201" i="15"/>
  <c r="AA201" i="15" s="1"/>
  <c r="X201" i="15"/>
  <c r="AJ200" i="15"/>
  <c r="AI200" i="15"/>
  <c r="Z200" i="15"/>
  <c r="Y200" i="15"/>
  <c r="AA200" i="15" s="1"/>
  <c r="X200" i="15"/>
  <c r="AJ199" i="15"/>
  <c r="AI199" i="15"/>
  <c r="Z199" i="15"/>
  <c r="Y199" i="15"/>
  <c r="AA199" i="15" s="1"/>
  <c r="W199" i="15" s="1"/>
  <c r="X199" i="15"/>
  <c r="AJ198" i="15"/>
  <c r="AI198" i="15"/>
  <c r="Z198" i="15"/>
  <c r="Y198" i="15"/>
  <c r="AA198" i="15" s="1"/>
  <c r="X198" i="15"/>
  <c r="AJ197" i="15"/>
  <c r="AI197" i="15"/>
  <c r="Z197" i="15"/>
  <c r="Y197" i="15"/>
  <c r="AA197" i="15" s="1"/>
  <c r="X197" i="15"/>
  <c r="AJ196" i="15"/>
  <c r="AI196" i="15"/>
  <c r="Z196" i="15"/>
  <c r="Y196" i="15"/>
  <c r="AA196" i="15" s="1"/>
  <c r="X196" i="15"/>
  <c r="AJ195" i="15"/>
  <c r="AI195" i="15"/>
  <c r="Z195" i="15"/>
  <c r="Y195" i="15"/>
  <c r="AA195" i="15" s="1"/>
  <c r="W195" i="15" s="1"/>
  <c r="X195" i="15"/>
  <c r="AJ194" i="15"/>
  <c r="AI194" i="15"/>
  <c r="Z194" i="15"/>
  <c r="Y194" i="15"/>
  <c r="AA194" i="15" s="1"/>
  <c r="X194" i="15"/>
  <c r="AJ193" i="15"/>
  <c r="AI193" i="15"/>
  <c r="Z193" i="15"/>
  <c r="Y193" i="15"/>
  <c r="AA193" i="15" s="1"/>
  <c r="X193" i="15"/>
  <c r="AJ192" i="15"/>
  <c r="AI192" i="15"/>
  <c r="Z192" i="15"/>
  <c r="Y192" i="15"/>
  <c r="AA192" i="15" s="1"/>
  <c r="X192" i="15"/>
  <c r="AJ191" i="15"/>
  <c r="AI191" i="15"/>
  <c r="Z191" i="15"/>
  <c r="Y191" i="15"/>
  <c r="AA191" i="15" s="1"/>
  <c r="X191" i="15"/>
  <c r="AJ190" i="15"/>
  <c r="AI190" i="15"/>
  <c r="Z190" i="15"/>
  <c r="Y190" i="15"/>
  <c r="AA190" i="15" s="1"/>
  <c r="X190" i="15"/>
  <c r="AJ189" i="15"/>
  <c r="AI189" i="15"/>
  <c r="Z189" i="15"/>
  <c r="Y189" i="15"/>
  <c r="AA189" i="15" s="1"/>
  <c r="X189" i="15"/>
  <c r="AJ188" i="15"/>
  <c r="AI188" i="15"/>
  <c r="Z188" i="15"/>
  <c r="Y188" i="15"/>
  <c r="AA188" i="15" s="1"/>
  <c r="X188" i="15"/>
  <c r="AJ187" i="15"/>
  <c r="AI187" i="15"/>
  <c r="Z187" i="15"/>
  <c r="Y187" i="15"/>
  <c r="AA187" i="15" s="1"/>
  <c r="X187" i="15"/>
  <c r="AJ186" i="15"/>
  <c r="AI186" i="15"/>
  <c r="Z186" i="15"/>
  <c r="Y186" i="15"/>
  <c r="AA186" i="15" s="1"/>
  <c r="X186" i="15"/>
  <c r="AJ185" i="15"/>
  <c r="AI185" i="15"/>
  <c r="Z185" i="15"/>
  <c r="Y185" i="15"/>
  <c r="AA185" i="15" s="1"/>
  <c r="X185" i="15"/>
  <c r="AJ184" i="15"/>
  <c r="AI184" i="15"/>
  <c r="Z184" i="15"/>
  <c r="Y184" i="15"/>
  <c r="AA184" i="15" s="1"/>
  <c r="X184" i="15"/>
  <c r="AJ183" i="15"/>
  <c r="AI183" i="15"/>
  <c r="Z183" i="15"/>
  <c r="Y183" i="15"/>
  <c r="AA183" i="15" s="1"/>
  <c r="X183" i="15"/>
  <c r="AJ182" i="15"/>
  <c r="AI182" i="15"/>
  <c r="Z182" i="15"/>
  <c r="Y182" i="15"/>
  <c r="AA182" i="15" s="1"/>
  <c r="X182" i="15"/>
  <c r="AJ181" i="15"/>
  <c r="AI181" i="15"/>
  <c r="Z181" i="15"/>
  <c r="Y181" i="15"/>
  <c r="AA181" i="15" s="1"/>
  <c r="X181" i="15"/>
  <c r="AJ180" i="15"/>
  <c r="AI180" i="15"/>
  <c r="Z180" i="15"/>
  <c r="Y180" i="15"/>
  <c r="AA180" i="15" s="1"/>
  <c r="X180" i="15"/>
  <c r="AJ179" i="15"/>
  <c r="AI179" i="15"/>
  <c r="Z179" i="15"/>
  <c r="Y179" i="15"/>
  <c r="AA179" i="15" s="1"/>
  <c r="X179" i="15"/>
  <c r="AJ178" i="15"/>
  <c r="AI178" i="15"/>
  <c r="Z178" i="15"/>
  <c r="Y178" i="15"/>
  <c r="AA178" i="15" s="1"/>
  <c r="X178" i="15"/>
  <c r="AJ177" i="15"/>
  <c r="AI177" i="15"/>
  <c r="Z177" i="15"/>
  <c r="Y177" i="15"/>
  <c r="AA177" i="15" s="1"/>
  <c r="X177" i="15"/>
  <c r="AJ176" i="15"/>
  <c r="AI176" i="15"/>
  <c r="Z176" i="15"/>
  <c r="Y176" i="15"/>
  <c r="AA176" i="15" s="1"/>
  <c r="X176" i="15"/>
  <c r="AJ175" i="15"/>
  <c r="AI175" i="15"/>
  <c r="Z175" i="15"/>
  <c r="Y175" i="15"/>
  <c r="AA175" i="15" s="1"/>
  <c r="X175" i="15"/>
  <c r="AJ174" i="15"/>
  <c r="AI174" i="15"/>
  <c r="Z174" i="15"/>
  <c r="Y174" i="15"/>
  <c r="AA174" i="15" s="1"/>
  <c r="X174" i="15"/>
  <c r="AJ173" i="15"/>
  <c r="AI173" i="15"/>
  <c r="Z173" i="15"/>
  <c r="Y173" i="15"/>
  <c r="AA173" i="15" s="1"/>
  <c r="X173" i="15"/>
  <c r="AJ172" i="15"/>
  <c r="AI172" i="15"/>
  <c r="Z172" i="15"/>
  <c r="Y172" i="15"/>
  <c r="AA172" i="15" s="1"/>
  <c r="X172" i="15"/>
  <c r="AJ171" i="15"/>
  <c r="AI171" i="15"/>
  <c r="Z171" i="15"/>
  <c r="Y171" i="15"/>
  <c r="AA171" i="15" s="1"/>
  <c r="X171" i="15"/>
  <c r="AJ170" i="15"/>
  <c r="AI170" i="15"/>
  <c r="Z170" i="15"/>
  <c r="Y170" i="15"/>
  <c r="AA170" i="15" s="1"/>
  <c r="X170" i="15"/>
  <c r="AJ169" i="15"/>
  <c r="AI169" i="15"/>
  <c r="Z169" i="15"/>
  <c r="Y169" i="15"/>
  <c r="AA169" i="15" s="1"/>
  <c r="X169" i="15"/>
  <c r="AJ168" i="15"/>
  <c r="AI168" i="15"/>
  <c r="Z168" i="15"/>
  <c r="Y168" i="15"/>
  <c r="AA168" i="15" s="1"/>
  <c r="X168" i="15"/>
  <c r="AJ167" i="15"/>
  <c r="AI167" i="15"/>
  <c r="Z167" i="15"/>
  <c r="Y167" i="15"/>
  <c r="AA167" i="15" s="1"/>
  <c r="X167" i="15"/>
  <c r="AJ166" i="15"/>
  <c r="AI166" i="15"/>
  <c r="Z166" i="15"/>
  <c r="Y166" i="15"/>
  <c r="AA166" i="15" s="1"/>
  <c r="X166" i="15"/>
  <c r="AJ165" i="15"/>
  <c r="AI165" i="15"/>
  <c r="Z165" i="15"/>
  <c r="Y165" i="15"/>
  <c r="AA165" i="15" s="1"/>
  <c r="X165" i="15"/>
  <c r="AJ164" i="15"/>
  <c r="AI164" i="15"/>
  <c r="Z164" i="15"/>
  <c r="Y164" i="15"/>
  <c r="AA164" i="15" s="1"/>
  <c r="X164" i="15"/>
  <c r="AJ163" i="15"/>
  <c r="AI163" i="15"/>
  <c r="Z163" i="15"/>
  <c r="Y163" i="15"/>
  <c r="AA163" i="15" s="1"/>
  <c r="X163" i="15"/>
  <c r="AJ162" i="15"/>
  <c r="AI162" i="15"/>
  <c r="Z162" i="15"/>
  <c r="Y162" i="15"/>
  <c r="AA162" i="15" s="1"/>
  <c r="X162" i="15"/>
  <c r="AJ161" i="15"/>
  <c r="AI161" i="15"/>
  <c r="Z161" i="15"/>
  <c r="Y161" i="15"/>
  <c r="AA161" i="15" s="1"/>
  <c r="X161" i="15"/>
  <c r="AJ160" i="15"/>
  <c r="AI160" i="15"/>
  <c r="Z160" i="15"/>
  <c r="Y160" i="15"/>
  <c r="AA160" i="15" s="1"/>
  <c r="X160" i="15"/>
  <c r="AJ159" i="15"/>
  <c r="AI159" i="15"/>
  <c r="Z159" i="15"/>
  <c r="Y159" i="15"/>
  <c r="AA159" i="15" s="1"/>
  <c r="X159" i="15"/>
  <c r="AJ158" i="15"/>
  <c r="AI158" i="15"/>
  <c r="Z158" i="15"/>
  <c r="Y158" i="15"/>
  <c r="AA158" i="15" s="1"/>
  <c r="X158" i="15"/>
  <c r="AJ157" i="15"/>
  <c r="AI157" i="15"/>
  <c r="Z157" i="15"/>
  <c r="Y157" i="15"/>
  <c r="AA157" i="15" s="1"/>
  <c r="X157" i="15"/>
  <c r="AJ156" i="15"/>
  <c r="AI156" i="15"/>
  <c r="Z156" i="15"/>
  <c r="Y156" i="15"/>
  <c r="AA156" i="15" s="1"/>
  <c r="X156" i="15"/>
  <c r="AJ155" i="15"/>
  <c r="AI155" i="15"/>
  <c r="Z155" i="15"/>
  <c r="Y155" i="15"/>
  <c r="AA155" i="15" s="1"/>
  <c r="X155" i="15"/>
  <c r="AJ154" i="15"/>
  <c r="AI154" i="15"/>
  <c r="Z154" i="15"/>
  <c r="Y154" i="15"/>
  <c r="AA154" i="15" s="1"/>
  <c r="X154" i="15"/>
  <c r="AJ153" i="15"/>
  <c r="AI153" i="15"/>
  <c r="Z153" i="15"/>
  <c r="Y153" i="15"/>
  <c r="AA153" i="15" s="1"/>
  <c r="X153" i="15"/>
  <c r="AJ152" i="15"/>
  <c r="AI152" i="15"/>
  <c r="Z152" i="15"/>
  <c r="Y152" i="15"/>
  <c r="AA152" i="15" s="1"/>
  <c r="X152" i="15"/>
  <c r="AJ151" i="15"/>
  <c r="AI151" i="15"/>
  <c r="Z151" i="15"/>
  <c r="Y151" i="15"/>
  <c r="AA151" i="15" s="1"/>
  <c r="X151" i="15"/>
  <c r="AJ150" i="15"/>
  <c r="AI150" i="15"/>
  <c r="Z150" i="15"/>
  <c r="Y150" i="15"/>
  <c r="AA150" i="15" s="1"/>
  <c r="X150" i="15"/>
  <c r="AJ149" i="15"/>
  <c r="AI149" i="15"/>
  <c r="Z149" i="15"/>
  <c r="Y149" i="15"/>
  <c r="AA149" i="15" s="1"/>
  <c r="X149" i="15"/>
  <c r="AJ148" i="15"/>
  <c r="AI148" i="15"/>
  <c r="Z148" i="15"/>
  <c r="Y148" i="15"/>
  <c r="AA148" i="15" s="1"/>
  <c r="X148" i="15"/>
  <c r="AJ147" i="15"/>
  <c r="AI147" i="15"/>
  <c r="Z147" i="15"/>
  <c r="Y147" i="15"/>
  <c r="AA147" i="15" s="1"/>
  <c r="X147" i="15"/>
  <c r="AJ146" i="15"/>
  <c r="AI146" i="15"/>
  <c r="Z146" i="15"/>
  <c r="Y146" i="15"/>
  <c r="AA146" i="15" s="1"/>
  <c r="X146" i="15"/>
  <c r="AJ145" i="15"/>
  <c r="AI145" i="15"/>
  <c r="Z145" i="15"/>
  <c r="Y145" i="15"/>
  <c r="AA145" i="15" s="1"/>
  <c r="X145" i="15"/>
  <c r="AJ144" i="15"/>
  <c r="AI144" i="15"/>
  <c r="Z144" i="15"/>
  <c r="Y144" i="15"/>
  <c r="AA144" i="15" s="1"/>
  <c r="X144" i="15"/>
  <c r="AJ143" i="15"/>
  <c r="AI143" i="15"/>
  <c r="Z143" i="15"/>
  <c r="Y143" i="15"/>
  <c r="AA143" i="15" s="1"/>
  <c r="W143" i="15" s="1"/>
  <c r="X143" i="15"/>
  <c r="AJ142" i="15"/>
  <c r="AI142" i="15"/>
  <c r="Z142" i="15"/>
  <c r="Y142" i="15"/>
  <c r="AA142" i="15" s="1"/>
  <c r="X142" i="15"/>
  <c r="AJ141" i="15"/>
  <c r="AI141" i="15"/>
  <c r="Z141" i="15"/>
  <c r="Y141" i="15"/>
  <c r="AA141" i="15" s="1"/>
  <c r="W141" i="15" s="1"/>
  <c r="X141" i="15"/>
  <c r="AJ140" i="15"/>
  <c r="AI140" i="15"/>
  <c r="Z140" i="15"/>
  <c r="Y140" i="15"/>
  <c r="AA140" i="15" s="1"/>
  <c r="X140" i="15"/>
  <c r="AJ139" i="15"/>
  <c r="AI139" i="15"/>
  <c r="Z139" i="15"/>
  <c r="Y139" i="15"/>
  <c r="AA139" i="15" s="1"/>
  <c r="X139" i="15"/>
  <c r="AJ138" i="15"/>
  <c r="AI138" i="15"/>
  <c r="Z138" i="15"/>
  <c r="Y138" i="15"/>
  <c r="AA138" i="15" s="1"/>
  <c r="X138" i="15"/>
  <c r="AJ137" i="15"/>
  <c r="AI137" i="15"/>
  <c r="Z137" i="15"/>
  <c r="Y137" i="15"/>
  <c r="AA137" i="15" s="1"/>
  <c r="X137" i="15"/>
  <c r="AJ136" i="15"/>
  <c r="AI136" i="15"/>
  <c r="Z136" i="15"/>
  <c r="Y136" i="15"/>
  <c r="AA136" i="15" s="1"/>
  <c r="X136" i="15"/>
  <c r="AJ135" i="15"/>
  <c r="AI135" i="15"/>
  <c r="Z135" i="15"/>
  <c r="Y135" i="15"/>
  <c r="AA135" i="15" s="1"/>
  <c r="W135" i="15" s="1"/>
  <c r="X135" i="15"/>
  <c r="AJ134" i="15"/>
  <c r="AI134" i="15"/>
  <c r="Z134" i="15"/>
  <c r="Y134" i="15"/>
  <c r="AA134" i="15" s="1"/>
  <c r="X134" i="15"/>
  <c r="AJ133" i="15"/>
  <c r="AI133" i="15"/>
  <c r="Z133" i="15"/>
  <c r="Y133" i="15"/>
  <c r="AA133" i="15" s="1"/>
  <c r="W133" i="15" s="1"/>
  <c r="X133" i="15"/>
  <c r="AJ132" i="15"/>
  <c r="AI132" i="15"/>
  <c r="Z132" i="15"/>
  <c r="Y132" i="15"/>
  <c r="AA132" i="15" s="1"/>
  <c r="X132" i="15"/>
  <c r="AJ131" i="15"/>
  <c r="AI131" i="15"/>
  <c r="Z131" i="15"/>
  <c r="Y131" i="15"/>
  <c r="AA131" i="15" s="1"/>
  <c r="X131" i="15"/>
  <c r="AJ130" i="15"/>
  <c r="AI130" i="15"/>
  <c r="Z130" i="15"/>
  <c r="Y130" i="15"/>
  <c r="AA130" i="15" s="1"/>
  <c r="X130" i="15"/>
  <c r="AJ129" i="15"/>
  <c r="AI129" i="15"/>
  <c r="Z129" i="15"/>
  <c r="Y129" i="15"/>
  <c r="AA129" i="15" s="1"/>
  <c r="W129" i="15" s="1"/>
  <c r="X129" i="15"/>
  <c r="AJ128" i="15"/>
  <c r="AI128" i="15"/>
  <c r="Z128" i="15"/>
  <c r="Y128" i="15"/>
  <c r="AA128" i="15" s="1"/>
  <c r="X128" i="15"/>
  <c r="AJ127" i="15"/>
  <c r="AI127" i="15"/>
  <c r="Z127" i="15"/>
  <c r="Y127" i="15"/>
  <c r="AA127" i="15" s="1"/>
  <c r="W127" i="15" s="1"/>
  <c r="X127" i="15"/>
  <c r="AJ126" i="15"/>
  <c r="AI126" i="15"/>
  <c r="Z126" i="15"/>
  <c r="Y126" i="15"/>
  <c r="AA126" i="15" s="1"/>
  <c r="X126" i="15"/>
  <c r="AJ125" i="15"/>
  <c r="AI125" i="15"/>
  <c r="Z125" i="15"/>
  <c r="Y125" i="15"/>
  <c r="AA125" i="15" s="1"/>
  <c r="X125" i="15"/>
  <c r="AJ124" i="15"/>
  <c r="AI124" i="15"/>
  <c r="Z124" i="15"/>
  <c r="Y124" i="15"/>
  <c r="AA124" i="15" s="1"/>
  <c r="X124" i="15"/>
  <c r="AJ123" i="15"/>
  <c r="AI123" i="15"/>
  <c r="Z123" i="15"/>
  <c r="Y123" i="15"/>
  <c r="AA123" i="15" s="1"/>
  <c r="X123" i="15"/>
  <c r="AJ122" i="15"/>
  <c r="AI122" i="15"/>
  <c r="Z122" i="15"/>
  <c r="Y122" i="15"/>
  <c r="AA122" i="15" s="1"/>
  <c r="X122" i="15"/>
  <c r="AJ121" i="15"/>
  <c r="AI121" i="15"/>
  <c r="Z121" i="15"/>
  <c r="Y121" i="15"/>
  <c r="AA121" i="15" s="1"/>
  <c r="W121" i="15" s="1"/>
  <c r="X121" i="15"/>
  <c r="AJ120" i="15"/>
  <c r="AI120" i="15"/>
  <c r="Z120" i="15"/>
  <c r="Y120" i="15"/>
  <c r="AA120" i="15" s="1"/>
  <c r="X120" i="15"/>
  <c r="AJ119" i="15"/>
  <c r="AI119" i="15"/>
  <c r="Z119" i="15"/>
  <c r="Y119" i="15"/>
  <c r="AA119" i="15" s="1"/>
  <c r="X119" i="15"/>
  <c r="AJ118" i="15"/>
  <c r="AI118" i="15"/>
  <c r="Z118" i="15"/>
  <c r="Y118" i="15"/>
  <c r="AA118" i="15" s="1"/>
  <c r="X118" i="15"/>
  <c r="AJ117" i="15"/>
  <c r="AI117" i="15"/>
  <c r="Z117" i="15"/>
  <c r="Y117" i="15"/>
  <c r="AA117" i="15" s="1"/>
  <c r="X117" i="15"/>
  <c r="AJ116" i="15"/>
  <c r="AI116" i="15"/>
  <c r="Z116" i="15"/>
  <c r="Y116" i="15"/>
  <c r="AA116" i="15" s="1"/>
  <c r="X116" i="15"/>
  <c r="AJ115" i="15"/>
  <c r="AI115" i="15"/>
  <c r="Z115" i="15"/>
  <c r="Y115" i="15"/>
  <c r="AA115" i="15" s="1"/>
  <c r="X115" i="15"/>
  <c r="AJ114" i="15"/>
  <c r="AI114" i="15"/>
  <c r="Z114" i="15"/>
  <c r="Y114" i="15"/>
  <c r="AA114" i="15" s="1"/>
  <c r="X114" i="15"/>
  <c r="AJ113" i="15"/>
  <c r="AI113" i="15"/>
  <c r="Z113" i="15"/>
  <c r="Y113" i="15"/>
  <c r="AA113" i="15" s="1"/>
  <c r="X113" i="15"/>
  <c r="AJ112" i="15"/>
  <c r="AI112" i="15"/>
  <c r="Z112" i="15"/>
  <c r="Y112" i="15"/>
  <c r="AA112" i="15" s="1"/>
  <c r="X112" i="15"/>
  <c r="AJ111" i="15"/>
  <c r="AI111" i="15"/>
  <c r="Z111" i="15"/>
  <c r="Y111" i="15"/>
  <c r="AA111" i="15" s="1"/>
  <c r="X111" i="15"/>
  <c r="AJ110" i="15"/>
  <c r="AI110" i="15"/>
  <c r="Z110" i="15"/>
  <c r="Y110" i="15"/>
  <c r="AA110" i="15" s="1"/>
  <c r="X110" i="15"/>
  <c r="AJ109" i="15"/>
  <c r="AI109" i="15"/>
  <c r="Z109" i="15"/>
  <c r="Y109" i="15"/>
  <c r="AA109" i="15" s="1"/>
  <c r="X109" i="15"/>
  <c r="AJ108" i="15"/>
  <c r="AI108" i="15"/>
  <c r="Z108" i="15"/>
  <c r="Y108" i="15"/>
  <c r="AA108" i="15" s="1"/>
  <c r="X108" i="15"/>
  <c r="AJ107" i="15"/>
  <c r="AI107" i="15"/>
  <c r="Z107" i="15"/>
  <c r="Y107" i="15"/>
  <c r="AA107" i="15" s="1"/>
  <c r="X107" i="15"/>
  <c r="AJ106" i="15"/>
  <c r="AI106" i="15"/>
  <c r="Z106" i="15"/>
  <c r="Y106" i="15"/>
  <c r="AA106" i="15" s="1"/>
  <c r="X106" i="15"/>
  <c r="AJ105" i="15"/>
  <c r="AI105" i="15"/>
  <c r="Z105" i="15"/>
  <c r="Y105" i="15"/>
  <c r="AA105" i="15" s="1"/>
  <c r="X105" i="15"/>
  <c r="AJ104" i="15"/>
  <c r="AI104" i="15"/>
  <c r="Z104" i="15"/>
  <c r="Y104" i="15"/>
  <c r="AA104" i="15" s="1"/>
  <c r="X104" i="15"/>
  <c r="AJ103" i="15"/>
  <c r="AI103" i="15"/>
  <c r="Z103" i="15"/>
  <c r="Y103" i="15"/>
  <c r="AA103" i="15" s="1"/>
  <c r="X103" i="15"/>
  <c r="AJ102" i="15"/>
  <c r="AI102" i="15"/>
  <c r="Z102" i="15"/>
  <c r="Y102" i="15"/>
  <c r="AA102" i="15" s="1"/>
  <c r="X102" i="15"/>
  <c r="AJ101" i="15"/>
  <c r="AI101" i="15"/>
  <c r="Z101" i="15"/>
  <c r="Y101" i="15"/>
  <c r="AA101" i="15" s="1"/>
  <c r="X101" i="15"/>
  <c r="AJ100" i="15"/>
  <c r="AI100" i="15"/>
  <c r="Z100" i="15"/>
  <c r="Y100" i="15"/>
  <c r="AA100" i="15" s="1"/>
  <c r="X100" i="15"/>
  <c r="AJ99" i="15"/>
  <c r="AI99" i="15"/>
  <c r="Z99" i="15"/>
  <c r="Y99" i="15"/>
  <c r="AA99" i="15" s="1"/>
  <c r="X99" i="15"/>
  <c r="AJ98" i="15"/>
  <c r="AI98" i="15"/>
  <c r="Z98" i="15"/>
  <c r="Y98" i="15"/>
  <c r="AA98" i="15" s="1"/>
  <c r="X98" i="15"/>
  <c r="AJ97" i="15"/>
  <c r="AI97" i="15"/>
  <c r="Z97" i="15"/>
  <c r="Y97" i="15"/>
  <c r="AA97" i="15" s="1"/>
  <c r="X97" i="15"/>
  <c r="AJ96" i="15"/>
  <c r="AI96" i="15"/>
  <c r="Z96" i="15"/>
  <c r="Y96" i="15"/>
  <c r="AA96" i="15" s="1"/>
  <c r="X96" i="15"/>
  <c r="AJ95" i="15"/>
  <c r="AI95" i="15"/>
  <c r="Z95" i="15"/>
  <c r="Y95" i="15"/>
  <c r="AA95" i="15" s="1"/>
  <c r="X95" i="15"/>
  <c r="AJ94" i="15"/>
  <c r="AI94" i="15"/>
  <c r="Z94" i="15"/>
  <c r="Y94" i="15"/>
  <c r="AA94" i="15" s="1"/>
  <c r="X94" i="15"/>
  <c r="AJ93" i="15"/>
  <c r="AI93" i="15"/>
  <c r="Z93" i="15"/>
  <c r="Y93" i="15"/>
  <c r="AA93" i="15" s="1"/>
  <c r="X93" i="15"/>
  <c r="AJ92" i="15"/>
  <c r="AI92" i="15"/>
  <c r="Z92" i="15"/>
  <c r="Y92" i="15"/>
  <c r="AA92" i="15" s="1"/>
  <c r="X92" i="15"/>
  <c r="AJ91" i="15"/>
  <c r="AI91" i="15"/>
  <c r="Z91" i="15"/>
  <c r="Y91" i="15"/>
  <c r="AA91" i="15" s="1"/>
  <c r="X91" i="15"/>
  <c r="AJ90" i="15"/>
  <c r="AI90" i="15"/>
  <c r="Z90" i="15"/>
  <c r="Y90" i="15"/>
  <c r="AA90" i="15" s="1"/>
  <c r="X90" i="15"/>
  <c r="AJ89" i="15"/>
  <c r="AI89" i="15"/>
  <c r="Z89" i="15"/>
  <c r="Y89" i="15"/>
  <c r="AA89" i="15" s="1"/>
  <c r="X89" i="15"/>
  <c r="AJ88" i="15"/>
  <c r="AI88" i="15"/>
  <c r="Z88" i="15"/>
  <c r="Y88" i="15"/>
  <c r="AA88" i="15" s="1"/>
  <c r="X88" i="15"/>
  <c r="AJ87" i="15"/>
  <c r="AI87" i="15"/>
  <c r="Z87" i="15"/>
  <c r="Y87" i="15"/>
  <c r="AA87" i="15" s="1"/>
  <c r="X87" i="15"/>
  <c r="AJ86" i="15"/>
  <c r="AI86" i="15"/>
  <c r="Z86" i="15"/>
  <c r="Y86" i="15"/>
  <c r="AA86" i="15" s="1"/>
  <c r="X86" i="15"/>
  <c r="AJ85" i="15"/>
  <c r="AI85" i="15"/>
  <c r="Z85" i="15"/>
  <c r="Y85" i="15"/>
  <c r="AA85" i="15" s="1"/>
  <c r="X85" i="15"/>
  <c r="AJ84" i="15"/>
  <c r="AI84" i="15"/>
  <c r="Z84" i="15"/>
  <c r="Y84" i="15"/>
  <c r="AA84" i="15" s="1"/>
  <c r="X84" i="15"/>
  <c r="AJ83" i="15"/>
  <c r="AI83" i="15"/>
  <c r="Z83" i="15"/>
  <c r="Y83" i="15"/>
  <c r="AA83" i="15" s="1"/>
  <c r="X83" i="15"/>
  <c r="AJ82" i="15"/>
  <c r="AI82" i="15"/>
  <c r="Z82" i="15"/>
  <c r="Y82" i="15"/>
  <c r="AA82" i="15" s="1"/>
  <c r="X82" i="15"/>
  <c r="AJ81" i="15"/>
  <c r="AI81" i="15"/>
  <c r="Z81" i="15"/>
  <c r="Y81" i="15"/>
  <c r="AA81" i="15" s="1"/>
  <c r="X81" i="15"/>
  <c r="AJ80" i="15"/>
  <c r="AI80" i="15"/>
  <c r="Z80" i="15"/>
  <c r="Y80" i="15"/>
  <c r="AA80" i="15" s="1"/>
  <c r="X80" i="15"/>
  <c r="AJ79" i="15"/>
  <c r="AI79" i="15"/>
  <c r="Z79" i="15"/>
  <c r="Y79" i="15"/>
  <c r="AA79" i="15" s="1"/>
  <c r="X79" i="15"/>
  <c r="AJ78" i="15"/>
  <c r="AI78" i="15"/>
  <c r="Z78" i="15"/>
  <c r="Y78" i="15"/>
  <c r="AA78" i="15" s="1"/>
  <c r="X78" i="15"/>
  <c r="AJ77" i="15"/>
  <c r="AI77" i="15"/>
  <c r="Z77" i="15"/>
  <c r="Y77" i="15"/>
  <c r="AA77" i="15" s="1"/>
  <c r="X77" i="15"/>
  <c r="AJ76" i="15"/>
  <c r="AI76" i="15"/>
  <c r="Z76" i="15"/>
  <c r="Y76" i="15"/>
  <c r="AA76" i="15" s="1"/>
  <c r="X76" i="15"/>
  <c r="AJ75" i="15"/>
  <c r="AI75" i="15"/>
  <c r="Z75" i="15"/>
  <c r="Y75" i="15"/>
  <c r="AA75" i="15" s="1"/>
  <c r="X75" i="15"/>
  <c r="AJ74" i="15"/>
  <c r="AI74" i="15"/>
  <c r="Z74" i="15"/>
  <c r="Y74" i="15"/>
  <c r="AA74" i="15" s="1"/>
  <c r="X74" i="15"/>
  <c r="AJ73" i="15"/>
  <c r="AI73" i="15"/>
  <c r="Z73" i="15"/>
  <c r="Y73" i="15"/>
  <c r="AA73" i="15" s="1"/>
  <c r="X73" i="15"/>
  <c r="AJ72" i="15"/>
  <c r="AI72" i="15"/>
  <c r="Z72" i="15"/>
  <c r="Y72" i="15"/>
  <c r="AA72" i="15" s="1"/>
  <c r="X72" i="15"/>
  <c r="AJ71" i="15"/>
  <c r="AI71" i="15"/>
  <c r="Z71" i="15"/>
  <c r="Y71" i="15"/>
  <c r="AA71" i="15" s="1"/>
  <c r="X71" i="15"/>
  <c r="AJ70" i="15"/>
  <c r="AI70" i="15"/>
  <c r="Z70" i="15"/>
  <c r="Y70" i="15"/>
  <c r="AA70" i="15" s="1"/>
  <c r="X70" i="15"/>
  <c r="AJ69" i="15"/>
  <c r="X69" i="15"/>
  <c r="U69" i="15"/>
  <c r="Y69" i="15" s="1"/>
  <c r="AA69" i="15" s="1"/>
  <c r="AJ68" i="15"/>
  <c r="AI68" i="15"/>
  <c r="Z68" i="15"/>
  <c r="Y68" i="15"/>
  <c r="AA68" i="15" s="1"/>
  <c r="X68" i="15"/>
  <c r="AJ67" i="15"/>
  <c r="AI67" i="15"/>
  <c r="Z67" i="15"/>
  <c r="Y67" i="15"/>
  <c r="AA67" i="15" s="1"/>
  <c r="X67" i="15"/>
  <c r="AJ66" i="15"/>
  <c r="AI66" i="15"/>
  <c r="Z66" i="15"/>
  <c r="Y66" i="15"/>
  <c r="AA66" i="15" s="1"/>
  <c r="X66" i="15"/>
  <c r="AJ65" i="15"/>
  <c r="X65" i="15"/>
  <c r="AJ64" i="15"/>
  <c r="X64" i="15"/>
  <c r="AJ63" i="15"/>
  <c r="X63" i="15"/>
  <c r="AJ62" i="15"/>
  <c r="X62" i="15"/>
  <c r="AJ61" i="15"/>
  <c r="X61" i="15"/>
  <c r="AJ60" i="15"/>
  <c r="X60" i="15"/>
  <c r="AJ59" i="15"/>
  <c r="X59" i="15"/>
  <c r="AJ58" i="15"/>
  <c r="X58" i="15"/>
  <c r="AJ57" i="15"/>
  <c r="X57" i="15"/>
  <c r="AJ56" i="15"/>
  <c r="X56" i="15"/>
  <c r="AJ55" i="15"/>
  <c r="X55" i="15"/>
  <c r="AJ54" i="15"/>
  <c r="X54" i="15"/>
  <c r="AJ53" i="15"/>
  <c r="X53" i="15"/>
  <c r="AJ52" i="15"/>
  <c r="X52" i="15"/>
  <c r="AJ51" i="15"/>
  <c r="X51" i="15"/>
  <c r="AJ50" i="15"/>
  <c r="X50" i="15"/>
  <c r="AJ49" i="15"/>
  <c r="X49" i="15"/>
  <c r="AJ48" i="15"/>
  <c r="X48" i="15"/>
  <c r="AJ47" i="15"/>
  <c r="X47" i="15"/>
  <c r="AJ46" i="15"/>
  <c r="X46" i="15"/>
  <c r="AJ45" i="15"/>
  <c r="X45" i="15"/>
  <c r="AJ44" i="15"/>
  <c r="X44" i="15"/>
  <c r="AJ43" i="15"/>
  <c r="X43" i="15"/>
  <c r="AJ42" i="15"/>
  <c r="X42" i="15"/>
  <c r="AJ41" i="15"/>
  <c r="X41" i="15"/>
  <c r="AJ40" i="15"/>
  <c r="X40" i="15"/>
  <c r="AJ39" i="15"/>
  <c r="X39" i="15"/>
  <c r="AJ38" i="15"/>
  <c r="X38" i="15"/>
  <c r="AJ37" i="15"/>
  <c r="X37" i="15"/>
  <c r="AJ36" i="15"/>
  <c r="X36" i="15"/>
  <c r="AJ35" i="15"/>
  <c r="X35" i="15"/>
  <c r="AJ34" i="15"/>
  <c r="X34" i="15"/>
  <c r="AJ33" i="15"/>
  <c r="X33" i="15"/>
  <c r="AJ32" i="15"/>
  <c r="X32" i="15"/>
  <c r="AJ31" i="15"/>
  <c r="X31" i="15"/>
  <c r="AJ30" i="15"/>
  <c r="X30" i="15"/>
  <c r="AJ29" i="15"/>
  <c r="X29" i="15"/>
  <c r="AJ28" i="15"/>
  <c r="X28" i="15"/>
  <c r="AJ27" i="15"/>
  <c r="X27" i="15"/>
  <c r="AJ26" i="15"/>
  <c r="X26" i="15"/>
  <c r="AJ25" i="15"/>
  <c r="X25" i="15"/>
  <c r="AJ24" i="15"/>
  <c r="X24" i="15"/>
  <c r="AJ23" i="15"/>
  <c r="X23" i="15"/>
  <c r="AJ22" i="15"/>
  <c r="X22" i="15"/>
  <c r="AJ21" i="15"/>
  <c r="X21" i="15"/>
  <c r="AJ20" i="15"/>
  <c r="X20" i="15"/>
  <c r="AJ19" i="15"/>
  <c r="X19" i="15"/>
  <c r="AJ18" i="15"/>
  <c r="X18" i="15"/>
  <c r="AJ17" i="15"/>
  <c r="X17" i="15"/>
  <c r="AJ16" i="15"/>
  <c r="X16" i="15"/>
  <c r="AJ15" i="15"/>
  <c r="X15" i="15"/>
  <c r="AJ14" i="15"/>
  <c r="X14" i="15"/>
  <c r="AJ13" i="15"/>
  <c r="X13" i="15"/>
  <c r="AJ12" i="15"/>
  <c r="X12" i="15"/>
  <c r="AJ11" i="15"/>
  <c r="X11" i="15"/>
  <c r="AJ10" i="15"/>
  <c r="X10" i="15"/>
  <c r="AJ9" i="15"/>
  <c r="X9" i="15"/>
  <c r="AJ8" i="15"/>
  <c r="X8" i="15"/>
  <c r="AJ7" i="15"/>
  <c r="X7" i="15"/>
  <c r="AJ6" i="15"/>
  <c r="AI6" i="15"/>
  <c r="Z6" i="15"/>
  <c r="Y6" i="15"/>
  <c r="AA6" i="15" s="1"/>
  <c r="X6" i="15"/>
  <c r="G4" i="15"/>
  <c r="U23" i="15"/>
  <c r="U24" i="15" s="1"/>
  <c r="U25" i="15" s="1"/>
  <c r="U26" i="15" s="1"/>
  <c r="U27" i="15" s="1"/>
  <c r="U28" i="15" s="1"/>
  <c r="U29" i="15" s="1"/>
  <c r="U30" i="15" s="1"/>
  <c r="U31" i="15" s="1"/>
  <c r="U32" i="15" s="1"/>
  <c r="U33" i="15" s="1"/>
  <c r="U34" i="15" s="1"/>
  <c r="U35" i="15" s="1"/>
  <c r="U36" i="15" s="1"/>
  <c r="U37" i="15" s="1"/>
  <c r="U38" i="15" s="1"/>
  <c r="U39" i="15" s="1"/>
  <c r="U40" i="15" s="1"/>
  <c r="U41" i="15" s="1"/>
  <c r="U42" i="15" s="1"/>
  <c r="U43" i="15" s="1"/>
  <c r="U44" i="15" s="1"/>
  <c r="U45" i="15" s="1"/>
  <c r="U46" i="15" s="1"/>
  <c r="U47" i="15" s="1"/>
  <c r="U48" i="15" s="1"/>
  <c r="U49" i="15" s="1"/>
  <c r="U50" i="15" s="1"/>
  <c r="U51" i="15" s="1"/>
  <c r="U52" i="15" s="1"/>
  <c r="U53" i="15" s="1"/>
  <c r="U54" i="15" s="1"/>
  <c r="U55" i="15" s="1"/>
  <c r="U56" i="15" s="1"/>
  <c r="U57" i="15" s="1"/>
  <c r="U58" i="15" s="1"/>
  <c r="U59" i="15" s="1"/>
  <c r="U60" i="15" s="1"/>
  <c r="U61" i="15" s="1"/>
  <c r="U62" i="15" s="1"/>
  <c r="U63" i="15" s="1"/>
  <c r="U64" i="15" s="1"/>
  <c r="U65" i="15" s="1"/>
  <c r="G1" i="15"/>
  <c r="W213" i="15" l="1"/>
  <c r="W217" i="15"/>
  <c r="AC217" i="15" s="1"/>
  <c r="C217" i="15" s="1"/>
  <c r="D239" i="15"/>
  <c r="Q239" i="15" s="1"/>
  <c r="D247" i="15"/>
  <c r="Q247" i="15" s="1"/>
  <c r="D231" i="15"/>
  <c r="Q231" i="15" s="1"/>
  <c r="W126" i="15"/>
  <c r="AC126" i="15" s="1"/>
  <c r="C126" i="15" s="1"/>
  <c r="W130" i="15"/>
  <c r="AC130" i="15" s="1"/>
  <c r="C130" i="15" s="1"/>
  <c r="W138" i="15"/>
  <c r="AB138" i="15" s="1"/>
  <c r="B138" i="15" s="1"/>
  <c r="W146" i="15"/>
  <c r="AC146" i="15" s="1"/>
  <c r="C146" i="15" s="1"/>
  <c r="W150" i="15"/>
  <c r="AB150" i="15" s="1"/>
  <c r="B150" i="15" s="1"/>
  <c r="W154" i="15"/>
  <c r="AB154" i="15" s="1"/>
  <c r="B154" i="15" s="1"/>
  <c r="W158" i="15"/>
  <c r="AC158" i="15" s="1"/>
  <c r="C158" i="15" s="1"/>
  <c r="W162" i="15"/>
  <c r="AB162" i="15" s="1"/>
  <c r="B162" i="15" s="1"/>
  <c r="W166" i="15"/>
  <c r="AC166" i="15" s="1"/>
  <c r="C166" i="15" s="1"/>
  <c r="W202" i="15"/>
  <c r="AB202" i="15" s="1"/>
  <c r="B202" i="15" s="1"/>
  <c r="W206" i="15"/>
  <c r="AB206" i="15" s="1"/>
  <c r="B206" i="15" s="1"/>
  <c r="W210" i="15"/>
  <c r="AC210" i="15" s="1"/>
  <c r="C210" i="15" s="1"/>
  <c r="W66" i="15"/>
  <c r="AC66" i="15" s="1"/>
  <c r="C66" i="15" s="1"/>
  <c r="W120" i="15"/>
  <c r="AC120" i="15" s="1"/>
  <c r="C120" i="15" s="1"/>
  <c r="W124" i="15"/>
  <c r="AB124" i="15" s="1"/>
  <c r="B124" i="15" s="1"/>
  <c r="W132" i="15"/>
  <c r="AC132" i="15" s="1"/>
  <c r="C132" i="15" s="1"/>
  <c r="W136" i="15"/>
  <c r="W140" i="15"/>
  <c r="AC140" i="15" s="1"/>
  <c r="C140" i="15" s="1"/>
  <c r="W148" i="15"/>
  <c r="AC148" i="15" s="1"/>
  <c r="C148" i="15" s="1"/>
  <c r="W152" i="15"/>
  <c r="AB152" i="15" s="1"/>
  <c r="B152" i="15" s="1"/>
  <c r="W156" i="15"/>
  <c r="W160" i="15"/>
  <c r="AB160" i="15" s="1"/>
  <c r="B160" i="15" s="1"/>
  <c r="W164" i="15"/>
  <c r="AC164" i="15" s="1"/>
  <c r="C164" i="15" s="1"/>
  <c r="W168" i="15"/>
  <c r="AC168" i="15" s="1"/>
  <c r="C168" i="15" s="1"/>
  <c r="W192" i="15"/>
  <c r="AC192" i="15" s="1"/>
  <c r="C192" i="15" s="1"/>
  <c r="W196" i="15"/>
  <c r="AB196" i="15" s="1"/>
  <c r="B196" i="15" s="1"/>
  <c r="W208" i="15"/>
  <c r="AB208" i="15" s="1"/>
  <c r="B208" i="15" s="1"/>
  <c r="W212" i="15"/>
  <c r="AC212" i="15" s="1"/>
  <c r="C212" i="15" s="1"/>
  <c r="AL220" i="15"/>
  <c r="D243" i="15"/>
  <c r="Q243" i="15" s="1"/>
  <c r="D227" i="15"/>
  <c r="Q227" i="15" s="1"/>
  <c r="W216" i="15"/>
  <c r="AB216" i="15" s="1"/>
  <c r="B216" i="15" s="1"/>
  <c r="W147" i="15"/>
  <c r="AB147" i="15" s="1"/>
  <c r="B147" i="15" s="1"/>
  <c r="W214" i="15"/>
  <c r="AB214" i="15" s="1"/>
  <c r="B214" i="15" s="1"/>
  <c r="D251" i="15"/>
  <c r="Q251" i="15" s="1"/>
  <c r="D235" i="15"/>
  <c r="Q235" i="15" s="1"/>
  <c r="D219" i="15"/>
  <c r="Q219" i="15" s="1"/>
  <c r="AL8" i="21"/>
  <c r="Q9" i="21"/>
  <c r="AK8" i="21"/>
  <c r="E11" i="21"/>
  <c r="AL11" i="21" s="1"/>
  <c r="D10" i="21"/>
  <c r="AK10" i="21" s="1"/>
  <c r="AB13" i="21"/>
  <c r="B13" i="21" s="1"/>
  <c r="M13" i="21" s="1"/>
  <c r="P13" i="21" s="1"/>
  <c r="W67" i="15"/>
  <c r="AB67" i="15" s="1"/>
  <c r="B67" i="15" s="1"/>
  <c r="W72" i="15"/>
  <c r="AC72" i="15" s="1"/>
  <c r="C72" i="15" s="1"/>
  <c r="W122" i="15"/>
  <c r="AC122" i="15" s="1"/>
  <c r="C122" i="15" s="1"/>
  <c r="W125" i="15"/>
  <c r="AB125" i="15" s="1"/>
  <c r="B125" i="15" s="1"/>
  <c r="W131" i="15"/>
  <c r="AC131" i="15" s="1"/>
  <c r="C131" i="15" s="1"/>
  <c r="W139" i="15"/>
  <c r="AC139" i="15" s="1"/>
  <c r="C139" i="15" s="1"/>
  <c r="W144" i="15"/>
  <c r="AB144" i="15" s="1"/>
  <c r="B144" i="15" s="1"/>
  <c r="W193" i="15"/>
  <c r="AC193" i="15" s="1"/>
  <c r="C193" i="15" s="1"/>
  <c r="W197" i="15"/>
  <c r="AC197" i="15" s="1"/>
  <c r="C197" i="15" s="1"/>
  <c r="W200" i="15"/>
  <c r="AC200" i="15" s="1"/>
  <c r="C200" i="15" s="1"/>
  <c r="W203" i="15"/>
  <c r="AC203" i="15" s="1"/>
  <c r="C203" i="15" s="1"/>
  <c r="W211" i="15"/>
  <c r="AC211" i="15" s="1"/>
  <c r="C211" i="15" s="1"/>
  <c r="W218" i="15"/>
  <c r="AB218" i="15" s="1"/>
  <c r="B218" i="15" s="1"/>
  <c r="W68" i="15"/>
  <c r="AB68" i="15" s="1"/>
  <c r="B68" i="15" s="1"/>
  <c r="W123" i="15"/>
  <c r="AB123" i="15" s="1"/>
  <c r="B123" i="15" s="1"/>
  <c r="W128" i="15"/>
  <c r="AC128" i="15" s="1"/>
  <c r="C128" i="15" s="1"/>
  <c r="W134" i="15"/>
  <c r="AB134" i="15" s="1"/>
  <c r="B134" i="15" s="1"/>
  <c r="W137" i="15"/>
  <c r="AC137" i="15" s="1"/>
  <c r="C137" i="15" s="1"/>
  <c r="W142" i="15"/>
  <c r="AC142" i="15" s="1"/>
  <c r="C142" i="15" s="1"/>
  <c r="W145" i="15"/>
  <c r="AB145" i="15" s="1"/>
  <c r="B145" i="15" s="1"/>
  <c r="W149" i="15"/>
  <c r="AB149" i="15" s="1"/>
  <c r="B149" i="15" s="1"/>
  <c r="W151" i="15"/>
  <c r="AB151" i="15" s="1"/>
  <c r="B151" i="15" s="1"/>
  <c r="W153" i="15"/>
  <c r="AC153" i="15" s="1"/>
  <c r="C153" i="15" s="1"/>
  <c r="W155" i="15"/>
  <c r="AB155" i="15" s="1"/>
  <c r="B155" i="15" s="1"/>
  <c r="W157" i="15"/>
  <c r="AB157" i="15" s="1"/>
  <c r="B157" i="15" s="1"/>
  <c r="W159" i="15"/>
  <c r="AC159" i="15" s="1"/>
  <c r="C159" i="15" s="1"/>
  <c r="W161" i="15"/>
  <c r="AB161" i="15" s="1"/>
  <c r="B161" i="15" s="1"/>
  <c r="W163" i="15"/>
  <c r="AC163" i="15" s="1"/>
  <c r="C163" i="15" s="1"/>
  <c r="W165" i="15"/>
  <c r="AB165" i="15" s="1"/>
  <c r="B165" i="15" s="1"/>
  <c r="W167" i="15"/>
  <c r="AB167" i="15" s="1"/>
  <c r="B167" i="15" s="1"/>
  <c r="W169" i="15"/>
  <c r="AC169" i="15" s="1"/>
  <c r="C169" i="15" s="1"/>
  <c r="W194" i="15"/>
  <c r="AC194" i="15" s="1"/>
  <c r="C194" i="15" s="1"/>
  <c r="W198" i="15"/>
  <c r="AC198" i="15" s="1"/>
  <c r="C198" i="15" s="1"/>
  <c r="W201" i="15"/>
  <c r="AC201" i="15" s="1"/>
  <c r="C201" i="15" s="1"/>
  <c r="W204" i="15"/>
  <c r="AC204" i="15" s="1"/>
  <c r="C204" i="15" s="1"/>
  <c r="W207" i="15"/>
  <c r="AC207" i="15" s="1"/>
  <c r="C207" i="15" s="1"/>
  <c r="W209" i="15"/>
  <c r="AB209" i="15" s="1"/>
  <c r="B209" i="15" s="1"/>
  <c r="D11" i="21"/>
  <c r="AK11" i="21" s="1"/>
  <c r="W14" i="21"/>
  <c r="N12" i="21"/>
  <c r="L12" i="21" s="1"/>
  <c r="G12" i="21"/>
  <c r="M12" i="21"/>
  <c r="P12" i="21" s="1"/>
  <c r="F12" i="21"/>
  <c r="R10" i="21"/>
  <c r="AL10" i="21"/>
  <c r="Y15" i="21"/>
  <c r="AA15" i="21" s="1"/>
  <c r="AI15" i="21"/>
  <c r="Z15" i="21"/>
  <c r="K246" i="15"/>
  <c r="D246" i="15"/>
  <c r="Q246" i="15" s="1"/>
  <c r="K238" i="15"/>
  <c r="D238" i="15"/>
  <c r="Q238" i="15" s="1"/>
  <c r="K230" i="15"/>
  <c r="D230" i="15"/>
  <c r="Q230" i="15" s="1"/>
  <c r="K222" i="15"/>
  <c r="D222" i="15"/>
  <c r="Q222" i="15" s="1"/>
  <c r="K250" i="15"/>
  <c r="D250" i="15"/>
  <c r="Q250" i="15" s="1"/>
  <c r="K242" i="15"/>
  <c r="D242" i="15"/>
  <c r="Q242" i="15" s="1"/>
  <c r="K234" i="15"/>
  <c r="D234" i="15"/>
  <c r="Q234" i="15" s="1"/>
  <c r="K226" i="15"/>
  <c r="D226" i="15"/>
  <c r="Q226" i="15" s="1"/>
  <c r="K252" i="15"/>
  <c r="D252" i="15"/>
  <c r="Q252" i="15" s="1"/>
  <c r="K248" i="15"/>
  <c r="D248" i="15"/>
  <c r="Q248" i="15" s="1"/>
  <c r="K244" i="15"/>
  <c r="D244" i="15"/>
  <c r="Q244" i="15" s="1"/>
  <c r="K240" i="15"/>
  <c r="D240" i="15"/>
  <c r="Q240" i="15" s="1"/>
  <c r="K236" i="15"/>
  <c r="D236" i="15"/>
  <c r="Q236" i="15" s="1"/>
  <c r="K232" i="15"/>
  <c r="D232" i="15"/>
  <c r="Q232" i="15" s="1"/>
  <c r="K228" i="15"/>
  <c r="D228" i="15"/>
  <c r="Q228" i="15" s="1"/>
  <c r="K224" i="15"/>
  <c r="D224" i="15"/>
  <c r="Q224" i="15" s="1"/>
  <c r="K220" i="15"/>
  <c r="D220" i="15"/>
  <c r="Q220" i="15" s="1"/>
  <c r="AL219" i="15"/>
  <c r="W71" i="15"/>
  <c r="AC71" i="15" s="1"/>
  <c r="C71" i="15" s="1"/>
  <c r="W73" i="15"/>
  <c r="AC73" i="15" s="1"/>
  <c r="C73" i="15" s="1"/>
  <c r="W74" i="15"/>
  <c r="AC74" i="15" s="1"/>
  <c r="C74" i="15" s="1"/>
  <c r="W75" i="15"/>
  <c r="AC75" i="15" s="1"/>
  <c r="C75" i="15" s="1"/>
  <c r="W76" i="15"/>
  <c r="AC76" i="15" s="1"/>
  <c r="C76" i="15" s="1"/>
  <c r="W77" i="15"/>
  <c r="AC77" i="15" s="1"/>
  <c r="C77" i="15" s="1"/>
  <c r="W78" i="15"/>
  <c r="AC78" i="15" s="1"/>
  <c r="C78" i="15" s="1"/>
  <c r="W79" i="15"/>
  <c r="AC79" i="15" s="1"/>
  <c r="C79" i="15" s="1"/>
  <c r="W80" i="15"/>
  <c r="AC80" i="15" s="1"/>
  <c r="C80" i="15" s="1"/>
  <c r="W81" i="15"/>
  <c r="AC81" i="15" s="1"/>
  <c r="C81" i="15" s="1"/>
  <c r="W82" i="15"/>
  <c r="AC82" i="15" s="1"/>
  <c r="C82" i="15" s="1"/>
  <c r="W83" i="15"/>
  <c r="AC83" i="15" s="1"/>
  <c r="C83" i="15" s="1"/>
  <c r="W84" i="15"/>
  <c r="AC84" i="15" s="1"/>
  <c r="C84" i="15" s="1"/>
  <c r="W85" i="15"/>
  <c r="AC85" i="15" s="1"/>
  <c r="C85" i="15" s="1"/>
  <c r="W86" i="15"/>
  <c r="AC86" i="15" s="1"/>
  <c r="C86" i="15" s="1"/>
  <c r="W87" i="15"/>
  <c r="AC87" i="15" s="1"/>
  <c r="C87" i="15" s="1"/>
  <c r="W88" i="15"/>
  <c r="AC88" i="15" s="1"/>
  <c r="C88" i="15" s="1"/>
  <c r="W89" i="15"/>
  <c r="AC89" i="15" s="1"/>
  <c r="C89" i="15" s="1"/>
  <c r="W90" i="15"/>
  <c r="AC90" i="15" s="1"/>
  <c r="C90" i="15" s="1"/>
  <c r="W91" i="15"/>
  <c r="AC91" i="15" s="1"/>
  <c r="C91" i="15" s="1"/>
  <c r="W92" i="15"/>
  <c r="AC92" i="15" s="1"/>
  <c r="C92" i="15" s="1"/>
  <c r="W93" i="15"/>
  <c r="AC93" i="15" s="1"/>
  <c r="C93" i="15" s="1"/>
  <c r="W94" i="15"/>
  <c r="AC94" i="15" s="1"/>
  <c r="C94" i="15" s="1"/>
  <c r="W95" i="15"/>
  <c r="AC95" i="15" s="1"/>
  <c r="C95" i="15" s="1"/>
  <c r="W96" i="15"/>
  <c r="AC96" i="15" s="1"/>
  <c r="C96" i="15" s="1"/>
  <c r="W97" i="15"/>
  <c r="AC97" i="15" s="1"/>
  <c r="C97" i="15" s="1"/>
  <c r="W98" i="15"/>
  <c r="AC98" i="15" s="1"/>
  <c r="C98" i="15" s="1"/>
  <c r="W99" i="15"/>
  <c r="AC99" i="15" s="1"/>
  <c r="C99" i="15" s="1"/>
  <c r="W100" i="15"/>
  <c r="AC100" i="15" s="1"/>
  <c r="C100" i="15" s="1"/>
  <c r="W101" i="15"/>
  <c r="AC101" i="15" s="1"/>
  <c r="C101" i="15" s="1"/>
  <c r="W102" i="15"/>
  <c r="AC102" i="15" s="1"/>
  <c r="C102" i="15" s="1"/>
  <c r="W103" i="15"/>
  <c r="AC103" i="15" s="1"/>
  <c r="C103" i="15" s="1"/>
  <c r="W104" i="15"/>
  <c r="AC104" i="15" s="1"/>
  <c r="C104" i="15" s="1"/>
  <c r="W105" i="15"/>
  <c r="AC105" i="15" s="1"/>
  <c r="C105" i="15" s="1"/>
  <c r="W106" i="15"/>
  <c r="AC106" i="15" s="1"/>
  <c r="C106" i="15" s="1"/>
  <c r="W107" i="15"/>
  <c r="AB107" i="15" s="1"/>
  <c r="B107" i="15" s="1"/>
  <c r="W108" i="15"/>
  <c r="AC108" i="15" s="1"/>
  <c r="C108" i="15" s="1"/>
  <c r="W109" i="15"/>
  <c r="AB109" i="15" s="1"/>
  <c r="B109" i="15" s="1"/>
  <c r="W110" i="15"/>
  <c r="AC110" i="15" s="1"/>
  <c r="C110" i="15" s="1"/>
  <c r="W111" i="15"/>
  <c r="AB111" i="15" s="1"/>
  <c r="B111" i="15" s="1"/>
  <c r="W112" i="15"/>
  <c r="AC112" i="15" s="1"/>
  <c r="C112" i="15" s="1"/>
  <c r="W113" i="15"/>
  <c r="AC113" i="15" s="1"/>
  <c r="C113" i="15" s="1"/>
  <c r="W114" i="15"/>
  <c r="AC114" i="15" s="1"/>
  <c r="C114" i="15" s="1"/>
  <c r="W115" i="15"/>
  <c r="AC115" i="15" s="1"/>
  <c r="C115" i="15" s="1"/>
  <c r="W116" i="15"/>
  <c r="AC116" i="15" s="1"/>
  <c r="C116" i="15" s="1"/>
  <c r="W117" i="15"/>
  <c r="AC117" i="15" s="1"/>
  <c r="C117" i="15" s="1"/>
  <c r="W118" i="15"/>
  <c r="AC118" i="15" s="1"/>
  <c r="C118" i="15" s="1"/>
  <c r="W119" i="15"/>
  <c r="AB119" i="15" s="1"/>
  <c r="B119" i="15" s="1"/>
  <c r="AI7" i="15"/>
  <c r="Z7" i="15"/>
  <c r="Y7" i="15"/>
  <c r="AA7" i="15" s="1"/>
  <c r="W6" i="15"/>
  <c r="Z69" i="15"/>
  <c r="W69" i="15" s="1"/>
  <c r="AI69" i="15"/>
  <c r="W70" i="15"/>
  <c r="AB121" i="15"/>
  <c r="B121" i="15" s="1"/>
  <c r="AC121" i="15"/>
  <c r="C121" i="15" s="1"/>
  <c r="AB126" i="15"/>
  <c r="B126" i="15" s="1"/>
  <c r="AB127" i="15"/>
  <c r="B127" i="15" s="1"/>
  <c r="AC127" i="15"/>
  <c r="C127" i="15" s="1"/>
  <c r="AB129" i="15"/>
  <c r="B129" i="15" s="1"/>
  <c r="AC129" i="15"/>
  <c r="C129" i="15" s="1"/>
  <c r="AB133" i="15"/>
  <c r="B133" i="15" s="1"/>
  <c r="AC133" i="15"/>
  <c r="C133" i="15" s="1"/>
  <c r="AB135" i="15"/>
  <c r="B135" i="15" s="1"/>
  <c r="AC135" i="15"/>
  <c r="C135" i="15" s="1"/>
  <c r="AB136" i="15"/>
  <c r="B136" i="15" s="1"/>
  <c r="AC136" i="15"/>
  <c r="C136" i="15" s="1"/>
  <c r="AB141" i="15"/>
  <c r="B141" i="15" s="1"/>
  <c r="AC141" i="15"/>
  <c r="C141" i="15" s="1"/>
  <c r="AB143" i="15"/>
  <c r="B143" i="15" s="1"/>
  <c r="AC143" i="15"/>
  <c r="C143" i="15" s="1"/>
  <c r="AC156" i="15"/>
  <c r="C156" i="15" s="1"/>
  <c r="AB156" i="15"/>
  <c r="B156" i="15" s="1"/>
  <c r="AC162" i="15"/>
  <c r="C162" i="15" s="1"/>
  <c r="AB166" i="15"/>
  <c r="B166" i="15" s="1"/>
  <c r="W170" i="15"/>
  <c r="W171" i="15"/>
  <c r="W172" i="15"/>
  <c r="W173" i="15"/>
  <c r="W174" i="15"/>
  <c r="W175" i="15"/>
  <c r="W176" i="15"/>
  <c r="W177" i="15"/>
  <c r="W178" i="15"/>
  <c r="W179" i="15"/>
  <c r="W180" i="15"/>
  <c r="W181" i="15"/>
  <c r="W182" i="15"/>
  <c r="W183" i="15"/>
  <c r="W184" i="15"/>
  <c r="W185" i="15"/>
  <c r="W186" i="15"/>
  <c r="W187" i="15"/>
  <c r="W188" i="15"/>
  <c r="W189" i="15"/>
  <c r="W190" i="15"/>
  <c r="W191" i="15"/>
  <c r="AB205" i="15"/>
  <c r="B205" i="15" s="1"/>
  <c r="AC205" i="15"/>
  <c r="C205" i="15" s="1"/>
  <c r="AB192" i="15"/>
  <c r="B192" i="15" s="1"/>
  <c r="AB195" i="15"/>
  <c r="B195" i="15" s="1"/>
  <c r="AC195" i="15"/>
  <c r="C195" i="15" s="1"/>
  <c r="AC196" i="15"/>
  <c r="C196" i="15" s="1"/>
  <c r="AB199" i="15"/>
  <c r="B199" i="15" s="1"/>
  <c r="AC199" i="15"/>
  <c r="C199" i="15" s="1"/>
  <c r="AB212" i="15"/>
  <c r="B212" i="15" s="1"/>
  <c r="AB213" i="15"/>
  <c r="B213" i="15" s="1"/>
  <c r="AC213" i="15"/>
  <c r="C213" i="15" s="1"/>
  <c r="AB215" i="15"/>
  <c r="B215" i="15" s="1"/>
  <c r="AC215" i="15"/>
  <c r="C215" i="15" s="1"/>
  <c r="AB217" i="15"/>
  <c r="B217" i="15" s="1"/>
  <c r="AB130" i="15" l="1"/>
  <c r="B130" i="15" s="1"/>
  <c r="AC150" i="15"/>
  <c r="C150" i="15" s="1"/>
  <c r="F150" i="15" s="1"/>
  <c r="AB66" i="15"/>
  <c r="B66" i="15" s="1"/>
  <c r="M66" i="15" s="1"/>
  <c r="P66" i="15" s="1"/>
  <c r="AB200" i="15"/>
  <c r="B200" i="15" s="1"/>
  <c r="AC206" i="15"/>
  <c r="C206" i="15" s="1"/>
  <c r="AC165" i="15"/>
  <c r="C165" i="15" s="1"/>
  <c r="G165" i="15" s="1"/>
  <c r="AB158" i="15"/>
  <c r="B158" i="15" s="1"/>
  <c r="N158" i="15" s="1"/>
  <c r="L158" i="15" s="1"/>
  <c r="AB148" i="15"/>
  <c r="B148" i="15" s="1"/>
  <c r="AC154" i="15"/>
  <c r="C154" i="15" s="1"/>
  <c r="AB86" i="15"/>
  <c r="B86" i="15" s="1"/>
  <c r="N86" i="15" s="1"/>
  <c r="L86" i="15" s="1"/>
  <c r="AB210" i="15"/>
  <c r="B210" i="15" s="1"/>
  <c r="F210" i="15" s="1"/>
  <c r="AC208" i="15"/>
  <c r="C208" i="15" s="1"/>
  <c r="AB168" i="15"/>
  <c r="B168" i="15" s="1"/>
  <c r="M168" i="15" s="1"/>
  <c r="P168" i="15" s="1"/>
  <c r="AB164" i="15"/>
  <c r="B164" i="15" s="1"/>
  <c r="M164" i="15" s="1"/>
  <c r="P164" i="15" s="1"/>
  <c r="AC152" i="15"/>
  <c r="C152" i="15" s="1"/>
  <c r="F152" i="15" s="1"/>
  <c r="AC138" i="15"/>
  <c r="C138" i="15" s="1"/>
  <c r="AB132" i="15"/>
  <c r="B132" i="15" s="1"/>
  <c r="F132" i="15" s="1"/>
  <c r="AC124" i="15"/>
  <c r="C124" i="15" s="1"/>
  <c r="F124" i="15" s="1"/>
  <c r="AB106" i="15"/>
  <c r="B106" i="15" s="1"/>
  <c r="G106" i="15" s="1"/>
  <c r="AB146" i="15"/>
  <c r="B146" i="15" s="1"/>
  <c r="AB90" i="15"/>
  <c r="B90" i="15" s="1"/>
  <c r="M90" i="15" s="1"/>
  <c r="P90" i="15" s="1"/>
  <c r="AC202" i="15"/>
  <c r="C202" i="15" s="1"/>
  <c r="N202" i="15" s="1"/>
  <c r="L202" i="15" s="1"/>
  <c r="AB120" i="15"/>
  <c r="B120" i="15" s="1"/>
  <c r="M120" i="15" s="1"/>
  <c r="P120" i="15" s="1"/>
  <c r="AB140" i="15"/>
  <c r="B140" i="15" s="1"/>
  <c r="AC160" i="15"/>
  <c r="C160" i="15" s="1"/>
  <c r="M160" i="15" s="1"/>
  <c r="P160" i="15" s="1"/>
  <c r="AB112" i="15"/>
  <c r="B112" i="15" s="1"/>
  <c r="N112" i="15" s="1"/>
  <c r="L112" i="15" s="1"/>
  <c r="AC111" i="15"/>
  <c r="C111" i="15" s="1"/>
  <c r="N111" i="15" s="1"/>
  <c r="L111" i="15" s="1"/>
  <c r="AB128" i="15"/>
  <c r="B128" i="15" s="1"/>
  <c r="AC67" i="15"/>
  <c r="C67" i="15" s="1"/>
  <c r="G67" i="15" s="1"/>
  <c r="AB193" i="15"/>
  <c r="B193" i="15" s="1"/>
  <c r="M193" i="15" s="1"/>
  <c r="P193" i="15" s="1"/>
  <c r="AC125" i="15"/>
  <c r="C125" i="15" s="1"/>
  <c r="M125" i="15" s="1"/>
  <c r="P125" i="15" s="1"/>
  <c r="AC149" i="15"/>
  <c r="C149" i="15" s="1"/>
  <c r="M149" i="15" s="1"/>
  <c r="P149" i="15" s="1"/>
  <c r="AB74" i="15"/>
  <c r="B74" i="15" s="1"/>
  <c r="N74" i="15" s="1"/>
  <c r="L74" i="15" s="1"/>
  <c r="AB194" i="15"/>
  <c r="B194" i="15" s="1"/>
  <c r="F194" i="15" s="1"/>
  <c r="AB203" i="15"/>
  <c r="B203" i="15" s="1"/>
  <c r="N203" i="15" s="1"/>
  <c r="L203" i="15" s="1"/>
  <c r="AC155" i="15"/>
  <c r="C155" i="15" s="1"/>
  <c r="F155" i="15" s="1"/>
  <c r="AB102" i="15"/>
  <c r="B102" i="15" s="1"/>
  <c r="F102" i="15" s="1"/>
  <c r="G133" i="15"/>
  <c r="J133" i="15" s="1"/>
  <c r="AC216" i="15"/>
  <c r="C216" i="15" s="1"/>
  <c r="G216" i="15" s="1"/>
  <c r="AC157" i="15"/>
  <c r="C157" i="15" s="1"/>
  <c r="G157" i="15" s="1"/>
  <c r="AB98" i="15"/>
  <c r="B98" i="15" s="1"/>
  <c r="N98" i="15" s="1"/>
  <c r="L98" i="15" s="1"/>
  <c r="AB82" i="15"/>
  <c r="B82" i="15" s="1"/>
  <c r="G82" i="15" s="1"/>
  <c r="J82" i="15" s="1"/>
  <c r="AB118" i="15"/>
  <c r="B118" i="15" s="1"/>
  <c r="N118" i="15" s="1"/>
  <c r="L118" i="15" s="1"/>
  <c r="AC218" i="15"/>
  <c r="C218" i="15" s="1"/>
  <c r="N218" i="15" s="1"/>
  <c r="L218" i="15" s="1"/>
  <c r="AB94" i="15"/>
  <c r="B94" i="15" s="1"/>
  <c r="G94" i="15" s="1"/>
  <c r="AB78" i="15"/>
  <c r="B78" i="15" s="1"/>
  <c r="G78" i="15" s="1"/>
  <c r="J78" i="15" s="1"/>
  <c r="AC144" i="15"/>
  <c r="C144" i="15" s="1"/>
  <c r="F144" i="15" s="1"/>
  <c r="AB169" i="15"/>
  <c r="B169" i="15" s="1"/>
  <c r="M169" i="15" s="1"/>
  <c r="P169" i="15" s="1"/>
  <c r="AB211" i="15"/>
  <c r="B211" i="15" s="1"/>
  <c r="M211" i="15" s="1"/>
  <c r="P211" i="15" s="1"/>
  <c r="AB159" i="15"/>
  <c r="B159" i="15" s="1"/>
  <c r="M159" i="15" s="1"/>
  <c r="P159" i="15" s="1"/>
  <c r="AB137" i="15"/>
  <c r="B137" i="15" s="1"/>
  <c r="M137" i="15" s="1"/>
  <c r="P137" i="15" s="1"/>
  <c r="AB201" i="15"/>
  <c r="B201" i="15" s="1"/>
  <c r="N201" i="15" s="1"/>
  <c r="L201" i="15" s="1"/>
  <c r="AB204" i="15"/>
  <c r="B204" i="15" s="1"/>
  <c r="F204" i="15" s="1"/>
  <c r="AC161" i="15"/>
  <c r="C161" i="15" s="1"/>
  <c r="N161" i="15" s="1"/>
  <c r="L161" i="15" s="1"/>
  <c r="AB153" i="15"/>
  <c r="B153" i="15" s="1"/>
  <c r="F153" i="15" s="1"/>
  <c r="AC147" i="15"/>
  <c r="C147" i="15" s="1"/>
  <c r="N147" i="15" s="1"/>
  <c r="L147" i="15" s="1"/>
  <c r="AB142" i="15"/>
  <c r="B142" i="15" s="1"/>
  <c r="G142" i="15" s="1"/>
  <c r="AC123" i="15"/>
  <c r="C123" i="15" s="1"/>
  <c r="G123" i="15" s="1"/>
  <c r="J123" i="15" s="1"/>
  <c r="AB115" i="15"/>
  <c r="B115" i="15" s="1"/>
  <c r="F115" i="15" s="1"/>
  <c r="AB114" i="15"/>
  <c r="B114" i="15" s="1"/>
  <c r="N114" i="15" s="1"/>
  <c r="L114" i="15" s="1"/>
  <c r="AB110" i="15"/>
  <c r="B110" i="15" s="1"/>
  <c r="N110" i="15" s="1"/>
  <c r="L110" i="15" s="1"/>
  <c r="AB104" i="15"/>
  <c r="B104" i="15" s="1"/>
  <c r="M104" i="15" s="1"/>
  <c r="P104" i="15" s="1"/>
  <c r="AB96" i="15"/>
  <c r="B96" i="15" s="1"/>
  <c r="M96" i="15" s="1"/>
  <c r="P96" i="15" s="1"/>
  <c r="AB88" i="15"/>
  <c r="B88" i="15" s="1"/>
  <c r="M88" i="15" s="1"/>
  <c r="P88" i="15" s="1"/>
  <c r="AB80" i="15"/>
  <c r="B80" i="15" s="1"/>
  <c r="G80" i="15" s="1"/>
  <c r="J80" i="15" s="1"/>
  <c r="AB72" i="15"/>
  <c r="B72" i="15" s="1"/>
  <c r="F72" i="15" s="1"/>
  <c r="AB139" i="15"/>
  <c r="B139" i="15" s="1"/>
  <c r="M139" i="15" s="1"/>
  <c r="P139" i="15" s="1"/>
  <c r="AB113" i="15"/>
  <c r="B113" i="15" s="1"/>
  <c r="F113" i="15" s="1"/>
  <c r="AC109" i="15"/>
  <c r="C109" i="15" s="1"/>
  <c r="M109" i="15" s="1"/>
  <c r="P109" i="15" s="1"/>
  <c r="AB198" i="15"/>
  <c r="B198" i="15" s="1"/>
  <c r="N198" i="15" s="1"/>
  <c r="L198" i="15" s="1"/>
  <c r="AB100" i="15"/>
  <c r="B100" i="15" s="1"/>
  <c r="M100" i="15" s="1"/>
  <c r="P100" i="15" s="1"/>
  <c r="AB92" i="15"/>
  <c r="B92" i="15" s="1"/>
  <c r="F92" i="15" s="1"/>
  <c r="AB84" i="15"/>
  <c r="B84" i="15" s="1"/>
  <c r="N84" i="15" s="1"/>
  <c r="L84" i="15" s="1"/>
  <c r="AB76" i="15"/>
  <c r="B76" i="15" s="1"/>
  <c r="G76" i="15" s="1"/>
  <c r="J76" i="15" s="1"/>
  <c r="G127" i="15"/>
  <c r="J127" i="15" s="1"/>
  <c r="AC214" i="15"/>
  <c r="C214" i="15" s="1"/>
  <c r="G214" i="15" s="1"/>
  <c r="AB197" i="15"/>
  <c r="B197" i="15" s="1"/>
  <c r="M197" i="15" s="1"/>
  <c r="P197" i="15" s="1"/>
  <c r="AB163" i="15"/>
  <c r="B163" i="15" s="1"/>
  <c r="G163" i="15" s="1"/>
  <c r="AC151" i="15"/>
  <c r="C151" i="15" s="1"/>
  <c r="M151" i="15" s="1"/>
  <c r="P151" i="15" s="1"/>
  <c r="AB103" i="15"/>
  <c r="B103" i="15" s="1"/>
  <c r="F103" i="15" s="1"/>
  <c r="AB99" i="15"/>
  <c r="B99" i="15" s="1"/>
  <c r="F99" i="15" s="1"/>
  <c r="AB95" i="15"/>
  <c r="B95" i="15" s="1"/>
  <c r="N95" i="15" s="1"/>
  <c r="L95" i="15" s="1"/>
  <c r="AB91" i="15"/>
  <c r="B91" i="15" s="1"/>
  <c r="N91" i="15" s="1"/>
  <c r="L91" i="15" s="1"/>
  <c r="AB87" i="15"/>
  <c r="B87" i="15" s="1"/>
  <c r="M87" i="15" s="1"/>
  <c r="P87" i="15" s="1"/>
  <c r="AB83" i="15"/>
  <c r="B83" i="15" s="1"/>
  <c r="M83" i="15" s="1"/>
  <c r="P83" i="15" s="1"/>
  <c r="AB79" i="15"/>
  <c r="B79" i="15" s="1"/>
  <c r="G79" i="15" s="1"/>
  <c r="AB75" i="15"/>
  <c r="B75" i="15" s="1"/>
  <c r="G75" i="15" s="1"/>
  <c r="AB131" i="15"/>
  <c r="B131" i="15" s="1"/>
  <c r="G131" i="15" s="1"/>
  <c r="J131" i="15" s="1"/>
  <c r="G129" i="15"/>
  <c r="J129" i="15" s="1"/>
  <c r="AB122" i="15"/>
  <c r="B122" i="15" s="1"/>
  <c r="N122" i="15" s="1"/>
  <c r="L122" i="15" s="1"/>
  <c r="AB117" i="15"/>
  <c r="B117" i="15" s="1"/>
  <c r="M117" i="15" s="1"/>
  <c r="P117" i="15" s="1"/>
  <c r="AC107" i="15"/>
  <c r="C107" i="15" s="1"/>
  <c r="F107" i="15" s="1"/>
  <c r="AB207" i="15"/>
  <c r="B207" i="15" s="1"/>
  <c r="G207" i="15" s="1"/>
  <c r="AC167" i="15"/>
  <c r="C167" i="15" s="1"/>
  <c r="M167" i="15" s="1"/>
  <c r="P167" i="15" s="1"/>
  <c r="AB105" i="15"/>
  <c r="B105" i="15" s="1"/>
  <c r="G105" i="15" s="1"/>
  <c r="AB101" i="15"/>
  <c r="B101" i="15" s="1"/>
  <c r="M101" i="15" s="1"/>
  <c r="P101" i="15" s="1"/>
  <c r="AB97" i="15"/>
  <c r="B97" i="15" s="1"/>
  <c r="G97" i="15" s="1"/>
  <c r="AB93" i="15"/>
  <c r="B93" i="15" s="1"/>
  <c r="N93" i="15" s="1"/>
  <c r="L93" i="15" s="1"/>
  <c r="AB89" i="15"/>
  <c r="B89" i="15" s="1"/>
  <c r="N89" i="15" s="1"/>
  <c r="L89" i="15" s="1"/>
  <c r="AB85" i="15"/>
  <c r="B85" i="15" s="1"/>
  <c r="M85" i="15" s="1"/>
  <c r="P85" i="15" s="1"/>
  <c r="AB81" i="15"/>
  <c r="B81" i="15" s="1"/>
  <c r="N81" i="15" s="1"/>
  <c r="L81" i="15" s="1"/>
  <c r="AB77" i="15"/>
  <c r="B77" i="15" s="1"/>
  <c r="G77" i="15" s="1"/>
  <c r="AB73" i="15"/>
  <c r="B73" i="15" s="1"/>
  <c r="G73" i="15" s="1"/>
  <c r="AC145" i="15"/>
  <c r="C145" i="15" s="1"/>
  <c r="M145" i="15" s="1"/>
  <c r="P145" i="15" s="1"/>
  <c r="G121" i="15"/>
  <c r="J121" i="15" s="1"/>
  <c r="AC68" i="15"/>
  <c r="C68" i="15" s="1"/>
  <c r="N68" i="15" s="1"/>
  <c r="L68" i="15" s="1"/>
  <c r="G115" i="15"/>
  <c r="J115" i="15" s="1"/>
  <c r="AC119" i="15"/>
  <c r="C119" i="15" s="1"/>
  <c r="G119" i="15" s="1"/>
  <c r="J119" i="15" s="1"/>
  <c r="Q11" i="21"/>
  <c r="R11" i="21"/>
  <c r="Q10" i="21"/>
  <c r="F13" i="21"/>
  <c r="H13" i="21" s="1"/>
  <c r="K13" i="21" s="1"/>
  <c r="G13" i="21"/>
  <c r="J13" i="21" s="1"/>
  <c r="N13" i="21"/>
  <c r="L13" i="21" s="1"/>
  <c r="E13" i="21" s="1"/>
  <c r="G200" i="15"/>
  <c r="F200" i="15"/>
  <c r="M200" i="15"/>
  <c r="P200" i="15" s="1"/>
  <c r="N200" i="15"/>
  <c r="L200" i="15" s="1"/>
  <c r="N113" i="15"/>
  <c r="L113" i="15" s="1"/>
  <c r="F112" i="15"/>
  <c r="F215" i="15"/>
  <c r="M215" i="15"/>
  <c r="P215" i="15" s="1"/>
  <c r="G215" i="15"/>
  <c r="N215" i="15"/>
  <c r="L215" i="15" s="1"/>
  <c r="AC209" i="15"/>
  <c r="C209" i="15" s="1"/>
  <c r="G146" i="15"/>
  <c r="M146" i="15"/>
  <c r="P146" i="15" s="1"/>
  <c r="N146" i="15"/>
  <c r="L146" i="15" s="1"/>
  <c r="F146" i="15"/>
  <c r="G140" i="15"/>
  <c r="N140" i="15"/>
  <c r="L140" i="15" s="1"/>
  <c r="F140" i="15"/>
  <c r="M140" i="15"/>
  <c r="P140" i="15" s="1"/>
  <c r="G138" i="15"/>
  <c r="M138" i="15"/>
  <c r="P138" i="15" s="1"/>
  <c r="N138" i="15"/>
  <c r="L138" i="15" s="1"/>
  <c r="F138" i="15"/>
  <c r="G136" i="15"/>
  <c r="N136" i="15"/>
  <c r="L136" i="15" s="1"/>
  <c r="F136" i="15"/>
  <c r="M136" i="15"/>
  <c r="P136" i="15" s="1"/>
  <c r="AC134" i="15"/>
  <c r="C134" i="15" s="1"/>
  <c r="G132" i="15"/>
  <c r="M132" i="15"/>
  <c r="P132" i="15" s="1"/>
  <c r="F130" i="15"/>
  <c r="N130" i="15"/>
  <c r="L130" i="15" s="1"/>
  <c r="G130" i="15"/>
  <c r="M130" i="15"/>
  <c r="P130" i="15" s="1"/>
  <c r="F128" i="15"/>
  <c r="N128" i="15"/>
  <c r="L128" i="15" s="1"/>
  <c r="G128" i="15"/>
  <c r="M128" i="15"/>
  <c r="P128" i="15" s="1"/>
  <c r="F126" i="15"/>
  <c r="N126" i="15"/>
  <c r="L126" i="15" s="1"/>
  <c r="G126" i="15"/>
  <c r="M126" i="15"/>
  <c r="P126" i="15" s="1"/>
  <c r="M157" i="15"/>
  <c r="P157" i="15" s="1"/>
  <c r="G217" i="15"/>
  <c r="M217" i="15"/>
  <c r="P217" i="15" s="1"/>
  <c r="N217" i="15"/>
  <c r="L217" i="15" s="1"/>
  <c r="F217" i="15"/>
  <c r="M213" i="15"/>
  <c r="P213" i="15" s="1"/>
  <c r="F213" i="15"/>
  <c r="G213" i="15"/>
  <c r="N213" i="15"/>
  <c r="L213" i="15" s="1"/>
  <c r="F199" i="15"/>
  <c r="M199" i="15"/>
  <c r="P199" i="15" s="1"/>
  <c r="G199" i="15"/>
  <c r="N199" i="15"/>
  <c r="L199" i="15" s="1"/>
  <c r="F195" i="15"/>
  <c r="M195" i="15"/>
  <c r="P195" i="15" s="1"/>
  <c r="N195" i="15"/>
  <c r="L195" i="15" s="1"/>
  <c r="G195" i="15"/>
  <c r="M205" i="15"/>
  <c r="P205" i="15" s="1"/>
  <c r="G205" i="15"/>
  <c r="F205" i="15"/>
  <c r="N205" i="15"/>
  <c r="L205" i="15" s="1"/>
  <c r="N168" i="15"/>
  <c r="L168" i="15" s="1"/>
  <c r="F168" i="15"/>
  <c r="G166" i="15"/>
  <c r="M166" i="15"/>
  <c r="P166" i="15" s="1"/>
  <c r="N166" i="15"/>
  <c r="L166" i="15" s="1"/>
  <c r="F166" i="15"/>
  <c r="G162" i="15"/>
  <c r="M162" i="15"/>
  <c r="P162" i="15" s="1"/>
  <c r="F162" i="15"/>
  <c r="N162" i="15"/>
  <c r="L162" i="15" s="1"/>
  <c r="G156" i="15"/>
  <c r="N156" i="15"/>
  <c r="L156" i="15" s="1"/>
  <c r="F156" i="15"/>
  <c r="M156" i="15"/>
  <c r="P156" i="15" s="1"/>
  <c r="G154" i="15"/>
  <c r="M154" i="15"/>
  <c r="P154" i="15" s="1"/>
  <c r="N154" i="15"/>
  <c r="L154" i="15" s="1"/>
  <c r="F154" i="15"/>
  <c r="G150" i="15"/>
  <c r="M150" i="15"/>
  <c r="P150" i="15" s="1"/>
  <c r="G148" i="15"/>
  <c r="N148" i="15"/>
  <c r="L148" i="15" s="1"/>
  <c r="F148" i="15"/>
  <c r="M148" i="15"/>
  <c r="P148" i="15" s="1"/>
  <c r="AB116" i="15"/>
  <c r="B116" i="15" s="1"/>
  <c r="F116" i="15" s="1"/>
  <c r="AB108" i="15"/>
  <c r="B108" i="15" s="1"/>
  <c r="G108" i="15" s="1"/>
  <c r="AB71" i="15"/>
  <c r="B71" i="15" s="1"/>
  <c r="M71" i="15" s="1"/>
  <c r="P71" i="15" s="1"/>
  <c r="N102" i="15"/>
  <c r="L102" i="15" s="1"/>
  <c r="F90" i="15"/>
  <c r="N90" i="15"/>
  <c r="L90" i="15" s="1"/>
  <c r="G86" i="15"/>
  <c r="W15" i="21"/>
  <c r="AB15" i="21" s="1"/>
  <c r="B15" i="21" s="1"/>
  <c r="G212" i="15"/>
  <c r="F212" i="15"/>
  <c r="M212" i="15"/>
  <c r="P212" i="15" s="1"/>
  <c r="N212" i="15"/>
  <c r="L212" i="15" s="1"/>
  <c r="G208" i="15"/>
  <c r="F208" i="15"/>
  <c r="N208" i="15"/>
  <c r="L208" i="15" s="1"/>
  <c r="M208" i="15"/>
  <c r="P208" i="15" s="1"/>
  <c r="G196" i="15"/>
  <c r="F196" i="15"/>
  <c r="M196" i="15"/>
  <c r="P196" i="15" s="1"/>
  <c r="N196" i="15"/>
  <c r="L196" i="15" s="1"/>
  <c r="F192" i="15"/>
  <c r="G192" i="15"/>
  <c r="N192" i="15"/>
  <c r="L192" i="15" s="1"/>
  <c r="M192" i="15"/>
  <c r="P192" i="15" s="1"/>
  <c r="N206" i="15"/>
  <c r="L206" i="15" s="1"/>
  <c r="G206" i="15"/>
  <c r="F206" i="15"/>
  <c r="M206" i="15"/>
  <c r="P206" i="15" s="1"/>
  <c r="M143" i="15"/>
  <c r="P143" i="15" s="1"/>
  <c r="G143" i="15"/>
  <c r="F143" i="15"/>
  <c r="N143" i="15"/>
  <c r="L143" i="15" s="1"/>
  <c r="F141" i="15"/>
  <c r="M141" i="15"/>
  <c r="P141" i="15" s="1"/>
  <c r="G141" i="15"/>
  <c r="N141" i="15"/>
  <c r="L141" i="15" s="1"/>
  <c r="M135" i="15"/>
  <c r="P135" i="15" s="1"/>
  <c r="G135" i="15"/>
  <c r="N135" i="15"/>
  <c r="L135" i="15" s="1"/>
  <c r="F135" i="15"/>
  <c r="F133" i="15"/>
  <c r="M133" i="15"/>
  <c r="P133" i="15" s="1"/>
  <c r="N133" i="15"/>
  <c r="L133" i="15" s="1"/>
  <c r="F129" i="15"/>
  <c r="M129" i="15"/>
  <c r="P129" i="15" s="1"/>
  <c r="N129" i="15"/>
  <c r="L129" i="15" s="1"/>
  <c r="F127" i="15"/>
  <c r="M127" i="15"/>
  <c r="P127" i="15" s="1"/>
  <c r="N127" i="15"/>
  <c r="L127" i="15" s="1"/>
  <c r="F121" i="15"/>
  <c r="M121" i="15"/>
  <c r="P121" i="15" s="1"/>
  <c r="N121" i="15"/>
  <c r="L121" i="15" s="1"/>
  <c r="G66" i="15"/>
  <c r="E12" i="21"/>
  <c r="O12" i="21"/>
  <c r="S12" i="21"/>
  <c r="H12" i="21"/>
  <c r="K12" i="21" s="1"/>
  <c r="J12" i="21"/>
  <c r="AB14" i="21"/>
  <c r="B14" i="21" s="1"/>
  <c r="AC14" i="21"/>
  <c r="C14" i="21" s="1"/>
  <c r="AK220" i="15"/>
  <c r="AK219" i="15"/>
  <c r="W7" i="15"/>
  <c r="AC7" i="15" s="1"/>
  <c r="C7" i="15" s="1"/>
  <c r="AB191" i="15"/>
  <c r="B191" i="15" s="1"/>
  <c r="AC191" i="15"/>
  <c r="C191" i="15" s="1"/>
  <c r="AB189" i="15"/>
  <c r="B189" i="15" s="1"/>
  <c r="AC189" i="15"/>
  <c r="C189" i="15" s="1"/>
  <c r="AB187" i="15"/>
  <c r="B187" i="15" s="1"/>
  <c r="AC187" i="15"/>
  <c r="C187" i="15" s="1"/>
  <c r="AB185" i="15"/>
  <c r="B185" i="15" s="1"/>
  <c r="AC185" i="15"/>
  <c r="C185" i="15" s="1"/>
  <c r="AB183" i="15"/>
  <c r="B183" i="15" s="1"/>
  <c r="AC183" i="15"/>
  <c r="C183" i="15" s="1"/>
  <c r="AB181" i="15"/>
  <c r="B181" i="15" s="1"/>
  <c r="AC181" i="15"/>
  <c r="C181" i="15" s="1"/>
  <c r="AB179" i="15"/>
  <c r="B179" i="15" s="1"/>
  <c r="AC179" i="15"/>
  <c r="C179" i="15" s="1"/>
  <c r="AB177" i="15"/>
  <c r="B177" i="15" s="1"/>
  <c r="AC177" i="15"/>
  <c r="C177" i="15" s="1"/>
  <c r="AC175" i="15"/>
  <c r="C175" i="15" s="1"/>
  <c r="AB175" i="15"/>
  <c r="B175" i="15" s="1"/>
  <c r="AC173" i="15"/>
  <c r="C173" i="15" s="1"/>
  <c r="AB173" i="15"/>
  <c r="B173" i="15" s="1"/>
  <c r="AC171" i="15"/>
  <c r="C171" i="15" s="1"/>
  <c r="AB171" i="15"/>
  <c r="B171" i="15" s="1"/>
  <c r="AC70" i="15"/>
  <c r="C70" i="15" s="1"/>
  <c r="AB70" i="15"/>
  <c r="B70" i="15" s="1"/>
  <c r="AC69" i="15"/>
  <c r="C69" i="15" s="1"/>
  <c r="AB69" i="15"/>
  <c r="B69" i="15" s="1"/>
  <c r="AB190" i="15"/>
  <c r="B190" i="15" s="1"/>
  <c r="AC190" i="15"/>
  <c r="C190" i="15" s="1"/>
  <c r="AB188" i="15"/>
  <c r="B188" i="15" s="1"/>
  <c r="AC188" i="15"/>
  <c r="C188" i="15" s="1"/>
  <c r="AB186" i="15"/>
  <c r="B186" i="15" s="1"/>
  <c r="AC186" i="15"/>
  <c r="C186" i="15" s="1"/>
  <c r="AB184" i="15"/>
  <c r="B184" i="15" s="1"/>
  <c r="AC184" i="15"/>
  <c r="C184" i="15" s="1"/>
  <c r="AB182" i="15"/>
  <c r="B182" i="15" s="1"/>
  <c r="AC182" i="15"/>
  <c r="C182" i="15" s="1"/>
  <c r="AB180" i="15"/>
  <c r="B180" i="15" s="1"/>
  <c r="AC180" i="15"/>
  <c r="C180" i="15" s="1"/>
  <c r="AB178" i="15"/>
  <c r="B178" i="15" s="1"/>
  <c r="AC178" i="15"/>
  <c r="C178" i="15" s="1"/>
  <c r="AB176" i="15"/>
  <c r="B176" i="15" s="1"/>
  <c r="AC176" i="15"/>
  <c r="C176" i="15" s="1"/>
  <c r="AC174" i="15"/>
  <c r="C174" i="15" s="1"/>
  <c r="AB174" i="15"/>
  <c r="B174" i="15" s="1"/>
  <c r="AC172" i="15"/>
  <c r="C172" i="15" s="1"/>
  <c r="AB172" i="15"/>
  <c r="B172" i="15" s="1"/>
  <c r="AC170" i="15"/>
  <c r="C170" i="15" s="1"/>
  <c r="AB170" i="15"/>
  <c r="B170" i="15" s="1"/>
  <c r="AC6" i="15"/>
  <c r="C6" i="15" s="1"/>
  <c r="AB6" i="15"/>
  <c r="B6" i="15" s="1"/>
  <c r="Z8" i="15"/>
  <c r="Y8" i="15"/>
  <c r="AA8" i="15" s="1"/>
  <c r="AI8" i="15"/>
  <c r="F66" i="15" l="1"/>
  <c r="G210" i="15"/>
  <c r="N150" i="15"/>
  <c r="L150" i="15" s="1"/>
  <c r="O150" i="15" s="1"/>
  <c r="M158" i="15"/>
  <c r="P158" i="15" s="1"/>
  <c r="M111" i="15"/>
  <c r="P111" i="15" s="1"/>
  <c r="G120" i="15"/>
  <c r="F165" i="15"/>
  <c r="H165" i="15" s="1"/>
  <c r="K165" i="15" s="1"/>
  <c r="N66" i="15"/>
  <c r="L66" i="15" s="1"/>
  <c r="O66" i="15" s="1"/>
  <c r="F202" i="15"/>
  <c r="M86" i="15"/>
  <c r="P86" i="15" s="1"/>
  <c r="M106" i="15"/>
  <c r="P106" i="15" s="1"/>
  <c r="N152" i="15"/>
  <c r="L152" i="15" s="1"/>
  <c r="E152" i="15" s="1"/>
  <c r="M165" i="15"/>
  <c r="P165" i="15" s="1"/>
  <c r="G152" i="15"/>
  <c r="G158" i="15"/>
  <c r="F111" i="15"/>
  <c r="H111" i="15" s="1"/>
  <c r="M210" i="15"/>
  <c r="P210" i="15" s="1"/>
  <c r="F86" i="15"/>
  <c r="N106" i="15"/>
  <c r="L106" i="15" s="1"/>
  <c r="E106" i="15" s="1"/>
  <c r="G118" i="15"/>
  <c r="J118" i="15" s="1"/>
  <c r="M152" i="15"/>
  <c r="P152" i="15" s="1"/>
  <c r="F158" i="15"/>
  <c r="F164" i="15"/>
  <c r="H164" i="15" s="1"/>
  <c r="K164" i="15" s="1"/>
  <c r="M79" i="15"/>
  <c r="P79" i="15" s="1"/>
  <c r="M124" i="15"/>
  <c r="P124" i="15" s="1"/>
  <c r="M144" i="15"/>
  <c r="P144" i="15" s="1"/>
  <c r="F120" i="15"/>
  <c r="S120" i="15" s="1"/>
  <c r="N165" i="15"/>
  <c r="L165" i="15" s="1"/>
  <c r="E165" i="15" s="1"/>
  <c r="G111" i="15"/>
  <c r="J111" i="15" s="1"/>
  <c r="N210" i="15"/>
  <c r="L210" i="15" s="1"/>
  <c r="F106" i="15"/>
  <c r="S106" i="15" s="1"/>
  <c r="N120" i="15"/>
  <c r="L120" i="15" s="1"/>
  <c r="O120" i="15" s="1"/>
  <c r="F125" i="15"/>
  <c r="G203" i="15"/>
  <c r="G125" i="15"/>
  <c r="J125" i="15" s="1"/>
  <c r="M202" i="15"/>
  <c r="P202" i="15" s="1"/>
  <c r="G124" i="15"/>
  <c r="M112" i="15"/>
  <c r="P112" i="15" s="1"/>
  <c r="N85" i="15"/>
  <c r="L85" i="15" s="1"/>
  <c r="O85" i="15" s="1"/>
  <c r="G202" i="15"/>
  <c r="J202" i="15" s="1"/>
  <c r="G90" i="15"/>
  <c r="N160" i="15"/>
  <c r="L160" i="15" s="1"/>
  <c r="G164" i="15"/>
  <c r="J164" i="15" s="1"/>
  <c r="G168" i="15"/>
  <c r="N124" i="15"/>
  <c r="L124" i="15" s="1"/>
  <c r="N132" i="15"/>
  <c r="L132" i="15" s="1"/>
  <c r="G112" i="15"/>
  <c r="J112" i="15" s="1"/>
  <c r="N164" i="15"/>
  <c r="L164" i="15" s="1"/>
  <c r="E164" i="15" s="1"/>
  <c r="G193" i="15"/>
  <c r="N67" i="15"/>
  <c r="L67" i="15" s="1"/>
  <c r="O67" i="15" s="1"/>
  <c r="M74" i="15"/>
  <c r="P74" i="15" s="1"/>
  <c r="F114" i="15"/>
  <c r="S114" i="15" s="1"/>
  <c r="G160" i="15"/>
  <c r="F87" i="15"/>
  <c r="H87" i="15" s="1"/>
  <c r="F67" i="15"/>
  <c r="H67" i="15" s="1"/>
  <c r="K67" i="15" s="1"/>
  <c r="G74" i="15"/>
  <c r="J74" i="15" s="1"/>
  <c r="F160" i="15"/>
  <c r="G201" i="15"/>
  <c r="G103" i="15"/>
  <c r="J103" i="15" s="1"/>
  <c r="N94" i="15"/>
  <c r="L94" i="15" s="1"/>
  <c r="O94" i="15" s="1"/>
  <c r="M214" i="15"/>
  <c r="P214" i="15" s="1"/>
  <c r="N101" i="15"/>
  <c r="L101" i="15" s="1"/>
  <c r="O101" i="15" s="1"/>
  <c r="M67" i="15"/>
  <c r="P67" i="15" s="1"/>
  <c r="M131" i="15"/>
  <c r="P131" i="15" s="1"/>
  <c r="M204" i="15"/>
  <c r="P204" i="15" s="1"/>
  <c r="F74" i="15"/>
  <c r="H74" i="15" s="1"/>
  <c r="G102" i="15"/>
  <c r="J102" i="15" s="1"/>
  <c r="F211" i="15"/>
  <c r="H211" i="15" s="1"/>
  <c r="K211" i="15" s="1"/>
  <c r="N107" i="15"/>
  <c r="L107" i="15" s="1"/>
  <c r="O107" i="15" s="1"/>
  <c r="F82" i="15"/>
  <c r="H82" i="15" s="1"/>
  <c r="M102" i="15"/>
  <c r="P102" i="15" s="1"/>
  <c r="N92" i="15"/>
  <c r="L92" i="15" s="1"/>
  <c r="O92" i="15" s="1"/>
  <c r="N96" i="15"/>
  <c r="L96" i="15" s="1"/>
  <c r="O96" i="15" s="1"/>
  <c r="N125" i="15"/>
  <c r="L125" i="15" s="1"/>
  <c r="M216" i="15"/>
  <c r="P216" i="15" s="1"/>
  <c r="G149" i="15"/>
  <c r="J149" i="15" s="1"/>
  <c r="G137" i="15"/>
  <c r="G155" i="15"/>
  <c r="G194" i="15"/>
  <c r="J194" i="15" s="1"/>
  <c r="N78" i="15"/>
  <c r="L78" i="15" s="1"/>
  <c r="O78" i="15" s="1"/>
  <c r="M155" i="15"/>
  <c r="P155" i="15" s="1"/>
  <c r="N83" i="15"/>
  <c r="L83" i="15" s="1"/>
  <c r="O83" i="15" s="1"/>
  <c r="N153" i="15"/>
  <c r="L153" i="15" s="1"/>
  <c r="O153" i="15" s="1"/>
  <c r="G110" i="15"/>
  <c r="J110" i="15" s="1"/>
  <c r="F149" i="15"/>
  <c r="H149" i="15" s="1"/>
  <c r="K149" i="15" s="1"/>
  <c r="M218" i="15"/>
  <c r="P218" i="15" s="1"/>
  <c r="G99" i="15"/>
  <c r="J99" i="15" s="1"/>
  <c r="F193" i="15"/>
  <c r="S193" i="15" s="1"/>
  <c r="G204" i="15"/>
  <c r="J204" i="15" s="1"/>
  <c r="N109" i="15"/>
  <c r="L109" i="15" s="1"/>
  <c r="E109" i="15" s="1"/>
  <c r="F78" i="15"/>
  <c r="S78" i="15" s="1"/>
  <c r="F110" i="15"/>
  <c r="S110" i="15" s="1"/>
  <c r="N149" i="15"/>
  <c r="L149" i="15" s="1"/>
  <c r="E149" i="15" s="1"/>
  <c r="N155" i="15"/>
  <c r="L155" i="15" s="1"/>
  <c r="O155" i="15" s="1"/>
  <c r="F157" i="15"/>
  <c r="S157" i="15" s="1"/>
  <c r="N193" i="15"/>
  <c r="L193" i="15" s="1"/>
  <c r="E193" i="15" s="1"/>
  <c r="G81" i="15"/>
  <c r="J81" i="15" s="1"/>
  <c r="N194" i="15"/>
  <c r="L194" i="15" s="1"/>
  <c r="O194" i="15" s="1"/>
  <c r="M82" i="15"/>
  <c r="P82" i="15" s="1"/>
  <c r="F218" i="15"/>
  <c r="S218" i="15" s="1"/>
  <c r="F117" i="15"/>
  <c r="H117" i="15" s="1"/>
  <c r="K117" i="15" s="1"/>
  <c r="M123" i="15"/>
  <c r="P123" i="15" s="1"/>
  <c r="N137" i="15"/>
  <c r="L137" i="15" s="1"/>
  <c r="O137" i="15" s="1"/>
  <c r="G161" i="15"/>
  <c r="J161" i="15" s="1"/>
  <c r="N216" i="15"/>
  <c r="L216" i="15" s="1"/>
  <c r="O216" i="15" s="1"/>
  <c r="F118" i="15"/>
  <c r="G72" i="15"/>
  <c r="J72" i="15" s="1"/>
  <c r="M122" i="15"/>
  <c r="P122" i="15" s="1"/>
  <c r="N144" i="15"/>
  <c r="L144" i="15" s="1"/>
  <c r="O144" i="15" s="1"/>
  <c r="M203" i="15"/>
  <c r="P203" i="15" s="1"/>
  <c r="N104" i="15"/>
  <c r="L104" i="15" s="1"/>
  <c r="O104" i="15" s="1"/>
  <c r="M97" i="15"/>
  <c r="P97" i="15" s="1"/>
  <c r="F123" i="15"/>
  <c r="S123" i="15" s="1"/>
  <c r="F137" i="15"/>
  <c r="M194" i="15"/>
  <c r="P194" i="15" s="1"/>
  <c r="F80" i="15"/>
  <c r="H80" i="15" s="1"/>
  <c r="F109" i="15"/>
  <c r="H109" i="15" s="1"/>
  <c r="K109" i="15" s="1"/>
  <c r="M161" i="15"/>
  <c r="P161" i="15" s="1"/>
  <c r="F216" i="15"/>
  <c r="H216" i="15" s="1"/>
  <c r="M78" i="15"/>
  <c r="P78" i="15" s="1"/>
  <c r="G144" i="15"/>
  <c r="J144" i="15" s="1"/>
  <c r="F203" i="15"/>
  <c r="H203" i="15" s="1"/>
  <c r="K203" i="15" s="1"/>
  <c r="N76" i="15"/>
  <c r="L76" i="15" s="1"/>
  <c r="F198" i="15"/>
  <c r="S198" i="15" s="1"/>
  <c r="M81" i="15"/>
  <c r="P81" i="15" s="1"/>
  <c r="N97" i="15"/>
  <c r="L97" i="15" s="1"/>
  <c r="O97" i="15" s="1"/>
  <c r="F145" i="15"/>
  <c r="H145" i="15" s="1"/>
  <c r="K145" i="15" s="1"/>
  <c r="F88" i="15"/>
  <c r="S88" i="15" s="1"/>
  <c r="F161" i="15"/>
  <c r="H161" i="15" s="1"/>
  <c r="K161" i="15" s="1"/>
  <c r="N82" i="15"/>
  <c r="L82" i="15" s="1"/>
  <c r="G98" i="15"/>
  <c r="J98" i="15" s="1"/>
  <c r="M118" i="15"/>
  <c r="P118" i="15" s="1"/>
  <c r="M207" i="15"/>
  <c r="P207" i="15" s="1"/>
  <c r="G147" i="15"/>
  <c r="M95" i="15"/>
  <c r="P95" i="15" s="1"/>
  <c r="F142" i="15"/>
  <c r="S142" i="15" s="1"/>
  <c r="N197" i="15"/>
  <c r="L197" i="15" s="1"/>
  <c r="O197" i="15" s="1"/>
  <c r="G84" i="15"/>
  <c r="N159" i="15"/>
  <c r="L159" i="15" s="1"/>
  <c r="O159" i="15" s="1"/>
  <c r="G85" i="15"/>
  <c r="J85" i="15" s="1"/>
  <c r="G101" i="15"/>
  <c r="J101" i="15" s="1"/>
  <c r="G107" i="15"/>
  <c r="J107" i="15" s="1"/>
  <c r="F131" i="15"/>
  <c r="H131" i="15" s="1"/>
  <c r="N145" i="15"/>
  <c r="L145" i="15" s="1"/>
  <c r="E145" i="15" s="1"/>
  <c r="N88" i="15"/>
  <c r="L88" i="15" s="1"/>
  <c r="O88" i="15" s="1"/>
  <c r="M94" i="15"/>
  <c r="P94" i="15" s="1"/>
  <c r="M98" i="15"/>
  <c r="P98" i="15" s="1"/>
  <c r="M114" i="15"/>
  <c r="P114" i="15" s="1"/>
  <c r="F201" i="15"/>
  <c r="H201" i="15" s="1"/>
  <c r="K201" i="15" s="1"/>
  <c r="M147" i="15"/>
  <c r="P147" i="15" s="1"/>
  <c r="G87" i="15"/>
  <c r="J87" i="15" s="1"/>
  <c r="N103" i="15"/>
  <c r="L103" i="15" s="1"/>
  <c r="O103" i="15" s="1"/>
  <c r="G211" i="15"/>
  <c r="J211" i="15" s="1"/>
  <c r="G92" i="15"/>
  <c r="J92" i="15" s="1"/>
  <c r="F214" i="15"/>
  <c r="S214" i="15" s="1"/>
  <c r="M113" i="15"/>
  <c r="P113" i="15" s="1"/>
  <c r="F85" i="15"/>
  <c r="H85" i="15" s="1"/>
  <c r="K85" i="15" s="1"/>
  <c r="G89" i="15"/>
  <c r="J89" i="15" s="1"/>
  <c r="F101" i="15"/>
  <c r="H101" i="15" s="1"/>
  <c r="K101" i="15" s="1"/>
  <c r="M107" i="15"/>
  <c r="P107" i="15" s="1"/>
  <c r="G113" i="15"/>
  <c r="J113" i="15" s="1"/>
  <c r="G145" i="15"/>
  <c r="J145" i="15" s="1"/>
  <c r="G88" i="15"/>
  <c r="J88" i="15" s="1"/>
  <c r="M153" i="15"/>
  <c r="P153" i="15" s="1"/>
  <c r="F94" i="15"/>
  <c r="H94" i="15" s="1"/>
  <c r="F98" i="15"/>
  <c r="S98" i="15" s="1"/>
  <c r="G114" i="15"/>
  <c r="J114" i="15" s="1"/>
  <c r="M201" i="15"/>
  <c r="P201" i="15" s="1"/>
  <c r="F147" i="15"/>
  <c r="S147" i="15" s="1"/>
  <c r="N157" i="15"/>
  <c r="L157" i="15" s="1"/>
  <c r="O157" i="15" s="1"/>
  <c r="N169" i="15"/>
  <c r="L169" i="15" s="1"/>
  <c r="E169" i="15" s="1"/>
  <c r="G218" i="15"/>
  <c r="J218" i="15" s="1"/>
  <c r="N87" i="15"/>
  <c r="L87" i="15" s="1"/>
  <c r="E87" i="15" s="1"/>
  <c r="M103" i="15"/>
  <c r="P103" i="15" s="1"/>
  <c r="N211" i="15"/>
  <c r="L211" i="15" s="1"/>
  <c r="E211" i="15" s="1"/>
  <c r="M92" i="15"/>
  <c r="P92" i="15" s="1"/>
  <c r="N214" i="15"/>
  <c r="L214" i="15" s="1"/>
  <c r="E214" i="15" s="1"/>
  <c r="M93" i="15"/>
  <c r="P93" i="15" s="1"/>
  <c r="M115" i="15"/>
  <c r="P115" i="15" s="1"/>
  <c r="N123" i="15"/>
  <c r="L123" i="15" s="1"/>
  <c r="O123" i="15" s="1"/>
  <c r="N131" i="15"/>
  <c r="L131" i="15" s="1"/>
  <c r="O131" i="15" s="1"/>
  <c r="N167" i="15"/>
  <c r="L167" i="15" s="1"/>
  <c r="E167" i="15" s="1"/>
  <c r="M72" i="15"/>
  <c r="P72" i="15" s="1"/>
  <c r="F169" i="15"/>
  <c r="H169" i="15" s="1"/>
  <c r="K169" i="15" s="1"/>
  <c r="G95" i="15"/>
  <c r="J95" i="15" s="1"/>
  <c r="F104" i="15"/>
  <c r="H104" i="15" s="1"/>
  <c r="K104" i="15" s="1"/>
  <c r="M198" i="15"/>
  <c r="P198" i="15" s="1"/>
  <c r="F81" i="15"/>
  <c r="S81" i="15" s="1"/>
  <c r="F97" i="15"/>
  <c r="S97" i="15" s="1"/>
  <c r="N115" i="15"/>
  <c r="L115" i="15" s="1"/>
  <c r="N204" i="15"/>
  <c r="L204" i="15" s="1"/>
  <c r="O204" i="15" s="1"/>
  <c r="N80" i="15"/>
  <c r="L80" i="15" s="1"/>
  <c r="O80" i="15" s="1"/>
  <c r="F100" i="15"/>
  <c r="S100" i="15" s="1"/>
  <c r="G153" i="15"/>
  <c r="J153" i="15" s="1"/>
  <c r="M110" i="15"/>
  <c r="P110" i="15" s="1"/>
  <c r="F207" i="15"/>
  <c r="H207" i="15" s="1"/>
  <c r="K207" i="15" s="1"/>
  <c r="G169" i="15"/>
  <c r="J169" i="15" s="1"/>
  <c r="F75" i="15"/>
  <c r="S75" i="15" s="1"/>
  <c r="G83" i="15"/>
  <c r="J83" i="15" s="1"/>
  <c r="M99" i="15"/>
  <c r="P99" i="15" s="1"/>
  <c r="G109" i="15"/>
  <c r="J109" i="15" s="1"/>
  <c r="F119" i="15"/>
  <c r="H119" i="15" s="1"/>
  <c r="N142" i="15"/>
  <c r="L142" i="15" s="1"/>
  <c r="O142" i="15" s="1"/>
  <c r="G197" i="15"/>
  <c r="J197" i="15" s="1"/>
  <c r="M84" i="15"/>
  <c r="P84" i="15" s="1"/>
  <c r="F159" i="15"/>
  <c r="S159" i="15" s="1"/>
  <c r="N207" i="15"/>
  <c r="L207" i="15" s="1"/>
  <c r="O207" i="15" s="1"/>
  <c r="F83" i="15"/>
  <c r="H83" i="15" s="1"/>
  <c r="K83" i="15" s="1"/>
  <c r="N99" i="15"/>
  <c r="L99" i="15" s="1"/>
  <c r="M142" i="15"/>
  <c r="P142" i="15" s="1"/>
  <c r="F197" i="15"/>
  <c r="H197" i="15" s="1"/>
  <c r="K197" i="15" s="1"/>
  <c r="F84" i="15"/>
  <c r="S84" i="15" s="1"/>
  <c r="G159" i="15"/>
  <c r="J159" i="15" s="1"/>
  <c r="M80" i="15"/>
  <c r="P80" i="15" s="1"/>
  <c r="F151" i="15"/>
  <c r="H151" i="15" s="1"/>
  <c r="K151" i="15" s="1"/>
  <c r="N139" i="15"/>
  <c r="L139" i="15" s="1"/>
  <c r="O139" i="15" s="1"/>
  <c r="M73" i="15"/>
  <c r="P73" i="15" s="1"/>
  <c r="F96" i="15"/>
  <c r="S96" i="15" s="1"/>
  <c r="N100" i="15"/>
  <c r="L100" i="15" s="1"/>
  <c r="E100" i="15" s="1"/>
  <c r="G139" i="15"/>
  <c r="J139" i="15" s="1"/>
  <c r="M77" i="15"/>
  <c r="P77" i="15" s="1"/>
  <c r="G93" i="15"/>
  <c r="J93" i="15" s="1"/>
  <c r="G96" i="15"/>
  <c r="J96" i="15" s="1"/>
  <c r="G100" i="15"/>
  <c r="J100" i="15" s="1"/>
  <c r="N72" i="15"/>
  <c r="L72" i="15" s="1"/>
  <c r="O72" i="15" s="1"/>
  <c r="F163" i="15"/>
  <c r="S163" i="15" s="1"/>
  <c r="F79" i="15"/>
  <c r="H79" i="15" s="1"/>
  <c r="M68" i="15"/>
  <c r="P68" i="15" s="1"/>
  <c r="F122" i="15"/>
  <c r="H122" i="15" s="1"/>
  <c r="K122" i="15" s="1"/>
  <c r="F76" i="15"/>
  <c r="H76" i="15" s="1"/>
  <c r="G104" i="15"/>
  <c r="J104" i="15" s="1"/>
  <c r="F139" i="15"/>
  <c r="S139" i="15" s="1"/>
  <c r="G198" i="15"/>
  <c r="J198" i="15" s="1"/>
  <c r="F77" i="15"/>
  <c r="S77" i="15" s="1"/>
  <c r="N105" i="15"/>
  <c r="L105" i="15" s="1"/>
  <c r="O105" i="15" s="1"/>
  <c r="F167" i="15"/>
  <c r="H167" i="15" s="1"/>
  <c r="K167" i="15" s="1"/>
  <c r="M163" i="15"/>
  <c r="P163" i="15" s="1"/>
  <c r="G91" i="15"/>
  <c r="J91" i="15" s="1"/>
  <c r="G68" i="15"/>
  <c r="J68" i="15" s="1"/>
  <c r="M76" i="15"/>
  <c r="P76" i="15" s="1"/>
  <c r="M89" i="15"/>
  <c r="P89" i="15" s="1"/>
  <c r="M105" i="15"/>
  <c r="P105" i="15" s="1"/>
  <c r="F108" i="15"/>
  <c r="S108" i="15" s="1"/>
  <c r="M91" i="15"/>
  <c r="P91" i="15" s="1"/>
  <c r="G117" i="15"/>
  <c r="J117" i="15" s="1"/>
  <c r="N151" i="15"/>
  <c r="L151" i="15" s="1"/>
  <c r="O151" i="15" s="1"/>
  <c r="G187" i="15"/>
  <c r="J187" i="15" s="1"/>
  <c r="G191" i="15"/>
  <c r="J191" i="15" s="1"/>
  <c r="N73" i="15"/>
  <c r="L73" i="15" s="1"/>
  <c r="E73" i="15" s="1"/>
  <c r="R73" i="15" s="1"/>
  <c r="N77" i="15"/>
  <c r="L77" i="15" s="1"/>
  <c r="O77" i="15" s="1"/>
  <c r="F89" i="15"/>
  <c r="H89" i="15" s="1"/>
  <c r="F93" i="15"/>
  <c r="S93" i="15" s="1"/>
  <c r="F105" i="15"/>
  <c r="S105" i="15" s="1"/>
  <c r="N108" i="15"/>
  <c r="L108" i="15" s="1"/>
  <c r="O108" i="15" s="1"/>
  <c r="G167" i="15"/>
  <c r="J167" i="15" s="1"/>
  <c r="N163" i="15"/>
  <c r="L163" i="15" s="1"/>
  <c r="N75" i="15"/>
  <c r="L75" i="15" s="1"/>
  <c r="N79" i="15"/>
  <c r="L79" i="15" s="1"/>
  <c r="F91" i="15"/>
  <c r="H91" i="15" s="1"/>
  <c r="K91" i="15" s="1"/>
  <c r="F95" i="15"/>
  <c r="S95" i="15" s="1"/>
  <c r="F68" i="15"/>
  <c r="H68" i="15" s="1"/>
  <c r="K68" i="15" s="1"/>
  <c r="N119" i="15"/>
  <c r="L119" i="15" s="1"/>
  <c r="O119" i="15" s="1"/>
  <c r="G122" i="15"/>
  <c r="J122" i="15" s="1"/>
  <c r="N117" i="15"/>
  <c r="L117" i="15" s="1"/>
  <c r="E117" i="15" s="1"/>
  <c r="G151" i="15"/>
  <c r="F73" i="15"/>
  <c r="S73" i="15" s="1"/>
  <c r="M75" i="15"/>
  <c r="P75" i="15" s="1"/>
  <c r="M108" i="15"/>
  <c r="P108" i="15" s="1"/>
  <c r="M119" i="15"/>
  <c r="P119" i="15" s="1"/>
  <c r="N71" i="15"/>
  <c r="L71" i="15" s="1"/>
  <c r="O71" i="15" s="1"/>
  <c r="M116" i="15"/>
  <c r="P116" i="15" s="1"/>
  <c r="O13" i="21"/>
  <c r="S13" i="21"/>
  <c r="AC15" i="21"/>
  <c r="C15" i="21" s="1"/>
  <c r="F15" i="21" s="1"/>
  <c r="J108" i="15"/>
  <c r="S116" i="15"/>
  <c r="H116" i="15"/>
  <c r="K116" i="15" s="1"/>
  <c r="M171" i="15"/>
  <c r="P171" i="15" s="1"/>
  <c r="F171" i="15"/>
  <c r="G171" i="15"/>
  <c r="N171" i="15"/>
  <c r="L171" i="15" s="1"/>
  <c r="E121" i="15"/>
  <c r="O121" i="15"/>
  <c r="S125" i="15"/>
  <c r="H125" i="15"/>
  <c r="H137" i="15"/>
  <c r="K137" i="15" s="1"/>
  <c r="S137" i="15"/>
  <c r="O206" i="15"/>
  <c r="E206" i="15"/>
  <c r="H192" i="15"/>
  <c r="K192" i="15" s="1"/>
  <c r="S192" i="15"/>
  <c r="J208" i="15"/>
  <c r="E96" i="15"/>
  <c r="O167" i="15"/>
  <c r="S82" i="15"/>
  <c r="O118" i="15"/>
  <c r="J148" i="15"/>
  <c r="J152" i="15"/>
  <c r="J158" i="15"/>
  <c r="J168" i="15"/>
  <c r="H195" i="15"/>
  <c r="K195" i="15" s="1"/>
  <c r="S195" i="15"/>
  <c r="J217" i="15"/>
  <c r="J126" i="15"/>
  <c r="J132" i="15"/>
  <c r="S138" i="15"/>
  <c r="H138" i="15"/>
  <c r="K138" i="15" s="1"/>
  <c r="S144" i="15"/>
  <c r="H144" i="15"/>
  <c r="K144" i="15" s="1"/>
  <c r="H215" i="15"/>
  <c r="K215" i="15" s="1"/>
  <c r="S215" i="15"/>
  <c r="S92" i="15"/>
  <c r="H92" i="15"/>
  <c r="K92" i="15" s="1"/>
  <c r="S165" i="15"/>
  <c r="J214" i="15"/>
  <c r="O200" i="15"/>
  <c r="E200" i="15"/>
  <c r="G178" i="15"/>
  <c r="M178" i="15"/>
  <c r="P178" i="15" s="1"/>
  <c r="F178" i="15"/>
  <c r="N178" i="15"/>
  <c r="L178" i="15" s="1"/>
  <c r="G182" i="15"/>
  <c r="M182" i="15"/>
  <c r="P182" i="15" s="1"/>
  <c r="N182" i="15"/>
  <c r="L182" i="15" s="1"/>
  <c r="F182" i="15"/>
  <c r="G186" i="15"/>
  <c r="M186" i="15"/>
  <c r="P186" i="15" s="1"/>
  <c r="N186" i="15"/>
  <c r="L186" i="15" s="1"/>
  <c r="F186" i="15"/>
  <c r="F190" i="15"/>
  <c r="N190" i="15"/>
  <c r="L190" i="15" s="1"/>
  <c r="G190" i="15"/>
  <c r="M190" i="15"/>
  <c r="P190" i="15" s="1"/>
  <c r="M177" i="15"/>
  <c r="P177" i="15" s="1"/>
  <c r="F177" i="15"/>
  <c r="G177" i="15"/>
  <c r="N177" i="15"/>
  <c r="L177" i="15" s="1"/>
  <c r="M181" i="15"/>
  <c r="P181" i="15" s="1"/>
  <c r="F181" i="15"/>
  <c r="G181" i="15"/>
  <c r="N181" i="15"/>
  <c r="L181" i="15" s="1"/>
  <c r="F185" i="15"/>
  <c r="M185" i="15"/>
  <c r="P185" i="15" s="1"/>
  <c r="N185" i="15"/>
  <c r="L185" i="15" s="1"/>
  <c r="G185" i="15"/>
  <c r="F189" i="15"/>
  <c r="M189" i="15"/>
  <c r="P189" i="15" s="1"/>
  <c r="N189" i="15"/>
  <c r="L189" i="15" s="1"/>
  <c r="O81" i="15"/>
  <c r="H66" i="15"/>
  <c r="K66" i="15" s="1"/>
  <c r="S66" i="15"/>
  <c r="H107" i="15"/>
  <c r="K107" i="15" s="1"/>
  <c r="S107" i="15"/>
  <c r="O127" i="15"/>
  <c r="E127" i="15"/>
  <c r="S135" i="15"/>
  <c r="H135" i="15"/>
  <c r="K135" i="15" s="1"/>
  <c r="J137" i="15"/>
  <c r="O141" i="15"/>
  <c r="E141" i="15"/>
  <c r="E143" i="15"/>
  <c r="O143" i="15"/>
  <c r="S202" i="15"/>
  <c r="H202" i="15"/>
  <c r="K202" i="15" s="1"/>
  <c r="O196" i="15"/>
  <c r="E196" i="15"/>
  <c r="O212" i="15"/>
  <c r="E212" i="15"/>
  <c r="G116" i="15"/>
  <c r="H153" i="15"/>
  <c r="S153" i="15"/>
  <c r="H86" i="15"/>
  <c r="K86" i="15" s="1"/>
  <c r="S86" i="15"/>
  <c r="H90" i="15"/>
  <c r="K90" i="15" s="1"/>
  <c r="S90" i="15"/>
  <c r="H102" i="15"/>
  <c r="K102" i="15" s="1"/>
  <c r="S102" i="15"/>
  <c r="H106" i="15"/>
  <c r="K106" i="15" s="1"/>
  <c r="S118" i="15"/>
  <c r="H118" i="15"/>
  <c r="K118" i="15" s="1"/>
  <c r="H150" i="15"/>
  <c r="K150" i="15" s="1"/>
  <c r="S150" i="15"/>
  <c r="S154" i="15"/>
  <c r="H154" i="15"/>
  <c r="K154" i="15" s="1"/>
  <c r="H158" i="15"/>
  <c r="K158" i="15" s="1"/>
  <c r="S158" i="15"/>
  <c r="S160" i="15"/>
  <c r="H160" i="15"/>
  <c r="K160" i="15" s="1"/>
  <c r="O162" i="15"/>
  <c r="E162" i="15"/>
  <c r="H166" i="15"/>
  <c r="K166" i="15" s="1"/>
  <c r="S166" i="15"/>
  <c r="E205" i="15"/>
  <c r="O205" i="15"/>
  <c r="J195" i="15"/>
  <c r="O199" i="15"/>
  <c r="E199" i="15"/>
  <c r="O201" i="15"/>
  <c r="E213" i="15"/>
  <c r="O213" i="15"/>
  <c r="S217" i="15"/>
  <c r="H217" i="15"/>
  <c r="K217" i="15" s="1"/>
  <c r="J147" i="15"/>
  <c r="H155" i="15"/>
  <c r="K155" i="15" s="1"/>
  <c r="S155" i="15"/>
  <c r="J163" i="15"/>
  <c r="J75" i="15"/>
  <c r="J79" i="15"/>
  <c r="O91" i="15"/>
  <c r="O95" i="15"/>
  <c r="H99" i="15"/>
  <c r="K99" i="15" s="1"/>
  <c r="S99" i="15"/>
  <c r="H103" i="15"/>
  <c r="S103" i="15"/>
  <c r="O68" i="15"/>
  <c r="O122" i="15"/>
  <c r="O124" i="15"/>
  <c r="E124" i="15"/>
  <c r="O126" i="15"/>
  <c r="E126" i="15"/>
  <c r="O128" i="15"/>
  <c r="E128" i="15"/>
  <c r="O130" i="15"/>
  <c r="E130" i="15"/>
  <c r="O132" i="15"/>
  <c r="E132" i="15"/>
  <c r="S136" i="15"/>
  <c r="H136" i="15"/>
  <c r="K136" i="15" s="1"/>
  <c r="O138" i="15"/>
  <c r="E138" i="15"/>
  <c r="H140" i="15"/>
  <c r="K140" i="15" s="1"/>
  <c r="S140" i="15"/>
  <c r="O146" i="15"/>
  <c r="E146" i="15"/>
  <c r="J120" i="15"/>
  <c r="J203" i="15"/>
  <c r="O215" i="15"/>
  <c r="E215" i="15"/>
  <c r="O84" i="15"/>
  <c r="O113" i="15"/>
  <c r="G71" i="15"/>
  <c r="H198" i="15"/>
  <c r="K198" i="15" s="1"/>
  <c r="M69" i="15"/>
  <c r="P69" i="15" s="1"/>
  <c r="G69" i="15"/>
  <c r="F69" i="15"/>
  <c r="N69" i="15"/>
  <c r="L69" i="15" s="1"/>
  <c r="M175" i="15"/>
  <c r="P175" i="15" s="1"/>
  <c r="G175" i="15"/>
  <c r="F175" i="15"/>
  <c r="N175" i="15"/>
  <c r="L175" i="15" s="1"/>
  <c r="J67" i="15"/>
  <c r="E129" i="15"/>
  <c r="O129" i="15"/>
  <c r="S133" i="15"/>
  <c r="H133" i="15"/>
  <c r="H141" i="15"/>
  <c r="K141" i="15" s="1"/>
  <c r="S141" i="15"/>
  <c r="O202" i="15"/>
  <c r="J196" i="15"/>
  <c r="O210" i="15"/>
  <c r="E210" i="15"/>
  <c r="J212" i="15"/>
  <c r="H100" i="15"/>
  <c r="K100" i="15" s="1"/>
  <c r="O109" i="15"/>
  <c r="O110" i="15"/>
  <c r="O114" i="15"/>
  <c r="J150" i="15"/>
  <c r="J154" i="15"/>
  <c r="J156" i="15"/>
  <c r="J160" i="15"/>
  <c r="J162" i="15"/>
  <c r="J166" i="15"/>
  <c r="H199" i="15"/>
  <c r="K199" i="15" s="1"/>
  <c r="S199" i="15"/>
  <c r="O147" i="15"/>
  <c r="J155" i="15"/>
  <c r="J157" i="15"/>
  <c r="O111" i="15"/>
  <c r="E111" i="15"/>
  <c r="J124" i="15"/>
  <c r="J128" i="15"/>
  <c r="J130" i="15"/>
  <c r="H146" i="15"/>
  <c r="K146" i="15" s="1"/>
  <c r="S146" i="15"/>
  <c r="O203" i="15"/>
  <c r="E203" i="15"/>
  <c r="M209" i="15"/>
  <c r="P209" i="15" s="1"/>
  <c r="G209" i="15"/>
  <c r="N209" i="15"/>
  <c r="L209" i="15" s="1"/>
  <c r="F209" i="15"/>
  <c r="G170" i="15"/>
  <c r="M170" i="15"/>
  <c r="P170" i="15" s="1"/>
  <c r="N170" i="15"/>
  <c r="L170" i="15" s="1"/>
  <c r="F170" i="15"/>
  <c r="G174" i="15"/>
  <c r="M174" i="15"/>
  <c r="P174" i="15" s="1"/>
  <c r="N174" i="15"/>
  <c r="L174" i="15" s="1"/>
  <c r="F174" i="15"/>
  <c r="N70" i="15"/>
  <c r="L70" i="15" s="1"/>
  <c r="G70" i="15"/>
  <c r="F70" i="15"/>
  <c r="M70" i="15"/>
  <c r="P70" i="15" s="1"/>
  <c r="F173" i="15"/>
  <c r="M173" i="15"/>
  <c r="P173" i="15" s="1"/>
  <c r="G173" i="15"/>
  <c r="N173" i="15"/>
  <c r="L173" i="15" s="1"/>
  <c r="G189" i="15"/>
  <c r="J73" i="15"/>
  <c r="J77" i="15"/>
  <c r="O89" i="15"/>
  <c r="O93" i="15"/>
  <c r="E101" i="15"/>
  <c r="J105" i="15"/>
  <c r="J66" i="15"/>
  <c r="S121" i="15"/>
  <c r="H121" i="15"/>
  <c r="E125" i="15"/>
  <c r="O125" i="15"/>
  <c r="S129" i="15"/>
  <c r="H129" i="15"/>
  <c r="E133" i="15"/>
  <c r="O133" i="15"/>
  <c r="E135" i="15"/>
  <c r="O135" i="15"/>
  <c r="J141" i="15"/>
  <c r="S143" i="15"/>
  <c r="H143" i="15"/>
  <c r="K143" i="15" s="1"/>
  <c r="H206" i="15"/>
  <c r="K206" i="15" s="1"/>
  <c r="S206" i="15"/>
  <c r="O192" i="15"/>
  <c r="E192" i="15"/>
  <c r="S194" i="15"/>
  <c r="H194" i="15"/>
  <c r="K194" i="15" s="1"/>
  <c r="O208" i="15"/>
  <c r="E208" i="15"/>
  <c r="S210" i="15"/>
  <c r="H210" i="15"/>
  <c r="K210" i="15" s="1"/>
  <c r="N116" i="15"/>
  <c r="L116" i="15" s="1"/>
  <c r="J216" i="15"/>
  <c r="S74" i="15"/>
  <c r="E86" i="15"/>
  <c r="O86" i="15"/>
  <c r="E90" i="15"/>
  <c r="O90" i="15"/>
  <c r="J94" i="15"/>
  <c r="O98" i="15"/>
  <c r="O102" i="15"/>
  <c r="O106" i="15"/>
  <c r="H148" i="15"/>
  <c r="K148" i="15" s="1"/>
  <c r="S148" i="15"/>
  <c r="E150" i="15"/>
  <c r="S152" i="15"/>
  <c r="H152" i="15"/>
  <c r="K152" i="15" s="1"/>
  <c r="O154" i="15"/>
  <c r="E154" i="15"/>
  <c r="H156" i="15"/>
  <c r="S156" i="15"/>
  <c r="O158" i="15"/>
  <c r="H162" i="15"/>
  <c r="S162" i="15"/>
  <c r="S164" i="15"/>
  <c r="O166" i="15"/>
  <c r="E166" i="15"/>
  <c r="S168" i="15"/>
  <c r="H168" i="15"/>
  <c r="K168" i="15" s="1"/>
  <c r="H205" i="15"/>
  <c r="S205" i="15"/>
  <c r="J207" i="15"/>
  <c r="E195" i="15"/>
  <c r="O195" i="15"/>
  <c r="J199" i="15"/>
  <c r="J201" i="15"/>
  <c r="J213" i="15"/>
  <c r="E217" i="15"/>
  <c r="O217" i="15"/>
  <c r="S149" i="15"/>
  <c r="O218" i="15"/>
  <c r="S119" i="15"/>
  <c r="S124" i="15"/>
  <c r="H124" i="15"/>
  <c r="K124" i="15" s="1"/>
  <c r="S126" i="15"/>
  <c r="H126" i="15"/>
  <c r="K126" i="15" s="1"/>
  <c r="S128" i="15"/>
  <c r="H128" i="15"/>
  <c r="K128" i="15" s="1"/>
  <c r="S130" i="15"/>
  <c r="H130" i="15"/>
  <c r="K130" i="15" s="1"/>
  <c r="S132" i="15"/>
  <c r="H132" i="15"/>
  <c r="K132" i="15" s="1"/>
  <c r="O136" i="15"/>
  <c r="E136" i="15"/>
  <c r="O140" i="15"/>
  <c r="E140" i="15"/>
  <c r="J193" i="15"/>
  <c r="J215" i="15"/>
  <c r="J84" i="15"/>
  <c r="O112" i="15"/>
  <c r="J165" i="15"/>
  <c r="F71" i="15"/>
  <c r="S200" i="15"/>
  <c r="H200" i="15"/>
  <c r="G172" i="15"/>
  <c r="N172" i="15"/>
  <c r="L172" i="15" s="1"/>
  <c r="F172" i="15"/>
  <c r="M172" i="15"/>
  <c r="P172" i="15" s="1"/>
  <c r="G176" i="15"/>
  <c r="N176" i="15"/>
  <c r="L176" i="15" s="1"/>
  <c r="M176" i="15"/>
  <c r="P176" i="15" s="1"/>
  <c r="F176" i="15"/>
  <c r="G180" i="15"/>
  <c r="N180" i="15"/>
  <c r="L180" i="15" s="1"/>
  <c r="F180" i="15"/>
  <c r="M180" i="15"/>
  <c r="P180" i="15" s="1"/>
  <c r="G184" i="15"/>
  <c r="N184" i="15"/>
  <c r="L184" i="15" s="1"/>
  <c r="F184" i="15"/>
  <c r="M184" i="15"/>
  <c r="P184" i="15" s="1"/>
  <c r="F188" i="15"/>
  <c r="N188" i="15"/>
  <c r="L188" i="15" s="1"/>
  <c r="G188" i="15"/>
  <c r="M188" i="15"/>
  <c r="P188" i="15" s="1"/>
  <c r="M179" i="15"/>
  <c r="P179" i="15" s="1"/>
  <c r="G179" i="15"/>
  <c r="N179" i="15"/>
  <c r="L179" i="15" s="1"/>
  <c r="F179" i="15"/>
  <c r="M183" i="15"/>
  <c r="P183" i="15" s="1"/>
  <c r="G183" i="15"/>
  <c r="N183" i="15"/>
  <c r="L183" i="15" s="1"/>
  <c r="F183" i="15"/>
  <c r="M187" i="15"/>
  <c r="P187" i="15" s="1"/>
  <c r="F187" i="15"/>
  <c r="N187" i="15"/>
  <c r="L187" i="15" s="1"/>
  <c r="F191" i="15"/>
  <c r="M191" i="15"/>
  <c r="P191" i="15" s="1"/>
  <c r="N191" i="15"/>
  <c r="L191" i="15" s="1"/>
  <c r="D12" i="21"/>
  <c r="Q12" i="21" s="1"/>
  <c r="J97" i="15"/>
  <c r="E66" i="15"/>
  <c r="R66" i="15" s="1"/>
  <c r="S115" i="15"/>
  <c r="H115" i="15"/>
  <c r="S127" i="15"/>
  <c r="H127" i="15"/>
  <c r="J135" i="15"/>
  <c r="J143" i="15"/>
  <c r="S204" i="15"/>
  <c r="H204" i="15"/>
  <c r="K204" i="15" s="1"/>
  <c r="J206" i="15"/>
  <c r="J192" i="15"/>
  <c r="S196" i="15"/>
  <c r="H196" i="15"/>
  <c r="K196" i="15" s="1"/>
  <c r="H208" i="15"/>
  <c r="K208" i="15" s="1"/>
  <c r="S208" i="15"/>
  <c r="J210" i="15"/>
  <c r="H212" i="15"/>
  <c r="K212" i="15" s="1"/>
  <c r="S212" i="15"/>
  <c r="E161" i="15"/>
  <c r="O161" i="15"/>
  <c r="O74" i="15"/>
  <c r="O82" i="15"/>
  <c r="J86" i="15"/>
  <c r="J90" i="15"/>
  <c r="J106" i="15"/>
  <c r="O148" i="15"/>
  <c r="E148" i="15"/>
  <c r="O152" i="15"/>
  <c r="O156" i="15"/>
  <c r="E156" i="15"/>
  <c r="O160" i="15"/>
  <c r="E160" i="15"/>
  <c r="O168" i="15"/>
  <c r="E168" i="15"/>
  <c r="J205" i="15"/>
  <c r="H213" i="15"/>
  <c r="K213" i="15" s="1"/>
  <c r="S213" i="15"/>
  <c r="H72" i="15"/>
  <c r="K72" i="15" s="1"/>
  <c r="S72" i="15"/>
  <c r="G134" i="15"/>
  <c r="M134" i="15"/>
  <c r="P134" i="15" s="1"/>
  <c r="N134" i="15"/>
  <c r="L134" i="15" s="1"/>
  <c r="F134" i="15"/>
  <c r="J136" i="15"/>
  <c r="J138" i="15"/>
  <c r="J140" i="15"/>
  <c r="J142" i="15"/>
  <c r="J146" i="15"/>
  <c r="H120" i="15"/>
  <c r="S112" i="15"/>
  <c r="H112" i="15"/>
  <c r="J151" i="15"/>
  <c r="S113" i="15"/>
  <c r="H113" i="15"/>
  <c r="J200" i="15"/>
  <c r="O198" i="15"/>
  <c r="N14" i="21"/>
  <c r="L14" i="21" s="1"/>
  <c r="G14" i="21"/>
  <c r="M14" i="21"/>
  <c r="P14" i="21" s="1"/>
  <c r="F14" i="21"/>
  <c r="AL13" i="21"/>
  <c r="R13" i="21"/>
  <c r="R12" i="21"/>
  <c r="AL12" i="21"/>
  <c r="D13" i="21"/>
  <c r="AB7" i="15"/>
  <c r="B7" i="15" s="1"/>
  <c r="N7" i="15" s="1"/>
  <c r="L7" i="15" s="1"/>
  <c r="AI9" i="15"/>
  <c r="Z9" i="15"/>
  <c r="Y9" i="15"/>
  <c r="AA9" i="15" s="1"/>
  <c r="W8" i="15"/>
  <c r="F6" i="15"/>
  <c r="N6" i="15"/>
  <c r="L6" i="15" s="1"/>
  <c r="G6" i="15"/>
  <c r="M6" i="15"/>
  <c r="P6" i="15" s="1"/>
  <c r="AI19" i="9"/>
  <c r="AJ19" i="9"/>
  <c r="AI20" i="9"/>
  <c r="AJ20" i="9"/>
  <c r="AI21" i="9"/>
  <c r="AJ21" i="9"/>
  <c r="AI22" i="9"/>
  <c r="AJ22" i="9"/>
  <c r="AI23" i="9"/>
  <c r="AJ23" i="9"/>
  <c r="AI24" i="9"/>
  <c r="AJ24" i="9"/>
  <c r="AI25" i="9"/>
  <c r="AJ25" i="9"/>
  <c r="AI26" i="9"/>
  <c r="AJ26" i="9"/>
  <c r="AI27" i="9"/>
  <c r="AJ27" i="9"/>
  <c r="AI28" i="9"/>
  <c r="AJ28" i="9"/>
  <c r="AI29" i="9"/>
  <c r="AJ29" i="9"/>
  <c r="AI30" i="9"/>
  <c r="AJ30" i="9"/>
  <c r="AI31" i="9"/>
  <c r="AJ31" i="9"/>
  <c r="AI32" i="9"/>
  <c r="AJ32" i="9"/>
  <c r="AI33" i="9"/>
  <c r="AJ33" i="9"/>
  <c r="AI34" i="9"/>
  <c r="AJ34" i="9"/>
  <c r="AI35" i="9"/>
  <c r="AJ35" i="9"/>
  <c r="AI36" i="9"/>
  <c r="AJ36" i="9"/>
  <c r="AI37" i="9"/>
  <c r="AJ37" i="9"/>
  <c r="AI38" i="9"/>
  <c r="AJ38" i="9"/>
  <c r="AI39" i="9"/>
  <c r="AJ39" i="9"/>
  <c r="AI40" i="9"/>
  <c r="AJ40" i="9"/>
  <c r="AI41" i="9"/>
  <c r="AJ41" i="9"/>
  <c r="AI42" i="9"/>
  <c r="AJ42" i="9"/>
  <c r="AI43" i="9"/>
  <c r="AJ43" i="9"/>
  <c r="AI44" i="9"/>
  <c r="AJ44" i="9"/>
  <c r="AI45" i="9"/>
  <c r="AJ45" i="9"/>
  <c r="AI46" i="9"/>
  <c r="AJ46" i="9"/>
  <c r="AI47" i="9"/>
  <c r="AJ47" i="9"/>
  <c r="AI48" i="9"/>
  <c r="AJ48" i="9"/>
  <c r="AI49" i="9"/>
  <c r="AJ49" i="9"/>
  <c r="AI50" i="9"/>
  <c r="AJ50" i="9"/>
  <c r="AI51" i="9"/>
  <c r="AJ51" i="9"/>
  <c r="AI52" i="9"/>
  <c r="AJ52" i="9"/>
  <c r="AI53" i="9"/>
  <c r="AJ53" i="9"/>
  <c r="AI54" i="9"/>
  <c r="AJ54" i="9"/>
  <c r="AI55" i="9"/>
  <c r="AJ55" i="9"/>
  <c r="AI56" i="9"/>
  <c r="AJ56" i="9"/>
  <c r="AI57" i="9"/>
  <c r="AJ57" i="9"/>
  <c r="AI58" i="9"/>
  <c r="AJ58" i="9"/>
  <c r="AI59" i="9"/>
  <c r="AJ59" i="9"/>
  <c r="AI60" i="9"/>
  <c r="AJ60" i="9"/>
  <c r="AI61" i="9"/>
  <c r="AJ61" i="9"/>
  <c r="AI62" i="9"/>
  <c r="AJ62" i="9"/>
  <c r="AI63" i="9"/>
  <c r="AJ63" i="9"/>
  <c r="AK63" i="9"/>
  <c r="AL63" i="9"/>
  <c r="AI64" i="9"/>
  <c r="AJ64" i="9"/>
  <c r="AK64" i="9"/>
  <c r="AL64" i="9"/>
  <c r="AI65" i="9"/>
  <c r="AJ65" i="9"/>
  <c r="AK65" i="9"/>
  <c r="AL65" i="9"/>
  <c r="AI66" i="9"/>
  <c r="AJ66" i="9"/>
  <c r="AK66" i="9"/>
  <c r="AL66" i="9"/>
  <c r="AI67" i="9"/>
  <c r="AJ67" i="9"/>
  <c r="AK67" i="9"/>
  <c r="AL67" i="9"/>
  <c r="AI68" i="9"/>
  <c r="AJ68" i="9"/>
  <c r="AK68" i="9"/>
  <c r="AL68" i="9"/>
  <c r="AI69" i="9"/>
  <c r="AJ69" i="9"/>
  <c r="AK69" i="9"/>
  <c r="AL69" i="9"/>
  <c r="AI70" i="9"/>
  <c r="AJ70" i="9"/>
  <c r="AK70" i="9"/>
  <c r="AL70" i="9"/>
  <c r="AI71" i="9"/>
  <c r="AJ71" i="9"/>
  <c r="AK71" i="9"/>
  <c r="AL71" i="9"/>
  <c r="AI72" i="9"/>
  <c r="AJ72" i="9"/>
  <c r="AK72" i="9"/>
  <c r="AL72" i="9"/>
  <c r="AI73" i="9"/>
  <c r="AJ73" i="9"/>
  <c r="AK73" i="9"/>
  <c r="AL73" i="9"/>
  <c r="AI74" i="9"/>
  <c r="AJ74" i="9"/>
  <c r="AK74" i="9"/>
  <c r="AL74" i="9"/>
  <c r="AI75" i="9"/>
  <c r="AJ75" i="9"/>
  <c r="AK75" i="9"/>
  <c r="AL75" i="9"/>
  <c r="AI76" i="9"/>
  <c r="AJ76" i="9"/>
  <c r="AK76" i="9"/>
  <c r="AL76" i="9"/>
  <c r="AI77" i="9"/>
  <c r="AJ77" i="9"/>
  <c r="AK77" i="9"/>
  <c r="AL77" i="9"/>
  <c r="AI78" i="9"/>
  <c r="AJ78" i="9"/>
  <c r="AK78" i="9"/>
  <c r="AL78" i="9"/>
  <c r="AI79" i="9"/>
  <c r="AJ79" i="9"/>
  <c r="AK79" i="9"/>
  <c r="AL79" i="9"/>
  <c r="AI80" i="9"/>
  <c r="AJ80" i="9"/>
  <c r="AK80" i="9"/>
  <c r="AL80" i="9"/>
  <c r="AI81" i="9"/>
  <c r="AJ81" i="9"/>
  <c r="AK81" i="9"/>
  <c r="AL81" i="9"/>
  <c r="AI82" i="9"/>
  <c r="AJ82" i="9"/>
  <c r="AK82" i="9"/>
  <c r="AL82" i="9"/>
  <c r="AI83" i="9"/>
  <c r="AJ83" i="9"/>
  <c r="AK83" i="9"/>
  <c r="AL83" i="9"/>
  <c r="AI84" i="9"/>
  <c r="AJ84" i="9"/>
  <c r="AK84" i="9"/>
  <c r="AL84" i="9"/>
  <c r="AI85" i="9"/>
  <c r="AJ85" i="9"/>
  <c r="AK85" i="9"/>
  <c r="AL85" i="9"/>
  <c r="AI86" i="9"/>
  <c r="AJ86" i="9"/>
  <c r="AK86" i="9"/>
  <c r="AL86" i="9"/>
  <c r="AI87" i="9"/>
  <c r="AJ87" i="9"/>
  <c r="AK87" i="9"/>
  <c r="AL87" i="9"/>
  <c r="AI88" i="9"/>
  <c r="AJ88" i="9"/>
  <c r="AK88" i="9"/>
  <c r="AL88" i="9"/>
  <c r="AI89" i="9"/>
  <c r="AJ89" i="9"/>
  <c r="AK89" i="9"/>
  <c r="AL89" i="9"/>
  <c r="AI90" i="9"/>
  <c r="AJ90" i="9"/>
  <c r="AK90" i="9"/>
  <c r="AL90" i="9"/>
  <c r="AI91" i="9"/>
  <c r="AJ91" i="9"/>
  <c r="AK91" i="9"/>
  <c r="AL91" i="9"/>
  <c r="AI92" i="9"/>
  <c r="AJ92" i="9"/>
  <c r="AK92" i="9"/>
  <c r="AL92" i="9"/>
  <c r="AI93" i="9"/>
  <c r="AJ93" i="9"/>
  <c r="AK93" i="9"/>
  <c r="AL93" i="9"/>
  <c r="AI94" i="9"/>
  <c r="AJ94" i="9"/>
  <c r="AK94" i="9"/>
  <c r="AL94" i="9"/>
  <c r="AI95" i="9"/>
  <c r="AJ95" i="9"/>
  <c r="AK95" i="9"/>
  <c r="AL95" i="9"/>
  <c r="AI96" i="9"/>
  <c r="AJ96" i="9"/>
  <c r="AK96" i="9"/>
  <c r="AL96" i="9"/>
  <c r="AI97" i="9"/>
  <c r="AJ97" i="9"/>
  <c r="AK97" i="9"/>
  <c r="AL97" i="9"/>
  <c r="AI98" i="9"/>
  <c r="AJ98" i="9"/>
  <c r="AK98" i="9"/>
  <c r="AL98" i="9"/>
  <c r="AI99" i="9"/>
  <c r="AJ99" i="9"/>
  <c r="AK99" i="9"/>
  <c r="AL99" i="9"/>
  <c r="AI100" i="9"/>
  <c r="AJ100" i="9"/>
  <c r="AK100" i="9"/>
  <c r="AL100" i="9"/>
  <c r="AI101" i="9"/>
  <c r="AJ101" i="9"/>
  <c r="AK101" i="9"/>
  <c r="AL101" i="9"/>
  <c r="AI102" i="9"/>
  <c r="AJ102" i="9"/>
  <c r="AK102" i="9"/>
  <c r="AL102" i="9"/>
  <c r="AI103" i="9"/>
  <c r="AJ103" i="9"/>
  <c r="AK103" i="9"/>
  <c r="AL103" i="9"/>
  <c r="AI104" i="9"/>
  <c r="AJ104" i="9"/>
  <c r="AK104" i="9"/>
  <c r="AL104" i="9"/>
  <c r="AI105" i="9"/>
  <c r="AJ105" i="9"/>
  <c r="AK105" i="9"/>
  <c r="AL105" i="9"/>
  <c r="AI106" i="9"/>
  <c r="AJ106" i="9"/>
  <c r="AK106" i="9"/>
  <c r="AL106" i="9"/>
  <c r="AI107" i="9"/>
  <c r="AJ107" i="9"/>
  <c r="AK107" i="9"/>
  <c r="AL107" i="9"/>
  <c r="AI108" i="9"/>
  <c r="AJ108" i="9"/>
  <c r="AK108" i="9"/>
  <c r="AL108" i="9"/>
  <c r="AI109" i="9"/>
  <c r="AJ109" i="9"/>
  <c r="AK109" i="9"/>
  <c r="AL109" i="9"/>
  <c r="AI110" i="9"/>
  <c r="AJ110" i="9"/>
  <c r="AK110" i="9"/>
  <c r="AL110" i="9"/>
  <c r="AI111" i="9"/>
  <c r="AJ111" i="9"/>
  <c r="AK111" i="9"/>
  <c r="AL111" i="9"/>
  <c r="AI112" i="9"/>
  <c r="AJ112" i="9"/>
  <c r="AK112" i="9"/>
  <c r="AL112" i="9"/>
  <c r="AI113" i="9"/>
  <c r="AJ113" i="9"/>
  <c r="AK113" i="9"/>
  <c r="AL113" i="9"/>
  <c r="AI114" i="9"/>
  <c r="AJ114" i="9"/>
  <c r="AK114" i="9"/>
  <c r="AL114" i="9"/>
  <c r="AI115" i="9"/>
  <c r="AJ115" i="9"/>
  <c r="AK115" i="9"/>
  <c r="AL115" i="9"/>
  <c r="AI116" i="9"/>
  <c r="AJ116" i="9"/>
  <c r="AK116" i="9"/>
  <c r="AL116" i="9"/>
  <c r="AI117" i="9"/>
  <c r="AJ117" i="9"/>
  <c r="AK117" i="9"/>
  <c r="AL117" i="9"/>
  <c r="AI118" i="9"/>
  <c r="AJ118" i="9"/>
  <c r="AK118" i="9"/>
  <c r="AL118" i="9"/>
  <c r="AI119" i="9"/>
  <c r="AJ119" i="9"/>
  <c r="AK119" i="9"/>
  <c r="AL119" i="9"/>
  <c r="AI120" i="9"/>
  <c r="AJ120" i="9"/>
  <c r="AK120" i="9"/>
  <c r="AL120" i="9"/>
  <c r="AI121" i="9"/>
  <c r="AJ121" i="9"/>
  <c r="AK121" i="9"/>
  <c r="AL121" i="9"/>
  <c r="AI122" i="9"/>
  <c r="AJ122" i="9"/>
  <c r="AK122" i="9"/>
  <c r="AL122" i="9"/>
  <c r="AI123" i="9"/>
  <c r="AJ123" i="9"/>
  <c r="AK123" i="9"/>
  <c r="AL123" i="9"/>
  <c r="AI124" i="9"/>
  <c r="AJ124" i="9"/>
  <c r="AK124" i="9"/>
  <c r="AL124" i="9"/>
  <c r="AI125" i="9"/>
  <c r="AJ125" i="9"/>
  <c r="AK125" i="9"/>
  <c r="AL125" i="9"/>
  <c r="AI126" i="9"/>
  <c r="AJ126" i="9"/>
  <c r="AK126" i="9"/>
  <c r="AL126" i="9"/>
  <c r="AI127" i="9"/>
  <c r="AJ127" i="9"/>
  <c r="AK127" i="9"/>
  <c r="AL127" i="9"/>
  <c r="AI128" i="9"/>
  <c r="AJ128" i="9"/>
  <c r="AK128" i="9"/>
  <c r="AL128" i="9"/>
  <c r="AI129" i="9"/>
  <c r="AJ129" i="9"/>
  <c r="AK129" i="9"/>
  <c r="AL129" i="9"/>
  <c r="AI130" i="9"/>
  <c r="AJ130" i="9"/>
  <c r="AK130" i="9"/>
  <c r="AL130" i="9"/>
  <c r="AI131" i="9"/>
  <c r="AJ131" i="9"/>
  <c r="AK131" i="9"/>
  <c r="AL131" i="9"/>
  <c r="AI132" i="9"/>
  <c r="AJ132" i="9"/>
  <c r="AK132" i="9"/>
  <c r="AL132" i="9"/>
  <c r="AI133" i="9"/>
  <c r="AJ133" i="9"/>
  <c r="AK133" i="9"/>
  <c r="AL133" i="9"/>
  <c r="AI134" i="9"/>
  <c r="AJ134" i="9"/>
  <c r="AK134" i="9"/>
  <c r="AL134" i="9"/>
  <c r="AI135" i="9"/>
  <c r="AJ135" i="9"/>
  <c r="AK135" i="9"/>
  <c r="AL135" i="9"/>
  <c r="AI136" i="9"/>
  <c r="AJ136" i="9"/>
  <c r="AK136" i="9"/>
  <c r="AL136" i="9"/>
  <c r="AI137" i="9"/>
  <c r="AJ137" i="9"/>
  <c r="AK137" i="9"/>
  <c r="AL137" i="9"/>
  <c r="AI138" i="9"/>
  <c r="AJ138" i="9"/>
  <c r="AK138" i="9"/>
  <c r="AL138" i="9"/>
  <c r="AI139" i="9"/>
  <c r="AJ139" i="9"/>
  <c r="AK139" i="9"/>
  <c r="AL139" i="9"/>
  <c r="AI140" i="9"/>
  <c r="AJ140" i="9"/>
  <c r="AK140" i="9"/>
  <c r="AL140" i="9"/>
  <c r="AI141" i="9"/>
  <c r="AJ141" i="9"/>
  <c r="AK141" i="9"/>
  <c r="AL141" i="9"/>
  <c r="AI142" i="9"/>
  <c r="AJ142" i="9"/>
  <c r="AK142" i="9"/>
  <c r="AL142" i="9"/>
  <c r="AI143" i="9"/>
  <c r="AJ143" i="9"/>
  <c r="AK143" i="9"/>
  <c r="AL143" i="9"/>
  <c r="AI144" i="9"/>
  <c r="AJ144" i="9"/>
  <c r="AK144" i="9"/>
  <c r="AL144" i="9"/>
  <c r="AI145" i="9"/>
  <c r="AJ145" i="9"/>
  <c r="AK145" i="9"/>
  <c r="AL145" i="9"/>
  <c r="AI146" i="9"/>
  <c r="AJ146" i="9"/>
  <c r="AK146" i="9"/>
  <c r="AL146" i="9"/>
  <c r="AI147" i="9"/>
  <c r="AJ147" i="9"/>
  <c r="AK147" i="9"/>
  <c r="AL147" i="9"/>
  <c r="AI148" i="9"/>
  <c r="AJ148" i="9"/>
  <c r="AK148" i="9"/>
  <c r="AL148" i="9"/>
  <c r="AI149" i="9"/>
  <c r="AJ149" i="9"/>
  <c r="AK149" i="9"/>
  <c r="AL149" i="9"/>
  <c r="AI150" i="9"/>
  <c r="AJ150" i="9"/>
  <c r="AK150" i="9"/>
  <c r="AL150" i="9"/>
  <c r="AI151" i="9"/>
  <c r="AJ151" i="9"/>
  <c r="AK151" i="9"/>
  <c r="AL151" i="9"/>
  <c r="AI152" i="9"/>
  <c r="AJ152" i="9"/>
  <c r="AK152" i="9"/>
  <c r="AL152" i="9"/>
  <c r="AI153" i="9"/>
  <c r="AJ153" i="9"/>
  <c r="AK153" i="9"/>
  <c r="AL153" i="9"/>
  <c r="AI154" i="9"/>
  <c r="AJ154" i="9"/>
  <c r="AK154" i="9"/>
  <c r="AL154" i="9"/>
  <c r="AI155" i="9"/>
  <c r="AJ155" i="9"/>
  <c r="AK155" i="9"/>
  <c r="AL155" i="9"/>
  <c r="AI156" i="9"/>
  <c r="AJ156" i="9"/>
  <c r="AK156" i="9"/>
  <c r="AL156" i="9"/>
  <c r="AI157" i="9"/>
  <c r="AJ157" i="9"/>
  <c r="AK157" i="9"/>
  <c r="AL157" i="9"/>
  <c r="AI158" i="9"/>
  <c r="AJ158" i="9"/>
  <c r="AK158" i="9"/>
  <c r="AL158" i="9"/>
  <c r="AI159" i="9"/>
  <c r="AJ159" i="9"/>
  <c r="AK159" i="9"/>
  <c r="AL159" i="9"/>
  <c r="AI160" i="9"/>
  <c r="AJ160" i="9"/>
  <c r="AK160" i="9"/>
  <c r="AL160" i="9"/>
  <c r="AI161" i="9"/>
  <c r="AJ161" i="9"/>
  <c r="AK161" i="9"/>
  <c r="AL161" i="9"/>
  <c r="AI162" i="9"/>
  <c r="AJ162" i="9"/>
  <c r="AK162" i="9"/>
  <c r="AL162" i="9"/>
  <c r="AI163" i="9"/>
  <c r="AJ163" i="9"/>
  <c r="AK163" i="9"/>
  <c r="AL163" i="9"/>
  <c r="AI164" i="9"/>
  <c r="AJ164" i="9"/>
  <c r="AK164" i="9"/>
  <c r="AL164" i="9"/>
  <c r="AI165" i="9"/>
  <c r="AJ165" i="9"/>
  <c r="AK165" i="9"/>
  <c r="AL165" i="9"/>
  <c r="AI166" i="9"/>
  <c r="AJ166" i="9"/>
  <c r="AK166" i="9"/>
  <c r="AL166" i="9"/>
  <c r="AI167" i="9"/>
  <c r="AJ167" i="9"/>
  <c r="AK167" i="9"/>
  <c r="AL167" i="9"/>
  <c r="AI168" i="9"/>
  <c r="AJ168" i="9"/>
  <c r="AK168" i="9"/>
  <c r="AL168" i="9"/>
  <c r="AI169" i="9"/>
  <c r="AJ169" i="9"/>
  <c r="AK169" i="9"/>
  <c r="AL169" i="9"/>
  <c r="AI170" i="9"/>
  <c r="AJ170" i="9"/>
  <c r="AK170" i="9"/>
  <c r="AL170" i="9"/>
  <c r="AI171" i="9"/>
  <c r="AJ171" i="9"/>
  <c r="AK171" i="9"/>
  <c r="AL171" i="9"/>
  <c r="AI172" i="9"/>
  <c r="AJ172" i="9"/>
  <c r="AK172" i="9"/>
  <c r="AL172" i="9"/>
  <c r="AI173" i="9"/>
  <c r="AJ173" i="9"/>
  <c r="AK173" i="9"/>
  <c r="AL173" i="9"/>
  <c r="AI174" i="9"/>
  <c r="AJ174" i="9"/>
  <c r="AK174" i="9"/>
  <c r="AL174" i="9"/>
  <c r="AI175" i="9"/>
  <c r="AJ175" i="9"/>
  <c r="AK175" i="9"/>
  <c r="AL175" i="9"/>
  <c r="AI176" i="9"/>
  <c r="AJ176" i="9"/>
  <c r="AK176" i="9"/>
  <c r="AL176" i="9"/>
  <c r="AI177" i="9"/>
  <c r="AJ177" i="9"/>
  <c r="AK177" i="9"/>
  <c r="AL177" i="9"/>
  <c r="AI178" i="9"/>
  <c r="AJ178" i="9"/>
  <c r="AK178" i="9"/>
  <c r="AL178" i="9"/>
  <c r="AI179" i="9"/>
  <c r="AJ179" i="9"/>
  <c r="AK179" i="9"/>
  <c r="AL179" i="9"/>
  <c r="AI180" i="9"/>
  <c r="AJ180" i="9"/>
  <c r="AK180" i="9"/>
  <c r="AL180" i="9"/>
  <c r="AI181" i="9"/>
  <c r="AJ181" i="9"/>
  <c r="AK181" i="9"/>
  <c r="AL181" i="9"/>
  <c r="AI182" i="9"/>
  <c r="AJ182" i="9"/>
  <c r="AK182" i="9"/>
  <c r="AL182" i="9"/>
  <c r="AI183" i="9"/>
  <c r="AJ183" i="9"/>
  <c r="AK183" i="9"/>
  <c r="AL183" i="9"/>
  <c r="AI184" i="9"/>
  <c r="AJ184" i="9"/>
  <c r="AK184" i="9"/>
  <c r="AL184" i="9"/>
  <c r="AI185" i="9"/>
  <c r="AJ185" i="9"/>
  <c r="AK185" i="9"/>
  <c r="AL185" i="9"/>
  <c r="AI186" i="9"/>
  <c r="AJ186" i="9"/>
  <c r="AK186" i="9"/>
  <c r="AL186" i="9"/>
  <c r="AI187" i="9"/>
  <c r="AJ187" i="9"/>
  <c r="AK187" i="9"/>
  <c r="AL187" i="9"/>
  <c r="AI188" i="9"/>
  <c r="AJ188" i="9"/>
  <c r="AK188" i="9"/>
  <c r="AL188" i="9"/>
  <c r="AI189" i="9"/>
  <c r="AJ189" i="9"/>
  <c r="AK189" i="9"/>
  <c r="AL189" i="9"/>
  <c r="AI190" i="9"/>
  <c r="AJ190" i="9"/>
  <c r="AK190" i="9"/>
  <c r="AL190" i="9"/>
  <c r="AI191" i="9"/>
  <c r="AJ191" i="9"/>
  <c r="AK191" i="9"/>
  <c r="AL191" i="9"/>
  <c r="AI192" i="9"/>
  <c r="AJ192" i="9"/>
  <c r="AK192" i="9"/>
  <c r="AL192" i="9"/>
  <c r="AI193" i="9"/>
  <c r="AJ193" i="9"/>
  <c r="AK193" i="9"/>
  <c r="AL193" i="9"/>
  <c r="AI194" i="9"/>
  <c r="AJ194" i="9"/>
  <c r="AK194" i="9"/>
  <c r="AL194" i="9"/>
  <c r="AI195" i="9"/>
  <c r="AJ195" i="9"/>
  <c r="AK195" i="9"/>
  <c r="AL195" i="9"/>
  <c r="AI196" i="9"/>
  <c r="AJ196" i="9"/>
  <c r="AK196" i="9"/>
  <c r="AL196" i="9"/>
  <c r="AI197" i="9"/>
  <c r="AJ197" i="9"/>
  <c r="AK197" i="9"/>
  <c r="AL197" i="9"/>
  <c r="AI198" i="9"/>
  <c r="AJ198" i="9"/>
  <c r="AK198" i="9"/>
  <c r="AL198" i="9"/>
  <c r="AI199" i="9"/>
  <c r="AJ199" i="9"/>
  <c r="AK199" i="9"/>
  <c r="AL199" i="9"/>
  <c r="AI200" i="9"/>
  <c r="AJ200" i="9"/>
  <c r="AK200" i="9"/>
  <c r="AL200" i="9"/>
  <c r="AI201" i="9"/>
  <c r="AJ201" i="9"/>
  <c r="AK201" i="9"/>
  <c r="AL201" i="9"/>
  <c r="AI202" i="9"/>
  <c r="AJ202" i="9"/>
  <c r="AK202" i="9"/>
  <c r="AL202" i="9"/>
  <c r="AI203" i="9"/>
  <c r="AJ203" i="9"/>
  <c r="AK203" i="9"/>
  <c r="AL203" i="9"/>
  <c r="AI204" i="9"/>
  <c r="AJ204" i="9"/>
  <c r="AK204" i="9"/>
  <c r="AL204" i="9"/>
  <c r="AI205" i="9"/>
  <c r="AJ205" i="9"/>
  <c r="AK205" i="9"/>
  <c r="AL205" i="9"/>
  <c r="AI206" i="9"/>
  <c r="AJ206" i="9"/>
  <c r="AK206" i="9"/>
  <c r="AL206" i="9"/>
  <c r="AI207" i="9"/>
  <c r="AJ207" i="9"/>
  <c r="AK207" i="9"/>
  <c r="AL207" i="9"/>
  <c r="AI208" i="9"/>
  <c r="AJ208" i="9"/>
  <c r="AK208" i="9"/>
  <c r="AL208" i="9"/>
  <c r="AI209" i="9"/>
  <c r="AJ209" i="9"/>
  <c r="AK209" i="9"/>
  <c r="AL209" i="9"/>
  <c r="AI210" i="9"/>
  <c r="AJ210" i="9"/>
  <c r="AK210" i="9"/>
  <c r="AL210" i="9"/>
  <c r="AI211" i="9"/>
  <c r="AJ211" i="9"/>
  <c r="AK211" i="9"/>
  <c r="AL211" i="9"/>
  <c r="AI212" i="9"/>
  <c r="AJ212" i="9"/>
  <c r="AK212" i="9"/>
  <c r="AL212" i="9"/>
  <c r="AI213" i="9"/>
  <c r="AJ213" i="9"/>
  <c r="AK213" i="9"/>
  <c r="AL213" i="9"/>
  <c r="AI214" i="9"/>
  <c r="AJ214" i="9"/>
  <c r="AK214" i="9"/>
  <c r="AL214" i="9"/>
  <c r="AI215" i="9"/>
  <c r="AJ215" i="9"/>
  <c r="AK215" i="9"/>
  <c r="AL215" i="9"/>
  <c r="AI216" i="9"/>
  <c r="AJ216" i="9"/>
  <c r="AK216" i="9"/>
  <c r="AL216" i="9"/>
  <c r="AI217" i="9"/>
  <c r="AJ217" i="9"/>
  <c r="AK217" i="9"/>
  <c r="AL217" i="9"/>
  <c r="AI218" i="9"/>
  <c r="AJ218" i="9"/>
  <c r="AK218" i="9"/>
  <c r="AL218" i="9"/>
  <c r="AI219" i="9"/>
  <c r="AJ219" i="9"/>
  <c r="AK219" i="9"/>
  <c r="AL219" i="9"/>
  <c r="AI220" i="9"/>
  <c r="AJ220" i="9"/>
  <c r="AK220" i="9"/>
  <c r="AL220" i="9"/>
  <c r="X19" i="9"/>
  <c r="Y19" i="9"/>
  <c r="AA19" i="9" s="1"/>
  <c r="Z19" i="9"/>
  <c r="W19" i="9" s="1"/>
  <c r="X20" i="9"/>
  <c r="Y20" i="9"/>
  <c r="AA20" i="9" s="1"/>
  <c r="Z20" i="9"/>
  <c r="W20" i="9" s="1"/>
  <c r="X21" i="9"/>
  <c r="Y21" i="9"/>
  <c r="AA21" i="9" s="1"/>
  <c r="Z21" i="9"/>
  <c r="X22" i="9"/>
  <c r="Y22" i="9"/>
  <c r="AA22" i="9" s="1"/>
  <c r="Z22" i="9"/>
  <c r="W22" i="9" s="1"/>
  <c r="X23" i="9"/>
  <c r="Y23" i="9"/>
  <c r="AA23" i="9" s="1"/>
  <c r="Z23" i="9"/>
  <c r="W23" i="9" s="1"/>
  <c r="X24" i="9"/>
  <c r="Y24" i="9"/>
  <c r="AA24" i="9" s="1"/>
  <c r="Z24" i="9"/>
  <c r="W24" i="9" s="1"/>
  <c r="X25" i="9"/>
  <c r="Y25" i="9"/>
  <c r="AA25" i="9" s="1"/>
  <c r="Z25" i="9"/>
  <c r="X26" i="9"/>
  <c r="Y26" i="9"/>
  <c r="AA26" i="9" s="1"/>
  <c r="Z26" i="9"/>
  <c r="W26" i="9" s="1"/>
  <c r="X27" i="9"/>
  <c r="Y27" i="9"/>
  <c r="AA27" i="9" s="1"/>
  <c r="Z27" i="9"/>
  <c r="W27" i="9" s="1"/>
  <c r="X28" i="9"/>
  <c r="Y28" i="9"/>
  <c r="AA28" i="9" s="1"/>
  <c r="Z28" i="9"/>
  <c r="W28" i="9" s="1"/>
  <c r="X29" i="9"/>
  <c r="Y29" i="9"/>
  <c r="AA29" i="9" s="1"/>
  <c r="Z29" i="9"/>
  <c r="X30" i="9"/>
  <c r="Y30" i="9"/>
  <c r="AA30" i="9" s="1"/>
  <c r="Z30" i="9"/>
  <c r="W30" i="9" s="1"/>
  <c r="X31" i="9"/>
  <c r="Y31" i="9"/>
  <c r="AA31" i="9" s="1"/>
  <c r="Z31" i="9"/>
  <c r="W31" i="9" s="1"/>
  <c r="X32" i="9"/>
  <c r="Y32" i="9"/>
  <c r="AA32" i="9" s="1"/>
  <c r="Z32" i="9"/>
  <c r="W32" i="9" s="1"/>
  <c r="X33" i="9"/>
  <c r="Y33" i="9"/>
  <c r="AA33" i="9" s="1"/>
  <c r="Z33" i="9"/>
  <c r="X34" i="9"/>
  <c r="Y34" i="9"/>
  <c r="AA34" i="9" s="1"/>
  <c r="Z34" i="9"/>
  <c r="W34" i="9" s="1"/>
  <c r="X35" i="9"/>
  <c r="Y35" i="9"/>
  <c r="AA35" i="9" s="1"/>
  <c r="Z35" i="9"/>
  <c r="W35" i="9" s="1"/>
  <c r="X36" i="9"/>
  <c r="Y36" i="9"/>
  <c r="AA36" i="9" s="1"/>
  <c r="Z36" i="9"/>
  <c r="W36" i="9" s="1"/>
  <c r="X37" i="9"/>
  <c r="Y37" i="9"/>
  <c r="AA37" i="9" s="1"/>
  <c r="Z37" i="9"/>
  <c r="X38" i="9"/>
  <c r="Y38" i="9"/>
  <c r="AA38" i="9" s="1"/>
  <c r="Z38" i="9"/>
  <c r="W38" i="9" s="1"/>
  <c r="X39" i="9"/>
  <c r="Y39" i="9"/>
  <c r="AA39" i="9" s="1"/>
  <c r="Z39" i="9"/>
  <c r="W39" i="9" s="1"/>
  <c r="X40" i="9"/>
  <c r="Y40" i="9"/>
  <c r="AA40" i="9" s="1"/>
  <c r="Z40" i="9"/>
  <c r="W40" i="9" s="1"/>
  <c r="X41" i="9"/>
  <c r="Y41" i="9"/>
  <c r="AA41" i="9" s="1"/>
  <c r="Z41" i="9"/>
  <c r="X42" i="9"/>
  <c r="Y42" i="9"/>
  <c r="AA42" i="9" s="1"/>
  <c r="Z42" i="9"/>
  <c r="W42" i="9" s="1"/>
  <c r="X43" i="9"/>
  <c r="Y43" i="9"/>
  <c r="AA43" i="9" s="1"/>
  <c r="Z43" i="9"/>
  <c r="W43" i="9" s="1"/>
  <c r="X44" i="9"/>
  <c r="Y44" i="9"/>
  <c r="AA44" i="9" s="1"/>
  <c r="Z44" i="9"/>
  <c r="W44" i="9" s="1"/>
  <c r="X45" i="9"/>
  <c r="Y45" i="9"/>
  <c r="AA45" i="9" s="1"/>
  <c r="Z45" i="9"/>
  <c r="X46" i="9"/>
  <c r="Y46" i="9"/>
  <c r="AA46" i="9" s="1"/>
  <c r="Z46" i="9"/>
  <c r="W46" i="9" s="1"/>
  <c r="X47" i="9"/>
  <c r="Y47" i="9"/>
  <c r="AA47" i="9" s="1"/>
  <c r="Z47" i="9"/>
  <c r="W47" i="9" s="1"/>
  <c r="X48" i="9"/>
  <c r="Y48" i="9"/>
  <c r="AA48" i="9" s="1"/>
  <c r="Z48" i="9"/>
  <c r="W48" i="9" s="1"/>
  <c r="X49" i="9"/>
  <c r="Y49" i="9"/>
  <c r="AA49" i="9" s="1"/>
  <c r="Z49" i="9"/>
  <c r="X50" i="9"/>
  <c r="Y50" i="9"/>
  <c r="AA50" i="9" s="1"/>
  <c r="Z50" i="9"/>
  <c r="W50" i="9" s="1"/>
  <c r="X51" i="9"/>
  <c r="Y51" i="9"/>
  <c r="AA51" i="9" s="1"/>
  <c r="Z51" i="9"/>
  <c r="W51" i="9" s="1"/>
  <c r="X52" i="9"/>
  <c r="Y52" i="9"/>
  <c r="AA52" i="9" s="1"/>
  <c r="Z52" i="9"/>
  <c r="W52" i="9" s="1"/>
  <c r="X53" i="9"/>
  <c r="Y53" i="9"/>
  <c r="AA53" i="9" s="1"/>
  <c r="Z53" i="9"/>
  <c r="X54" i="9"/>
  <c r="Y54" i="9"/>
  <c r="AA54" i="9" s="1"/>
  <c r="Z54" i="9"/>
  <c r="W54" i="9" s="1"/>
  <c r="X55" i="9"/>
  <c r="Y55" i="9"/>
  <c r="AA55" i="9" s="1"/>
  <c r="Z55" i="9"/>
  <c r="W55" i="9" s="1"/>
  <c r="X56" i="9"/>
  <c r="Y56" i="9"/>
  <c r="AA56" i="9" s="1"/>
  <c r="Z56" i="9"/>
  <c r="W56" i="9" s="1"/>
  <c r="X57" i="9"/>
  <c r="Y57" i="9"/>
  <c r="AA57" i="9" s="1"/>
  <c r="Z57" i="9"/>
  <c r="X58" i="9"/>
  <c r="Y58" i="9"/>
  <c r="AA58" i="9" s="1"/>
  <c r="Z58" i="9"/>
  <c r="W58" i="9" s="1"/>
  <c r="X59" i="9"/>
  <c r="Y59" i="9"/>
  <c r="AA59" i="9" s="1"/>
  <c r="Z59" i="9"/>
  <c r="W59" i="9" s="1"/>
  <c r="X60" i="9"/>
  <c r="Y60" i="9"/>
  <c r="AA60" i="9" s="1"/>
  <c r="Z60" i="9"/>
  <c r="W60" i="9" s="1"/>
  <c r="X61" i="9"/>
  <c r="Y61" i="9"/>
  <c r="AA61" i="9" s="1"/>
  <c r="Z61" i="9"/>
  <c r="X62" i="9"/>
  <c r="Y62" i="9"/>
  <c r="AA62" i="9" s="1"/>
  <c r="Z62" i="9"/>
  <c r="W62" i="9" s="1"/>
  <c r="X63" i="9"/>
  <c r="Y63" i="9"/>
  <c r="AA63" i="9" s="1"/>
  <c r="Z63" i="9"/>
  <c r="W63" i="9" s="1"/>
  <c r="X64" i="9"/>
  <c r="Y64" i="9"/>
  <c r="AA64" i="9" s="1"/>
  <c r="Z64" i="9"/>
  <c r="W64" i="9" s="1"/>
  <c r="X65" i="9"/>
  <c r="Y65" i="9"/>
  <c r="AA65" i="9" s="1"/>
  <c r="Z65" i="9"/>
  <c r="X66" i="9"/>
  <c r="Y66" i="9"/>
  <c r="AA66" i="9" s="1"/>
  <c r="Z66" i="9"/>
  <c r="W66" i="9" s="1"/>
  <c r="X67" i="9"/>
  <c r="Y67" i="9"/>
  <c r="AA67" i="9" s="1"/>
  <c r="Z67" i="9"/>
  <c r="W67" i="9" s="1"/>
  <c r="X68" i="9"/>
  <c r="Y68" i="9"/>
  <c r="AA68" i="9" s="1"/>
  <c r="Z68" i="9"/>
  <c r="W68" i="9" s="1"/>
  <c r="X69" i="9"/>
  <c r="Y69" i="9"/>
  <c r="AA69" i="9" s="1"/>
  <c r="Z69" i="9"/>
  <c r="X70" i="9"/>
  <c r="Y70" i="9"/>
  <c r="AA70" i="9" s="1"/>
  <c r="Z70" i="9"/>
  <c r="W70" i="9" s="1"/>
  <c r="X71" i="9"/>
  <c r="Y71" i="9"/>
  <c r="AA71" i="9" s="1"/>
  <c r="Z71" i="9"/>
  <c r="W71" i="9" s="1"/>
  <c r="X72" i="9"/>
  <c r="Y72" i="9"/>
  <c r="AA72" i="9" s="1"/>
  <c r="Z72" i="9"/>
  <c r="W72" i="9" s="1"/>
  <c r="X73" i="9"/>
  <c r="Y73" i="9"/>
  <c r="AA73" i="9" s="1"/>
  <c r="Z73" i="9"/>
  <c r="X74" i="9"/>
  <c r="Y74" i="9"/>
  <c r="AA74" i="9" s="1"/>
  <c r="Z74" i="9"/>
  <c r="W74" i="9" s="1"/>
  <c r="X75" i="9"/>
  <c r="Y75" i="9"/>
  <c r="AA75" i="9" s="1"/>
  <c r="Z75" i="9"/>
  <c r="W75" i="9" s="1"/>
  <c r="X76" i="9"/>
  <c r="Y76" i="9"/>
  <c r="AA76" i="9" s="1"/>
  <c r="W76" i="9" s="1"/>
  <c r="Z76" i="9"/>
  <c r="X77" i="9"/>
  <c r="Y77" i="9"/>
  <c r="AA77" i="9" s="1"/>
  <c r="Z77" i="9"/>
  <c r="X78" i="9"/>
  <c r="Y78" i="9"/>
  <c r="AA78" i="9" s="1"/>
  <c r="W78" i="9" s="1"/>
  <c r="Z78" i="9"/>
  <c r="X79" i="9"/>
  <c r="Y79" i="9"/>
  <c r="AA79" i="9" s="1"/>
  <c r="Z79" i="9"/>
  <c r="X80" i="9"/>
  <c r="Y80" i="9"/>
  <c r="AA80" i="9" s="1"/>
  <c r="W80" i="9" s="1"/>
  <c r="Z80" i="9"/>
  <c r="X81" i="9"/>
  <c r="Y81" i="9"/>
  <c r="AA81" i="9" s="1"/>
  <c r="Z81" i="9"/>
  <c r="X82" i="9"/>
  <c r="Y82" i="9"/>
  <c r="AA82" i="9" s="1"/>
  <c r="W82" i="9" s="1"/>
  <c r="Z82" i="9"/>
  <c r="X83" i="9"/>
  <c r="Y83" i="9"/>
  <c r="AA83" i="9" s="1"/>
  <c r="Z83" i="9"/>
  <c r="X84" i="9"/>
  <c r="Y84" i="9"/>
  <c r="AA84" i="9" s="1"/>
  <c r="W84" i="9" s="1"/>
  <c r="Z84" i="9"/>
  <c r="X85" i="9"/>
  <c r="Y85" i="9"/>
  <c r="AA85" i="9" s="1"/>
  <c r="Z85" i="9"/>
  <c r="X86" i="9"/>
  <c r="Y86" i="9"/>
  <c r="AA86" i="9" s="1"/>
  <c r="W86" i="9" s="1"/>
  <c r="Z86" i="9"/>
  <c r="X87" i="9"/>
  <c r="Y87" i="9"/>
  <c r="AA87" i="9" s="1"/>
  <c r="Z87" i="9"/>
  <c r="X88" i="9"/>
  <c r="Y88" i="9"/>
  <c r="AA88" i="9" s="1"/>
  <c r="W88" i="9" s="1"/>
  <c r="Z88" i="9"/>
  <c r="X89" i="9"/>
  <c r="Y89" i="9"/>
  <c r="AA89" i="9" s="1"/>
  <c r="Z89" i="9"/>
  <c r="X90" i="9"/>
  <c r="Y90" i="9"/>
  <c r="AA90" i="9" s="1"/>
  <c r="W90" i="9" s="1"/>
  <c r="Z90" i="9"/>
  <c r="X91" i="9"/>
  <c r="Y91" i="9"/>
  <c r="AA91" i="9" s="1"/>
  <c r="Z91" i="9"/>
  <c r="X92" i="9"/>
  <c r="Y92" i="9"/>
  <c r="AA92" i="9" s="1"/>
  <c r="W92" i="9" s="1"/>
  <c r="Z92" i="9"/>
  <c r="X93" i="9"/>
  <c r="Y93" i="9"/>
  <c r="AA93" i="9" s="1"/>
  <c r="Z93" i="9"/>
  <c r="X94" i="9"/>
  <c r="Y94" i="9"/>
  <c r="AA94" i="9" s="1"/>
  <c r="W94" i="9" s="1"/>
  <c r="Z94" i="9"/>
  <c r="X95" i="9"/>
  <c r="Y95" i="9"/>
  <c r="AA95" i="9" s="1"/>
  <c r="Z95" i="9"/>
  <c r="X96" i="9"/>
  <c r="Y96" i="9"/>
  <c r="AA96" i="9" s="1"/>
  <c r="W96" i="9" s="1"/>
  <c r="Z96" i="9"/>
  <c r="X97" i="9"/>
  <c r="Y97" i="9"/>
  <c r="AA97" i="9" s="1"/>
  <c r="Z97" i="9"/>
  <c r="X98" i="9"/>
  <c r="Y98" i="9"/>
  <c r="AA98" i="9" s="1"/>
  <c r="W98" i="9" s="1"/>
  <c r="Z98" i="9"/>
  <c r="X99" i="9"/>
  <c r="Y99" i="9"/>
  <c r="AA99" i="9" s="1"/>
  <c r="Z99" i="9"/>
  <c r="X100" i="9"/>
  <c r="Y100" i="9"/>
  <c r="AA100" i="9" s="1"/>
  <c r="W100" i="9" s="1"/>
  <c r="Z100" i="9"/>
  <c r="X101" i="9"/>
  <c r="Y101" i="9"/>
  <c r="AA101" i="9" s="1"/>
  <c r="Z101" i="9"/>
  <c r="X102" i="9"/>
  <c r="Y102" i="9"/>
  <c r="AA102" i="9" s="1"/>
  <c r="W102" i="9" s="1"/>
  <c r="Z102" i="9"/>
  <c r="X103" i="9"/>
  <c r="Y103" i="9"/>
  <c r="AA103" i="9" s="1"/>
  <c r="Z103" i="9"/>
  <c r="X104" i="9"/>
  <c r="Y104" i="9"/>
  <c r="AA104" i="9" s="1"/>
  <c r="W104" i="9" s="1"/>
  <c r="Z104" i="9"/>
  <c r="X105" i="9"/>
  <c r="Y105" i="9"/>
  <c r="AA105" i="9" s="1"/>
  <c r="Z105" i="9"/>
  <c r="X106" i="9"/>
  <c r="Y106" i="9"/>
  <c r="AA106" i="9" s="1"/>
  <c r="W106" i="9" s="1"/>
  <c r="Z106" i="9"/>
  <c r="X107" i="9"/>
  <c r="Y107" i="9"/>
  <c r="AA107" i="9" s="1"/>
  <c r="Z107" i="9"/>
  <c r="X108" i="9"/>
  <c r="Y108" i="9"/>
  <c r="AA108" i="9" s="1"/>
  <c r="W108" i="9" s="1"/>
  <c r="Z108" i="9"/>
  <c r="X109" i="9"/>
  <c r="Y109" i="9"/>
  <c r="AA109" i="9" s="1"/>
  <c r="Z109" i="9"/>
  <c r="X110" i="9"/>
  <c r="Y110" i="9"/>
  <c r="AA110" i="9" s="1"/>
  <c r="W110" i="9" s="1"/>
  <c r="Z110" i="9"/>
  <c r="X111" i="9"/>
  <c r="Y111" i="9"/>
  <c r="AA111" i="9" s="1"/>
  <c r="Z111" i="9"/>
  <c r="X112" i="9"/>
  <c r="Y112" i="9"/>
  <c r="AA112" i="9" s="1"/>
  <c r="W112" i="9" s="1"/>
  <c r="Z112" i="9"/>
  <c r="X113" i="9"/>
  <c r="Y113" i="9"/>
  <c r="AA113" i="9" s="1"/>
  <c r="Z113" i="9"/>
  <c r="X114" i="9"/>
  <c r="Y114" i="9"/>
  <c r="AA114" i="9" s="1"/>
  <c r="W114" i="9" s="1"/>
  <c r="Z114" i="9"/>
  <c r="X115" i="9"/>
  <c r="Y115" i="9"/>
  <c r="AA115" i="9" s="1"/>
  <c r="Z115" i="9"/>
  <c r="X116" i="9"/>
  <c r="Y116" i="9"/>
  <c r="AA116" i="9" s="1"/>
  <c r="W116" i="9" s="1"/>
  <c r="Z116" i="9"/>
  <c r="X117" i="9"/>
  <c r="Y117" i="9"/>
  <c r="AA117" i="9" s="1"/>
  <c r="Z117" i="9"/>
  <c r="X118" i="9"/>
  <c r="Y118" i="9"/>
  <c r="AA118" i="9" s="1"/>
  <c r="W118" i="9" s="1"/>
  <c r="Z118" i="9"/>
  <c r="X119" i="9"/>
  <c r="Y119" i="9"/>
  <c r="AA119" i="9" s="1"/>
  <c r="Z119" i="9"/>
  <c r="X120" i="9"/>
  <c r="Y120" i="9"/>
  <c r="AA120" i="9" s="1"/>
  <c r="W120" i="9" s="1"/>
  <c r="Z120" i="9"/>
  <c r="X121" i="9"/>
  <c r="Y121" i="9"/>
  <c r="AA121" i="9" s="1"/>
  <c r="Z121" i="9"/>
  <c r="X122" i="9"/>
  <c r="Y122" i="9"/>
  <c r="AA122" i="9" s="1"/>
  <c r="W122" i="9" s="1"/>
  <c r="Z122" i="9"/>
  <c r="X123" i="9"/>
  <c r="Y123" i="9"/>
  <c r="AA123" i="9" s="1"/>
  <c r="Z123" i="9"/>
  <c r="X124" i="9"/>
  <c r="Y124" i="9"/>
  <c r="AA124" i="9" s="1"/>
  <c r="W124" i="9" s="1"/>
  <c r="Z124" i="9"/>
  <c r="X125" i="9"/>
  <c r="Y125" i="9"/>
  <c r="AA125" i="9" s="1"/>
  <c r="Z125" i="9"/>
  <c r="X126" i="9"/>
  <c r="Y126" i="9"/>
  <c r="AA126" i="9" s="1"/>
  <c r="W126" i="9" s="1"/>
  <c r="AB126" i="9" s="1"/>
  <c r="B126" i="9" s="1"/>
  <c r="Z126" i="9"/>
  <c r="X127" i="9"/>
  <c r="Y127" i="9"/>
  <c r="AA127" i="9" s="1"/>
  <c r="Z127" i="9"/>
  <c r="X128" i="9"/>
  <c r="Y128" i="9"/>
  <c r="Z128" i="9"/>
  <c r="AA128" i="9"/>
  <c r="W128" i="9" s="1"/>
  <c r="X129" i="9"/>
  <c r="Y129" i="9"/>
  <c r="Z129" i="9"/>
  <c r="AA129" i="9"/>
  <c r="X130" i="9"/>
  <c r="Y130" i="9"/>
  <c r="Z130" i="9"/>
  <c r="AA130" i="9"/>
  <c r="X131" i="9"/>
  <c r="Y131" i="9"/>
  <c r="Z131" i="9"/>
  <c r="W131" i="9" s="1"/>
  <c r="AA131" i="9"/>
  <c r="X132" i="9"/>
  <c r="Y132" i="9"/>
  <c r="AA132" i="9" s="1"/>
  <c r="Z132" i="9"/>
  <c r="W132" i="9" s="1"/>
  <c r="X133" i="9"/>
  <c r="Y133" i="9"/>
  <c r="AA133" i="9" s="1"/>
  <c r="Z133" i="9"/>
  <c r="X134" i="9"/>
  <c r="Y134" i="9"/>
  <c r="AA134" i="9" s="1"/>
  <c r="Z134" i="9"/>
  <c r="W134" i="9" s="1"/>
  <c r="X135" i="9"/>
  <c r="Y135" i="9"/>
  <c r="AA135" i="9" s="1"/>
  <c r="W135" i="9" s="1"/>
  <c r="Z135" i="9"/>
  <c r="X136" i="9"/>
  <c r="Y136" i="9"/>
  <c r="AA136" i="9" s="1"/>
  <c r="Z136" i="9"/>
  <c r="W136" i="9" s="1"/>
  <c r="X137" i="9"/>
  <c r="Y137" i="9"/>
  <c r="AA137" i="9" s="1"/>
  <c r="Z137" i="9"/>
  <c r="X138" i="9"/>
  <c r="Y138" i="9"/>
  <c r="AA138" i="9" s="1"/>
  <c r="Z138" i="9"/>
  <c r="W138" i="9" s="1"/>
  <c r="X139" i="9"/>
  <c r="Y139" i="9"/>
  <c r="AA139" i="9" s="1"/>
  <c r="W139" i="9" s="1"/>
  <c r="Z139" i="9"/>
  <c r="X140" i="9"/>
  <c r="Y140" i="9"/>
  <c r="AA140" i="9" s="1"/>
  <c r="Z140" i="9"/>
  <c r="W140" i="9" s="1"/>
  <c r="X141" i="9"/>
  <c r="Y141" i="9"/>
  <c r="AA141" i="9" s="1"/>
  <c r="Z141" i="9"/>
  <c r="X142" i="9"/>
  <c r="Y142" i="9"/>
  <c r="AA142" i="9" s="1"/>
  <c r="Z142" i="9"/>
  <c r="W142" i="9" s="1"/>
  <c r="X143" i="9"/>
  <c r="Y143" i="9"/>
  <c r="AA143" i="9" s="1"/>
  <c r="W143" i="9" s="1"/>
  <c r="Z143" i="9"/>
  <c r="X144" i="9"/>
  <c r="Y144" i="9"/>
  <c r="AA144" i="9" s="1"/>
  <c r="Z144" i="9"/>
  <c r="W144" i="9" s="1"/>
  <c r="X145" i="9"/>
  <c r="Y145" i="9"/>
  <c r="AA145" i="9" s="1"/>
  <c r="Z145" i="9"/>
  <c r="X146" i="9"/>
  <c r="Y146" i="9"/>
  <c r="AA146" i="9" s="1"/>
  <c r="Z146" i="9"/>
  <c r="W146" i="9" s="1"/>
  <c r="X147" i="9"/>
  <c r="Y147" i="9"/>
  <c r="AA147" i="9" s="1"/>
  <c r="W147" i="9" s="1"/>
  <c r="Z147" i="9"/>
  <c r="X148" i="9"/>
  <c r="Y148" i="9"/>
  <c r="AA148" i="9" s="1"/>
  <c r="Z148" i="9"/>
  <c r="W148" i="9" s="1"/>
  <c r="X149" i="9"/>
  <c r="Y149" i="9"/>
  <c r="AA149" i="9" s="1"/>
  <c r="Z149" i="9"/>
  <c r="X150" i="9"/>
  <c r="Y150" i="9"/>
  <c r="AA150" i="9" s="1"/>
  <c r="Z150" i="9"/>
  <c r="W150" i="9" s="1"/>
  <c r="X151" i="9"/>
  <c r="Y151" i="9"/>
  <c r="AA151" i="9" s="1"/>
  <c r="W151" i="9" s="1"/>
  <c r="Z151" i="9"/>
  <c r="X152" i="9"/>
  <c r="Y152" i="9"/>
  <c r="AA152" i="9" s="1"/>
  <c r="Z152" i="9"/>
  <c r="W152" i="9" s="1"/>
  <c r="X153" i="9"/>
  <c r="Y153" i="9"/>
  <c r="AA153" i="9" s="1"/>
  <c r="Z153" i="9"/>
  <c r="X154" i="9"/>
  <c r="Y154" i="9"/>
  <c r="AA154" i="9" s="1"/>
  <c r="Z154" i="9"/>
  <c r="W154" i="9" s="1"/>
  <c r="X155" i="9"/>
  <c r="Y155" i="9"/>
  <c r="AA155" i="9" s="1"/>
  <c r="W155" i="9" s="1"/>
  <c r="Z155" i="9"/>
  <c r="X156" i="9"/>
  <c r="Y156" i="9"/>
  <c r="AA156" i="9" s="1"/>
  <c r="Z156" i="9"/>
  <c r="W156" i="9" s="1"/>
  <c r="X157" i="9"/>
  <c r="Y157" i="9"/>
  <c r="AA157" i="9" s="1"/>
  <c r="Z157" i="9"/>
  <c r="X158" i="9"/>
  <c r="Y158" i="9"/>
  <c r="AA158" i="9" s="1"/>
  <c r="Z158" i="9"/>
  <c r="W158" i="9" s="1"/>
  <c r="X159" i="9"/>
  <c r="Y159" i="9"/>
  <c r="AA159" i="9" s="1"/>
  <c r="W159" i="9" s="1"/>
  <c r="Z159" i="9"/>
  <c r="X160" i="9"/>
  <c r="Y160" i="9"/>
  <c r="AA160" i="9" s="1"/>
  <c r="Z160" i="9"/>
  <c r="W160" i="9" s="1"/>
  <c r="X161" i="9"/>
  <c r="Y161" i="9"/>
  <c r="AA161" i="9" s="1"/>
  <c r="Z161" i="9"/>
  <c r="X162" i="9"/>
  <c r="Y162" i="9"/>
  <c r="AA162" i="9" s="1"/>
  <c r="Z162" i="9"/>
  <c r="W162" i="9" s="1"/>
  <c r="X163" i="9"/>
  <c r="Y163" i="9"/>
  <c r="AA163" i="9" s="1"/>
  <c r="W163" i="9" s="1"/>
  <c r="Z163" i="9"/>
  <c r="X164" i="9"/>
  <c r="Y164" i="9"/>
  <c r="AA164" i="9" s="1"/>
  <c r="Z164" i="9"/>
  <c r="W164" i="9" s="1"/>
  <c r="X165" i="9"/>
  <c r="Y165" i="9"/>
  <c r="AA165" i="9" s="1"/>
  <c r="Z165" i="9"/>
  <c r="X166" i="9"/>
  <c r="Y166" i="9"/>
  <c r="AA166" i="9" s="1"/>
  <c r="Z166" i="9"/>
  <c r="W166" i="9" s="1"/>
  <c r="X167" i="9"/>
  <c r="Y167" i="9"/>
  <c r="AA167" i="9" s="1"/>
  <c r="W167" i="9" s="1"/>
  <c r="Z167" i="9"/>
  <c r="X168" i="9"/>
  <c r="Y168" i="9"/>
  <c r="AA168" i="9" s="1"/>
  <c r="Z168" i="9"/>
  <c r="W168" i="9" s="1"/>
  <c r="X169" i="9"/>
  <c r="Y169" i="9"/>
  <c r="AA169" i="9" s="1"/>
  <c r="Z169" i="9"/>
  <c r="X170" i="9"/>
  <c r="Y170" i="9"/>
  <c r="AA170" i="9" s="1"/>
  <c r="Z170" i="9"/>
  <c r="W170" i="9" s="1"/>
  <c r="X171" i="9"/>
  <c r="Y171" i="9"/>
  <c r="AA171" i="9" s="1"/>
  <c r="W171" i="9" s="1"/>
  <c r="Z171" i="9"/>
  <c r="X172" i="9"/>
  <c r="Y172" i="9"/>
  <c r="AA172" i="9" s="1"/>
  <c r="Z172" i="9"/>
  <c r="W172" i="9" s="1"/>
  <c r="X173" i="9"/>
  <c r="Y173" i="9"/>
  <c r="AA173" i="9" s="1"/>
  <c r="Z173" i="9"/>
  <c r="X174" i="9"/>
  <c r="Y174" i="9"/>
  <c r="AA174" i="9" s="1"/>
  <c r="Z174" i="9"/>
  <c r="W174" i="9" s="1"/>
  <c r="X175" i="9"/>
  <c r="Y175" i="9"/>
  <c r="AA175" i="9" s="1"/>
  <c r="W175" i="9" s="1"/>
  <c r="Z175" i="9"/>
  <c r="X176" i="9"/>
  <c r="Y176" i="9"/>
  <c r="AA176" i="9" s="1"/>
  <c r="Z176" i="9"/>
  <c r="W176" i="9" s="1"/>
  <c r="X177" i="9"/>
  <c r="Y177" i="9"/>
  <c r="AA177" i="9" s="1"/>
  <c r="Z177" i="9"/>
  <c r="X178" i="9"/>
  <c r="Y178" i="9"/>
  <c r="AA178" i="9" s="1"/>
  <c r="Z178" i="9"/>
  <c r="W178" i="9" s="1"/>
  <c r="X179" i="9"/>
  <c r="Y179" i="9"/>
  <c r="AA179" i="9" s="1"/>
  <c r="W179" i="9" s="1"/>
  <c r="Z179" i="9"/>
  <c r="X180" i="9"/>
  <c r="Y180" i="9"/>
  <c r="AA180" i="9" s="1"/>
  <c r="Z180" i="9"/>
  <c r="W180" i="9" s="1"/>
  <c r="X181" i="9"/>
  <c r="Y181" i="9"/>
  <c r="AA181" i="9" s="1"/>
  <c r="Z181" i="9"/>
  <c r="X182" i="9"/>
  <c r="Y182" i="9"/>
  <c r="AA182" i="9" s="1"/>
  <c r="Z182" i="9"/>
  <c r="W182" i="9" s="1"/>
  <c r="X183" i="9"/>
  <c r="Y183" i="9"/>
  <c r="AA183" i="9" s="1"/>
  <c r="W183" i="9" s="1"/>
  <c r="Z183" i="9"/>
  <c r="X184" i="9"/>
  <c r="Y184" i="9"/>
  <c r="AA184" i="9" s="1"/>
  <c r="Z184" i="9"/>
  <c r="W184" i="9" s="1"/>
  <c r="X185" i="9"/>
  <c r="Y185" i="9"/>
  <c r="AA185" i="9" s="1"/>
  <c r="Z185" i="9"/>
  <c r="X186" i="9"/>
  <c r="Y186" i="9"/>
  <c r="AA186" i="9" s="1"/>
  <c r="Z186" i="9"/>
  <c r="W186" i="9" s="1"/>
  <c r="X187" i="9"/>
  <c r="Y187" i="9"/>
  <c r="AA187" i="9" s="1"/>
  <c r="W187" i="9" s="1"/>
  <c r="Z187" i="9"/>
  <c r="X188" i="9"/>
  <c r="Y188" i="9"/>
  <c r="AA188" i="9" s="1"/>
  <c r="Z188" i="9"/>
  <c r="W188" i="9" s="1"/>
  <c r="X189" i="9"/>
  <c r="Y189" i="9"/>
  <c r="AA189" i="9" s="1"/>
  <c r="Z189" i="9"/>
  <c r="X190" i="9"/>
  <c r="Y190" i="9"/>
  <c r="AA190" i="9" s="1"/>
  <c r="Z190" i="9"/>
  <c r="W190" i="9" s="1"/>
  <c r="X191" i="9"/>
  <c r="Y191" i="9"/>
  <c r="AA191" i="9" s="1"/>
  <c r="W191" i="9" s="1"/>
  <c r="Z191" i="9"/>
  <c r="X192" i="9"/>
  <c r="Y192" i="9"/>
  <c r="AA192" i="9" s="1"/>
  <c r="Z192" i="9"/>
  <c r="W192" i="9" s="1"/>
  <c r="X193" i="9"/>
  <c r="Y193" i="9"/>
  <c r="AA193" i="9" s="1"/>
  <c r="Z193" i="9"/>
  <c r="W193" i="9" s="1"/>
  <c r="X194" i="9"/>
  <c r="Y194" i="9"/>
  <c r="AA194" i="9" s="1"/>
  <c r="Z194" i="9"/>
  <c r="W194" i="9" s="1"/>
  <c r="X195" i="9"/>
  <c r="Y195" i="9"/>
  <c r="AA195" i="9" s="1"/>
  <c r="Z195" i="9"/>
  <c r="X196" i="9"/>
  <c r="Y196" i="9"/>
  <c r="AA196" i="9" s="1"/>
  <c r="Z196" i="9"/>
  <c r="W196" i="9" s="1"/>
  <c r="X197" i="9"/>
  <c r="Y197" i="9"/>
  <c r="AA197" i="9" s="1"/>
  <c r="Z197" i="9"/>
  <c r="X198" i="9"/>
  <c r="Y198" i="9"/>
  <c r="AA198" i="9" s="1"/>
  <c r="Z198" i="9"/>
  <c r="W198" i="9" s="1"/>
  <c r="X199" i="9"/>
  <c r="Y199" i="9"/>
  <c r="AA199" i="9" s="1"/>
  <c r="W199" i="9" s="1"/>
  <c r="Z199" i="9"/>
  <c r="X200" i="9"/>
  <c r="Y200" i="9"/>
  <c r="AA200" i="9" s="1"/>
  <c r="Z200" i="9"/>
  <c r="W200" i="9" s="1"/>
  <c r="X201" i="9"/>
  <c r="Y201" i="9"/>
  <c r="AA201" i="9" s="1"/>
  <c r="Z201" i="9"/>
  <c r="X202" i="9"/>
  <c r="Y202" i="9"/>
  <c r="AA202" i="9" s="1"/>
  <c r="Z202" i="9"/>
  <c r="W202" i="9" s="1"/>
  <c r="X203" i="9"/>
  <c r="Y203" i="9"/>
  <c r="AA203" i="9" s="1"/>
  <c r="W203" i="9" s="1"/>
  <c r="Z203" i="9"/>
  <c r="X204" i="9"/>
  <c r="Y204" i="9"/>
  <c r="AA204" i="9" s="1"/>
  <c r="Z204" i="9"/>
  <c r="W204" i="9" s="1"/>
  <c r="X205" i="9"/>
  <c r="Y205" i="9"/>
  <c r="AA205" i="9" s="1"/>
  <c r="Z205" i="9"/>
  <c r="X206" i="9"/>
  <c r="Y206" i="9"/>
  <c r="AA206" i="9" s="1"/>
  <c r="Z206" i="9"/>
  <c r="W206" i="9" s="1"/>
  <c r="X207" i="9"/>
  <c r="Y207" i="9"/>
  <c r="AA207" i="9" s="1"/>
  <c r="W207" i="9" s="1"/>
  <c r="Z207" i="9"/>
  <c r="X208" i="9"/>
  <c r="Y208" i="9"/>
  <c r="AA208" i="9" s="1"/>
  <c r="Z208" i="9"/>
  <c r="W208" i="9" s="1"/>
  <c r="X209" i="9"/>
  <c r="Y209" i="9"/>
  <c r="AA209" i="9" s="1"/>
  <c r="Z209" i="9"/>
  <c r="X210" i="9"/>
  <c r="Y210" i="9"/>
  <c r="AA210" i="9" s="1"/>
  <c r="Z210" i="9"/>
  <c r="W210" i="9" s="1"/>
  <c r="X211" i="9"/>
  <c r="Y211" i="9"/>
  <c r="AA211" i="9" s="1"/>
  <c r="Z211" i="9"/>
  <c r="X212" i="9"/>
  <c r="Y212" i="9"/>
  <c r="AA212" i="9" s="1"/>
  <c r="Z212" i="9"/>
  <c r="W212" i="9" s="1"/>
  <c r="X213" i="9"/>
  <c r="Y213" i="9"/>
  <c r="AA213" i="9" s="1"/>
  <c r="Z213" i="9"/>
  <c r="X214" i="9"/>
  <c r="Y214" i="9"/>
  <c r="AA214" i="9" s="1"/>
  <c r="Z214" i="9"/>
  <c r="W214" i="9" s="1"/>
  <c r="X215" i="9"/>
  <c r="Y215" i="9"/>
  <c r="AA215" i="9" s="1"/>
  <c r="W215" i="9" s="1"/>
  <c r="Z215" i="9"/>
  <c r="X216" i="9"/>
  <c r="Y216" i="9"/>
  <c r="AA216" i="9" s="1"/>
  <c r="Z216" i="9"/>
  <c r="W216" i="9" s="1"/>
  <c r="X217" i="9"/>
  <c r="Y217" i="9"/>
  <c r="AA217" i="9" s="1"/>
  <c r="Z217" i="9"/>
  <c r="X218" i="9"/>
  <c r="Y218" i="9"/>
  <c r="AA218" i="9" s="1"/>
  <c r="Z218" i="9"/>
  <c r="W218" i="9" s="1"/>
  <c r="AJ6" i="9"/>
  <c r="AJ7" i="9"/>
  <c r="AJ8" i="9"/>
  <c r="AJ9" i="9"/>
  <c r="AJ10" i="9"/>
  <c r="AJ11" i="9"/>
  <c r="AJ12" i="9"/>
  <c r="AJ13" i="9"/>
  <c r="AJ14" i="9"/>
  <c r="AJ15" i="9"/>
  <c r="AJ16" i="9"/>
  <c r="AJ17" i="9"/>
  <c r="AJ18" i="9"/>
  <c r="AI7" i="9"/>
  <c r="AI16" i="9"/>
  <c r="AI17" i="9"/>
  <c r="AI18" i="9"/>
  <c r="AI6" i="9"/>
  <c r="U8" i="9"/>
  <c r="U9" i="9" s="1"/>
  <c r="U7" i="9"/>
  <c r="X18" i="9"/>
  <c r="Y18" i="9"/>
  <c r="AA18" i="9" s="1"/>
  <c r="X17" i="9"/>
  <c r="Y17" i="9"/>
  <c r="AA17" i="9" s="1"/>
  <c r="X16" i="9"/>
  <c r="Y16" i="9"/>
  <c r="AA16" i="9" s="1"/>
  <c r="X15" i="9"/>
  <c r="X14" i="9"/>
  <c r="X13" i="9"/>
  <c r="X12" i="9"/>
  <c r="X11" i="9"/>
  <c r="X10" i="9"/>
  <c r="X9" i="9"/>
  <c r="X8" i="9"/>
  <c r="X7" i="9"/>
  <c r="Y7" i="9"/>
  <c r="AA7" i="9" s="1"/>
  <c r="X6" i="9"/>
  <c r="Z6" i="9"/>
  <c r="Y6" i="9"/>
  <c r="AA6" i="9" s="1"/>
  <c r="G4" i="9"/>
  <c r="P2" i="9"/>
  <c r="G1" i="9"/>
  <c r="E158" i="15" l="1"/>
  <c r="O165" i="15"/>
  <c r="E120" i="15"/>
  <c r="O164" i="15"/>
  <c r="S111" i="15"/>
  <c r="E107" i="15"/>
  <c r="AL107" i="15" s="1"/>
  <c r="E202" i="15"/>
  <c r="R202" i="15" s="1"/>
  <c r="H114" i="15"/>
  <c r="K114" i="15" s="1"/>
  <c r="E79" i="15"/>
  <c r="S67" i="15"/>
  <c r="E85" i="15"/>
  <c r="R85" i="15" s="1"/>
  <c r="S203" i="15"/>
  <c r="E155" i="15"/>
  <c r="AL155" i="15" s="1"/>
  <c r="E74" i="15"/>
  <c r="R74" i="15" s="1"/>
  <c r="E83" i="15"/>
  <c r="R83" i="15" s="1"/>
  <c r="S87" i="15"/>
  <c r="E112" i="15"/>
  <c r="R112" i="15" s="1"/>
  <c r="H142" i="15"/>
  <c r="K142" i="15" s="1"/>
  <c r="S211" i="15"/>
  <c r="H110" i="15"/>
  <c r="K110" i="15" s="1"/>
  <c r="E102" i="15"/>
  <c r="R102" i="15" s="1"/>
  <c r="S68" i="15"/>
  <c r="E67" i="15"/>
  <c r="R67" i="15" s="1"/>
  <c r="H97" i="15"/>
  <c r="K97" i="15" s="1"/>
  <c r="O149" i="15"/>
  <c r="S117" i="15"/>
  <c r="O193" i="15"/>
  <c r="E118" i="15"/>
  <c r="R118" i="15" s="1"/>
  <c r="E76" i="15"/>
  <c r="AL76" i="15" s="1"/>
  <c r="H218" i="15"/>
  <c r="K218" i="15" s="1"/>
  <c r="E139" i="15"/>
  <c r="AL139" i="15" s="1"/>
  <c r="H193" i="15"/>
  <c r="S207" i="15"/>
  <c r="E114" i="15"/>
  <c r="AL114" i="15" s="1"/>
  <c r="E153" i="15"/>
  <c r="R153" i="15" s="1"/>
  <c r="E201" i="15"/>
  <c r="R201" i="15" s="1"/>
  <c r="S216" i="15"/>
  <c r="E123" i="15"/>
  <c r="R123" i="15" s="1"/>
  <c r="H81" i="15"/>
  <c r="K81" i="15" s="1"/>
  <c r="S80" i="15"/>
  <c r="E97" i="15"/>
  <c r="AL97" i="15" s="1"/>
  <c r="E113" i="15"/>
  <c r="R113" i="15" s="1"/>
  <c r="E122" i="15"/>
  <c r="E99" i="15"/>
  <c r="R99" i="15" s="1"/>
  <c r="H157" i="15"/>
  <c r="K157" i="15" s="1"/>
  <c r="H163" i="15"/>
  <c r="K163" i="15" s="1"/>
  <c r="E94" i="15"/>
  <c r="AL94" i="15" s="1"/>
  <c r="D192" i="15"/>
  <c r="Q192" i="15" s="1"/>
  <c r="O211" i="15"/>
  <c r="E137" i="15"/>
  <c r="R137" i="15" s="1"/>
  <c r="E159" i="15"/>
  <c r="R159" i="15" s="1"/>
  <c r="O76" i="15"/>
  <c r="H98" i="15"/>
  <c r="K98" i="15" s="1"/>
  <c r="E75" i="15"/>
  <c r="R75" i="15" s="1"/>
  <c r="E218" i="15"/>
  <c r="R218" i="15" s="1"/>
  <c r="E93" i="15"/>
  <c r="AL93" i="15" s="1"/>
  <c r="S104" i="15"/>
  <c r="S145" i="15"/>
  <c r="H78" i="15"/>
  <c r="K78" i="15" s="1"/>
  <c r="S109" i="15"/>
  <c r="E89" i="15"/>
  <c r="AL89" i="15" s="1"/>
  <c r="S151" i="15"/>
  <c r="O73" i="15"/>
  <c r="H147" i="15"/>
  <c r="K147" i="15" s="1"/>
  <c r="E82" i="15"/>
  <c r="R82" i="15" s="1"/>
  <c r="H214" i="15"/>
  <c r="K214" i="15" s="1"/>
  <c r="E194" i="15"/>
  <c r="AL194" i="15" s="1"/>
  <c r="E104" i="15"/>
  <c r="AL104" i="15" s="1"/>
  <c r="E95" i="15"/>
  <c r="R95" i="15" s="1"/>
  <c r="O87" i="15"/>
  <c r="S201" i="15"/>
  <c r="E131" i="15"/>
  <c r="AL131" i="15" s="1"/>
  <c r="S161" i="15"/>
  <c r="O99" i="15"/>
  <c r="E216" i="15"/>
  <c r="R216" i="15" s="1"/>
  <c r="S94" i="15"/>
  <c r="E81" i="15"/>
  <c r="R81" i="15" s="1"/>
  <c r="O214" i="15"/>
  <c r="S167" i="15"/>
  <c r="E144" i="15"/>
  <c r="R144" i="15" s="1"/>
  <c r="S122" i="15"/>
  <c r="S83" i="15"/>
  <c r="S169" i="15"/>
  <c r="H84" i="15"/>
  <c r="K84" i="15" s="1"/>
  <c r="O75" i="15"/>
  <c r="H88" i="15"/>
  <c r="K88" i="15" s="1"/>
  <c r="E92" i="15"/>
  <c r="AL92" i="15" s="1"/>
  <c r="E88" i="15"/>
  <c r="AL88" i="15" s="1"/>
  <c r="O145" i="15"/>
  <c r="H123" i="15"/>
  <c r="D123" i="15" s="1"/>
  <c r="H105" i="15"/>
  <c r="K105" i="15" s="1"/>
  <c r="E197" i="15"/>
  <c r="R197" i="15" s="1"/>
  <c r="S85" i="15"/>
  <c r="D138" i="15"/>
  <c r="Q138" i="15" s="1"/>
  <c r="D118" i="15"/>
  <c r="Q118" i="15" s="1"/>
  <c r="D66" i="15"/>
  <c r="Q66" i="15" s="1"/>
  <c r="S91" i="15"/>
  <c r="E78" i="15"/>
  <c r="AL78" i="15" s="1"/>
  <c r="S101" i="15"/>
  <c r="E91" i="15"/>
  <c r="AL91" i="15" s="1"/>
  <c r="S131" i="15"/>
  <c r="E77" i="15"/>
  <c r="AL77" i="15" s="1"/>
  <c r="D90" i="15"/>
  <c r="Q90" i="15" s="1"/>
  <c r="S197" i="15"/>
  <c r="E207" i="15"/>
  <c r="AL207" i="15" s="1"/>
  <c r="O169" i="15"/>
  <c r="E115" i="15"/>
  <c r="AL115" i="15" s="1"/>
  <c r="E198" i="15"/>
  <c r="R198" i="15" s="1"/>
  <c r="E157" i="15"/>
  <c r="R157" i="15" s="1"/>
  <c r="D106" i="15"/>
  <c r="AK106" i="15" s="1"/>
  <c r="D135" i="15"/>
  <c r="Q135" i="15" s="1"/>
  <c r="H77" i="15"/>
  <c r="K77" i="15" s="1"/>
  <c r="H159" i="15"/>
  <c r="K159" i="15" s="1"/>
  <c r="E72" i="15"/>
  <c r="R72" i="15" s="1"/>
  <c r="E110" i="15"/>
  <c r="R110" i="15" s="1"/>
  <c r="E204" i="15"/>
  <c r="R204" i="15" s="1"/>
  <c r="E103" i="15"/>
  <c r="R103" i="15" s="1"/>
  <c r="H75" i="15"/>
  <c r="K75" i="15" s="1"/>
  <c r="E98" i="15"/>
  <c r="AL98" i="15" s="1"/>
  <c r="D141" i="15"/>
  <c r="Q141" i="15" s="1"/>
  <c r="E147" i="15"/>
  <c r="R147" i="15" s="1"/>
  <c r="D160" i="15"/>
  <c r="AK160" i="15" s="1"/>
  <c r="E84" i="15"/>
  <c r="AL84" i="15" s="1"/>
  <c r="E163" i="15"/>
  <c r="AL163" i="15" s="1"/>
  <c r="S76" i="15"/>
  <c r="D155" i="15"/>
  <c r="Q155" i="15" s="1"/>
  <c r="D166" i="15"/>
  <c r="Q166" i="15" s="1"/>
  <c r="O115" i="15"/>
  <c r="D159" i="15"/>
  <c r="Q159" i="15" s="1"/>
  <c r="D140" i="15"/>
  <c r="AK140" i="15" s="1"/>
  <c r="D154" i="15"/>
  <c r="Q154" i="15" s="1"/>
  <c r="E142" i="15"/>
  <c r="R142" i="15" s="1"/>
  <c r="H96" i="15"/>
  <c r="K96" i="15" s="1"/>
  <c r="E71" i="15"/>
  <c r="R71" i="15" s="1"/>
  <c r="H108" i="15"/>
  <c r="D108" i="15" s="1"/>
  <c r="D151" i="15"/>
  <c r="Q151" i="15" s="1"/>
  <c r="E151" i="15"/>
  <c r="R151" i="15" s="1"/>
  <c r="H73" i="15"/>
  <c r="K73" i="15" s="1"/>
  <c r="E80" i="15"/>
  <c r="AL80" i="15" s="1"/>
  <c r="O79" i="15"/>
  <c r="D100" i="15"/>
  <c r="AK100" i="15" s="1"/>
  <c r="K89" i="15"/>
  <c r="D89" i="15"/>
  <c r="Q89" i="15" s="1"/>
  <c r="D86" i="15"/>
  <c r="AK86" i="15" s="1"/>
  <c r="E108" i="15"/>
  <c r="R108" i="15" s="1"/>
  <c r="D132" i="15"/>
  <c r="AK132" i="15" s="1"/>
  <c r="H95" i="15"/>
  <c r="D210" i="15"/>
  <c r="H139" i="15"/>
  <c r="D139" i="15" s="1"/>
  <c r="S79" i="15"/>
  <c r="O117" i="15"/>
  <c r="O163" i="15"/>
  <c r="D195" i="15"/>
  <c r="Q195" i="15" s="1"/>
  <c r="O100" i="15"/>
  <c r="S89" i="15"/>
  <c r="E119" i="15"/>
  <c r="R119" i="15" s="1"/>
  <c r="D102" i="15"/>
  <c r="Q102" i="15" s="1"/>
  <c r="H93" i="15"/>
  <c r="K93" i="15" s="1"/>
  <c r="D109" i="15"/>
  <c r="Q109" i="15" s="1"/>
  <c r="D169" i="15"/>
  <c r="Q169" i="15" s="1"/>
  <c r="D85" i="15"/>
  <c r="AK85" i="15" s="1"/>
  <c r="D124" i="15"/>
  <c r="Q124" i="15" s="1"/>
  <c r="E68" i="15"/>
  <c r="R68" i="15" s="1"/>
  <c r="D168" i="15"/>
  <c r="AK168" i="15" s="1"/>
  <c r="D208" i="15"/>
  <c r="AK208" i="15" s="1"/>
  <c r="D101" i="15"/>
  <c r="AK101" i="15" s="1"/>
  <c r="D92" i="15"/>
  <c r="Q92" i="15" s="1"/>
  <c r="D107" i="15"/>
  <c r="Q107" i="15" s="1"/>
  <c r="E105" i="15"/>
  <c r="R105" i="15" s="1"/>
  <c r="D104" i="15"/>
  <c r="Q104" i="15" s="1"/>
  <c r="D161" i="15"/>
  <c r="Q161" i="15" s="1"/>
  <c r="D67" i="15"/>
  <c r="Q67" i="15" s="1"/>
  <c r="D167" i="15"/>
  <c r="Q167" i="15" s="1"/>
  <c r="D143" i="15"/>
  <c r="Q143" i="15" s="1"/>
  <c r="M7" i="15"/>
  <c r="P7" i="15" s="1"/>
  <c r="D144" i="15"/>
  <c r="AK144" i="15" s="1"/>
  <c r="D136" i="15"/>
  <c r="AK136" i="15" s="1"/>
  <c r="D194" i="15"/>
  <c r="Q194" i="15" s="1"/>
  <c r="D206" i="15"/>
  <c r="AK206" i="15" s="1"/>
  <c r="D202" i="15"/>
  <c r="AK202" i="15" s="1"/>
  <c r="D99" i="15"/>
  <c r="Q99" i="15" s="1"/>
  <c r="D91" i="15"/>
  <c r="AK91" i="15" s="1"/>
  <c r="D145" i="15"/>
  <c r="Q145" i="15" s="1"/>
  <c r="D105" i="15"/>
  <c r="Q105" i="15" s="1"/>
  <c r="D150" i="15"/>
  <c r="G7" i="15"/>
  <c r="J7" i="15" s="1"/>
  <c r="D213" i="15"/>
  <c r="Q213" i="15" s="1"/>
  <c r="D130" i="15"/>
  <c r="Q130" i="15" s="1"/>
  <c r="D137" i="15"/>
  <c r="D68" i="15"/>
  <c r="Q68" i="15" s="1"/>
  <c r="D203" i="15"/>
  <c r="Q203" i="15" s="1"/>
  <c r="D83" i="15"/>
  <c r="Q83" i="15" s="1"/>
  <c r="D158" i="15"/>
  <c r="AK12" i="21"/>
  <c r="G15" i="21"/>
  <c r="J15" i="21" s="1"/>
  <c r="M15" i="21"/>
  <c r="P15" i="21" s="1"/>
  <c r="N15" i="21"/>
  <c r="L15" i="21" s="1"/>
  <c r="O15" i="21" s="1"/>
  <c r="R149" i="15"/>
  <c r="AL149" i="15"/>
  <c r="K200" i="15"/>
  <c r="D200" i="15"/>
  <c r="J173" i="15"/>
  <c r="S70" i="15"/>
  <c r="H70" i="15"/>
  <c r="K70" i="15" s="1"/>
  <c r="S189" i="15"/>
  <c r="H189" i="15"/>
  <c r="K189" i="15" s="1"/>
  <c r="H190" i="15"/>
  <c r="K190" i="15" s="1"/>
  <c r="S190" i="15"/>
  <c r="J182" i="15"/>
  <c r="U10" i="9"/>
  <c r="AI9" i="9"/>
  <c r="O7" i="15"/>
  <c r="K127" i="15"/>
  <c r="D127" i="15"/>
  <c r="K115" i="15"/>
  <c r="D115" i="15"/>
  <c r="H188" i="15"/>
  <c r="K188" i="15" s="1"/>
  <c r="S188" i="15"/>
  <c r="J184" i="15"/>
  <c r="J180" i="15"/>
  <c r="J176" i="15"/>
  <c r="O172" i="15"/>
  <c r="E172" i="15"/>
  <c r="R195" i="15"/>
  <c r="AL195" i="15"/>
  <c r="K80" i="15"/>
  <c r="D80" i="15"/>
  <c r="R208" i="15"/>
  <c r="AL208" i="15"/>
  <c r="R192" i="15"/>
  <c r="AL192" i="15"/>
  <c r="K129" i="15"/>
  <c r="D129" i="15"/>
  <c r="K121" i="15"/>
  <c r="D121" i="15"/>
  <c r="R97" i="15"/>
  <c r="K103" i="15"/>
  <c r="D103" i="15"/>
  <c r="K87" i="15"/>
  <c r="D87" i="15"/>
  <c r="E171" i="15"/>
  <c r="O171" i="15"/>
  <c r="AC131" i="9"/>
  <c r="C131" i="9" s="1"/>
  <c r="AB131" i="9"/>
  <c r="B131" i="9" s="1"/>
  <c r="K205" i="15"/>
  <c r="D205" i="15"/>
  <c r="K156" i="15"/>
  <c r="D156" i="15"/>
  <c r="O174" i="15"/>
  <c r="E174" i="15"/>
  <c r="J186" i="15"/>
  <c r="AC75" i="9"/>
  <c r="C75" i="9" s="1"/>
  <c r="AB75" i="9"/>
  <c r="B75" i="9" s="1"/>
  <c r="W217" i="9"/>
  <c r="W213" i="9"/>
  <c r="W209" i="9"/>
  <c r="W201" i="9"/>
  <c r="AC201" i="9" s="1"/>
  <c r="W197" i="9"/>
  <c r="W185" i="9"/>
  <c r="W181" i="9"/>
  <c r="W177" i="9"/>
  <c r="AC177" i="9" s="1"/>
  <c r="W173" i="9"/>
  <c r="W165" i="9"/>
  <c r="W157" i="9"/>
  <c r="W153" i="9"/>
  <c r="AC153" i="9" s="1"/>
  <c r="W149" i="9"/>
  <c r="W141" i="9"/>
  <c r="W137" i="9"/>
  <c r="K113" i="15"/>
  <c r="D113" i="15"/>
  <c r="K112" i="15"/>
  <c r="D112" i="15"/>
  <c r="K120" i="15"/>
  <c r="D120" i="15"/>
  <c r="R111" i="15"/>
  <c r="AL111" i="15"/>
  <c r="R210" i="15"/>
  <c r="AL210" i="15"/>
  <c r="O175" i="15"/>
  <c r="E175" i="15"/>
  <c r="E69" i="15"/>
  <c r="R69" i="15" s="1"/>
  <c r="O69" i="15"/>
  <c r="R213" i="15"/>
  <c r="AL213" i="15"/>
  <c r="K94" i="15"/>
  <c r="D94" i="15"/>
  <c r="K216" i="15"/>
  <c r="D216" i="15"/>
  <c r="K153" i="15"/>
  <c r="D153" i="15"/>
  <c r="R212" i="15"/>
  <c r="AL212" i="15"/>
  <c r="R141" i="15"/>
  <c r="AL141" i="15"/>
  <c r="R127" i="15"/>
  <c r="AL127" i="15"/>
  <c r="R79" i="15"/>
  <c r="AL79" i="15"/>
  <c r="D149" i="15"/>
  <c r="D148" i="15"/>
  <c r="K82" i="15"/>
  <c r="D82" i="15"/>
  <c r="R206" i="15"/>
  <c r="AL206" i="15"/>
  <c r="K125" i="15"/>
  <c r="D125" i="15"/>
  <c r="K162" i="15"/>
  <c r="D162" i="15"/>
  <c r="O170" i="15"/>
  <c r="E170" i="15"/>
  <c r="S209" i="15"/>
  <c r="H209" i="15"/>
  <c r="K209" i="15" s="1"/>
  <c r="H185" i="15"/>
  <c r="K185" i="15" s="1"/>
  <c r="S185" i="15"/>
  <c r="J178" i="15"/>
  <c r="W205" i="9"/>
  <c r="AC205" i="9" s="1"/>
  <c r="W189" i="9"/>
  <c r="W169" i="9"/>
  <c r="W161" i="9"/>
  <c r="W145" i="9"/>
  <c r="AC145" i="9" s="1"/>
  <c r="W133" i="9"/>
  <c r="AI8" i="9"/>
  <c r="W211" i="9"/>
  <c r="W195" i="9"/>
  <c r="AC195" i="9" s="1"/>
  <c r="W130" i="9"/>
  <c r="W73" i="9"/>
  <c r="W69" i="9"/>
  <c r="W65" i="9"/>
  <c r="AB65" i="9" s="1"/>
  <c r="B65" i="9" s="1"/>
  <c r="W61" i="9"/>
  <c r="W57" i="9"/>
  <c r="W53" i="9"/>
  <c r="W49" i="9"/>
  <c r="AB49" i="9" s="1"/>
  <c r="B49" i="9" s="1"/>
  <c r="G49" i="9" s="1"/>
  <c r="J49" i="9" s="1"/>
  <c r="W45" i="9"/>
  <c r="W41" i="9"/>
  <c r="W37" i="9"/>
  <c r="W33" i="9"/>
  <c r="AB33" i="9" s="1"/>
  <c r="B33" i="9" s="1"/>
  <c r="M33" i="9" s="1"/>
  <c r="P33" i="9" s="1"/>
  <c r="W29" i="9"/>
  <c r="W25" i="9"/>
  <c r="W21" i="9"/>
  <c r="R168" i="15"/>
  <c r="AL168" i="15"/>
  <c r="R160" i="15"/>
  <c r="AL160" i="15"/>
  <c r="R152" i="15"/>
  <c r="AL152" i="15"/>
  <c r="K79" i="15"/>
  <c r="D79" i="15"/>
  <c r="R217" i="15"/>
  <c r="AL217" i="15"/>
  <c r="R86" i="15"/>
  <c r="AL86" i="15"/>
  <c r="D88" i="15"/>
  <c r="J134" i="15"/>
  <c r="R87" i="15"/>
  <c r="AL87" i="15"/>
  <c r="R94" i="15"/>
  <c r="R161" i="15"/>
  <c r="AL161" i="15"/>
  <c r="S191" i="15"/>
  <c r="H191" i="15"/>
  <c r="S183" i="15"/>
  <c r="H183" i="15"/>
  <c r="K183" i="15" s="1"/>
  <c r="H179" i="15"/>
  <c r="K179" i="15" s="1"/>
  <c r="S179" i="15"/>
  <c r="S176" i="15"/>
  <c r="H176" i="15"/>
  <c r="K176" i="15" s="1"/>
  <c r="J172" i="15"/>
  <c r="R120" i="15"/>
  <c r="AL120" i="15"/>
  <c r="R140" i="15"/>
  <c r="AL140" i="15"/>
  <c r="K119" i="15"/>
  <c r="D119" i="15"/>
  <c r="R158" i="15"/>
  <c r="AL158" i="15"/>
  <c r="R154" i="15"/>
  <c r="AL154" i="15"/>
  <c r="R150" i="15"/>
  <c r="AL150" i="15"/>
  <c r="O116" i="15"/>
  <c r="E116" i="15"/>
  <c r="R135" i="15"/>
  <c r="AL135" i="15"/>
  <c r="J70" i="15"/>
  <c r="R117" i="15"/>
  <c r="AL117" i="15"/>
  <c r="E209" i="15"/>
  <c r="O209" i="15"/>
  <c r="R109" i="15"/>
  <c r="AL109" i="15"/>
  <c r="R129" i="15"/>
  <c r="AL129" i="15"/>
  <c r="S175" i="15"/>
  <c r="H175" i="15"/>
  <c r="K175" i="15" s="1"/>
  <c r="S69" i="15"/>
  <c r="H69" i="15"/>
  <c r="K69" i="15" s="1"/>
  <c r="R138" i="15"/>
  <c r="AL138" i="15"/>
  <c r="R132" i="15"/>
  <c r="AL132" i="15"/>
  <c r="R128" i="15"/>
  <c r="AL128" i="15"/>
  <c r="R124" i="15"/>
  <c r="AL124" i="15"/>
  <c r="R162" i="15"/>
  <c r="AL162" i="15"/>
  <c r="J116" i="15"/>
  <c r="D116" i="15"/>
  <c r="R100" i="15"/>
  <c r="AL100" i="15"/>
  <c r="R145" i="15"/>
  <c r="AL145" i="15"/>
  <c r="J185" i="15"/>
  <c r="O181" i="15"/>
  <c r="E181" i="15"/>
  <c r="E177" i="15"/>
  <c r="O177" i="15"/>
  <c r="S186" i="15"/>
  <c r="H186" i="15"/>
  <c r="K186" i="15" s="1"/>
  <c r="S182" i="15"/>
  <c r="H182" i="15"/>
  <c r="K182" i="15" s="1"/>
  <c r="O178" i="15"/>
  <c r="E178" i="15"/>
  <c r="D217" i="15"/>
  <c r="J171" i="15"/>
  <c r="W129" i="9"/>
  <c r="R214" i="15"/>
  <c r="AL214" i="15"/>
  <c r="D146" i="15"/>
  <c r="H134" i="15"/>
  <c r="K134" i="15" s="1"/>
  <c r="S134" i="15"/>
  <c r="D117" i="15"/>
  <c r="R164" i="15"/>
  <c r="AL164" i="15"/>
  <c r="R156" i="15"/>
  <c r="AL156" i="15"/>
  <c r="R148" i="15"/>
  <c r="AL148" i="15"/>
  <c r="O187" i="15"/>
  <c r="E187" i="15"/>
  <c r="O183" i="15"/>
  <c r="E183" i="15"/>
  <c r="O179" i="15"/>
  <c r="E179" i="15"/>
  <c r="J188" i="15"/>
  <c r="S184" i="15"/>
  <c r="H184" i="15"/>
  <c r="K184" i="15" s="1"/>
  <c r="H180" i="15"/>
  <c r="K180" i="15" s="1"/>
  <c r="S180" i="15"/>
  <c r="D198" i="15"/>
  <c r="H71" i="15"/>
  <c r="K71" i="15" s="1"/>
  <c r="S71" i="15"/>
  <c r="D215" i="15"/>
  <c r="D199" i="15"/>
  <c r="D207" i="15"/>
  <c r="R106" i="15"/>
  <c r="AL106" i="15"/>
  <c r="R90" i="15"/>
  <c r="AL90" i="15"/>
  <c r="D74" i="15"/>
  <c r="K74" i="15"/>
  <c r="R101" i="15"/>
  <c r="AL101" i="15"/>
  <c r="J189" i="15"/>
  <c r="H173" i="15"/>
  <c r="K173" i="15" s="1"/>
  <c r="S173" i="15"/>
  <c r="O70" i="15"/>
  <c r="E70" i="15"/>
  <c r="R70" i="15" s="1"/>
  <c r="J174" i="15"/>
  <c r="J170" i="15"/>
  <c r="J209" i="15"/>
  <c r="R203" i="15"/>
  <c r="AL203" i="15"/>
  <c r="D128" i="15"/>
  <c r="D122" i="15"/>
  <c r="D212" i="15"/>
  <c r="D196" i="15"/>
  <c r="D204" i="15"/>
  <c r="K133" i="15"/>
  <c r="D133" i="15"/>
  <c r="J175" i="15"/>
  <c r="J69" i="15"/>
  <c r="J71" i="15"/>
  <c r="AL159" i="15"/>
  <c r="R92" i="15"/>
  <c r="D211" i="15"/>
  <c r="R193" i="15"/>
  <c r="AL193" i="15"/>
  <c r="AL201" i="15"/>
  <c r="R205" i="15"/>
  <c r="AL205" i="15"/>
  <c r="R196" i="15"/>
  <c r="AL196" i="15"/>
  <c r="K131" i="15"/>
  <c r="D131" i="15"/>
  <c r="F7" i="15"/>
  <c r="E189" i="15"/>
  <c r="O189" i="15"/>
  <c r="E185" i="15"/>
  <c r="O185" i="15"/>
  <c r="J181" i="15"/>
  <c r="J177" i="15"/>
  <c r="J190" i="15"/>
  <c r="O186" i="15"/>
  <c r="E186" i="15"/>
  <c r="O182" i="15"/>
  <c r="E182" i="15"/>
  <c r="H178" i="15"/>
  <c r="K178" i="15" s="1"/>
  <c r="S178" i="15"/>
  <c r="R200" i="15"/>
  <c r="AL200" i="15"/>
  <c r="D126" i="15"/>
  <c r="D72" i="15"/>
  <c r="Q72" i="15" s="1"/>
  <c r="D164" i="15"/>
  <c r="D152" i="15"/>
  <c r="H171" i="15"/>
  <c r="K171" i="15" s="1"/>
  <c r="S171" i="15"/>
  <c r="W127" i="9"/>
  <c r="W125" i="9"/>
  <c r="W123" i="9"/>
  <c r="W121" i="9"/>
  <c r="W119" i="9"/>
  <c r="AC119" i="9" s="1"/>
  <c r="C119" i="9" s="1"/>
  <c r="W117" i="9"/>
  <c r="W115" i="9"/>
  <c r="W113" i="9"/>
  <c r="W111" i="9"/>
  <c r="AC111" i="9" s="1"/>
  <c r="C111" i="9" s="1"/>
  <c r="W109" i="9"/>
  <c r="W107" i="9"/>
  <c r="W105" i="9"/>
  <c r="W103" i="9"/>
  <c r="AC103" i="9" s="1"/>
  <c r="C103" i="9" s="1"/>
  <c r="W101" i="9"/>
  <c r="W99" i="9"/>
  <c r="W97" i="9"/>
  <c r="W95" i="9"/>
  <c r="AC95" i="9" s="1"/>
  <c r="C95" i="9" s="1"/>
  <c r="W93" i="9"/>
  <c r="W91" i="9"/>
  <c r="W89" i="9"/>
  <c r="W87" i="9"/>
  <c r="AC87" i="9" s="1"/>
  <c r="C87" i="9" s="1"/>
  <c r="W85" i="9"/>
  <c r="W83" i="9"/>
  <c r="W81" i="9"/>
  <c r="W79" i="9"/>
  <c r="AC79" i="9" s="1"/>
  <c r="C79" i="9" s="1"/>
  <c r="W77" i="9"/>
  <c r="O134" i="15"/>
  <c r="E134" i="15"/>
  <c r="O191" i="15"/>
  <c r="E191" i="15"/>
  <c r="S187" i="15"/>
  <c r="H187" i="15"/>
  <c r="J183" i="15"/>
  <c r="J179" i="15"/>
  <c r="O188" i="15"/>
  <c r="E188" i="15"/>
  <c r="O184" i="15"/>
  <c r="E184" i="15"/>
  <c r="O180" i="15"/>
  <c r="E180" i="15"/>
  <c r="O176" i="15"/>
  <c r="E176" i="15"/>
  <c r="H172" i="15"/>
  <c r="K172" i="15" s="1"/>
  <c r="S172" i="15"/>
  <c r="D165" i="15"/>
  <c r="K76" i="15"/>
  <c r="D76" i="15"/>
  <c r="R211" i="15"/>
  <c r="AL211" i="15"/>
  <c r="R136" i="15"/>
  <c r="AL136" i="15"/>
  <c r="K111" i="15"/>
  <c r="D111" i="15"/>
  <c r="AL218" i="15"/>
  <c r="D201" i="15"/>
  <c r="R166" i="15"/>
  <c r="AL166" i="15"/>
  <c r="R133" i="15"/>
  <c r="AL133" i="15"/>
  <c r="R125" i="15"/>
  <c r="AL125" i="15"/>
  <c r="R107" i="15"/>
  <c r="O173" i="15"/>
  <c r="E173" i="15"/>
  <c r="H174" i="15"/>
  <c r="K174" i="15" s="1"/>
  <c r="S174" i="15"/>
  <c r="S170" i="15"/>
  <c r="H170" i="15"/>
  <c r="K170" i="15" s="1"/>
  <c r="AL153" i="15"/>
  <c r="R165" i="15"/>
  <c r="AL165" i="15"/>
  <c r="R215" i="15"/>
  <c r="AL215" i="15"/>
  <c r="D197" i="15"/>
  <c r="R146" i="15"/>
  <c r="AL146" i="15"/>
  <c r="R130" i="15"/>
  <c r="AL130" i="15"/>
  <c r="R126" i="15"/>
  <c r="AL126" i="15"/>
  <c r="R122" i="15"/>
  <c r="AL122" i="15"/>
  <c r="R199" i="15"/>
  <c r="AL199" i="15"/>
  <c r="R143" i="15"/>
  <c r="AL143" i="15"/>
  <c r="H181" i="15"/>
  <c r="K181" i="15" s="1"/>
  <c r="S181" i="15"/>
  <c r="H177" i="15"/>
  <c r="K177" i="15" s="1"/>
  <c r="S177" i="15"/>
  <c r="O190" i="15"/>
  <c r="E190" i="15"/>
  <c r="R169" i="15"/>
  <c r="AL169" i="15"/>
  <c r="R167" i="15"/>
  <c r="AL167" i="15"/>
  <c r="R96" i="15"/>
  <c r="AL96" i="15"/>
  <c r="R121" i="15"/>
  <c r="AL121" i="15"/>
  <c r="S15" i="21"/>
  <c r="H15" i="21"/>
  <c r="K15" i="21" s="1"/>
  <c r="S14" i="21"/>
  <c r="H14" i="21"/>
  <c r="K14" i="21" s="1"/>
  <c r="J14" i="21"/>
  <c r="Q13" i="21"/>
  <c r="AK13" i="21"/>
  <c r="E14" i="21"/>
  <c r="O14" i="21"/>
  <c r="W9" i="15"/>
  <c r="AC9" i="15" s="1"/>
  <c r="C9" i="15" s="1"/>
  <c r="J6" i="15"/>
  <c r="H6" i="15"/>
  <c r="K6" i="15" s="1"/>
  <c r="S6" i="15"/>
  <c r="AL66" i="15"/>
  <c r="AL73" i="15"/>
  <c r="E6" i="15"/>
  <c r="O6" i="15"/>
  <c r="AC8" i="15"/>
  <c r="C8" i="15" s="1"/>
  <c r="AB8" i="15"/>
  <c r="B8" i="15" s="1"/>
  <c r="Z10" i="15"/>
  <c r="Y10" i="15"/>
  <c r="AA10" i="15" s="1"/>
  <c r="AI10" i="15"/>
  <c r="AC217" i="9"/>
  <c r="AB217" i="9"/>
  <c r="AC215" i="9"/>
  <c r="AB215" i="9"/>
  <c r="AC213" i="9"/>
  <c r="AB213" i="9"/>
  <c r="AC209" i="9"/>
  <c r="AB209" i="9"/>
  <c r="AC207" i="9"/>
  <c r="AB207" i="9"/>
  <c r="AC203" i="9"/>
  <c r="AB203" i="9"/>
  <c r="AC199" i="9"/>
  <c r="AB199" i="9"/>
  <c r="AC197" i="9"/>
  <c r="AB197" i="9"/>
  <c r="AC191" i="9"/>
  <c r="AB191" i="9"/>
  <c r="AC189" i="9"/>
  <c r="AB189" i="9"/>
  <c r="AC187" i="9"/>
  <c r="AB187" i="9"/>
  <c r="AC185" i="9"/>
  <c r="AB185" i="9"/>
  <c r="AC183" i="9"/>
  <c r="AB183" i="9"/>
  <c r="AC181" i="9"/>
  <c r="AB181" i="9"/>
  <c r="AC179" i="9"/>
  <c r="AB179" i="9"/>
  <c r="AC175" i="9"/>
  <c r="AB175" i="9"/>
  <c r="AC173" i="9"/>
  <c r="AB173" i="9"/>
  <c r="AC171" i="9"/>
  <c r="AB171" i="9"/>
  <c r="AC169" i="9"/>
  <c r="AB169" i="9"/>
  <c r="AC167" i="9"/>
  <c r="AB167" i="9"/>
  <c r="AC165" i="9"/>
  <c r="AB165" i="9"/>
  <c r="AC163" i="9"/>
  <c r="AB163" i="9"/>
  <c r="AC161" i="9"/>
  <c r="AB161" i="9"/>
  <c r="AC159" i="9"/>
  <c r="AB159" i="9"/>
  <c r="AC157" i="9"/>
  <c r="AB157" i="9"/>
  <c r="AC155" i="9"/>
  <c r="AB155" i="9"/>
  <c r="AC151" i="9"/>
  <c r="AB151" i="9"/>
  <c r="AC149" i="9"/>
  <c r="AB149" i="9"/>
  <c r="AC147" i="9"/>
  <c r="AB147" i="9"/>
  <c r="AC143" i="9"/>
  <c r="AB143" i="9"/>
  <c r="AC141" i="9"/>
  <c r="C141" i="9" s="1"/>
  <c r="AB141" i="9"/>
  <c r="B141" i="9" s="1"/>
  <c r="AC139" i="9"/>
  <c r="C139" i="9" s="1"/>
  <c r="AB139" i="9"/>
  <c r="B139" i="9" s="1"/>
  <c r="AC137" i="9"/>
  <c r="C137" i="9" s="1"/>
  <c r="AB137" i="9"/>
  <c r="B137" i="9" s="1"/>
  <c r="AC135" i="9"/>
  <c r="C135" i="9" s="1"/>
  <c r="AB135" i="9"/>
  <c r="B135" i="9" s="1"/>
  <c r="AC133" i="9"/>
  <c r="C133" i="9" s="1"/>
  <c r="AB133" i="9"/>
  <c r="B133" i="9" s="1"/>
  <c r="AB128" i="9"/>
  <c r="B128" i="9" s="1"/>
  <c r="AC128" i="9"/>
  <c r="C128" i="9" s="1"/>
  <c r="AB218" i="9"/>
  <c r="AC218" i="9"/>
  <c r="AB216" i="9"/>
  <c r="AC216" i="9"/>
  <c r="AB214" i="9"/>
  <c r="AC214" i="9"/>
  <c r="AB212" i="9"/>
  <c r="AC212" i="9"/>
  <c r="AC211" i="9"/>
  <c r="AB211" i="9"/>
  <c r="AB210" i="9"/>
  <c r="AC210" i="9"/>
  <c r="AB208" i="9"/>
  <c r="AC208" i="9"/>
  <c r="AB206" i="9"/>
  <c r="AC206" i="9"/>
  <c r="AB204" i="9"/>
  <c r="AC204" i="9"/>
  <c r="AB202" i="9"/>
  <c r="AC202" i="9"/>
  <c r="AB200" i="9"/>
  <c r="AC200" i="9"/>
  <c r="AB198" i="9"/>
  <c r="AC198" i="9"/>
  <c r="AB196" i="9"/>
  <c r="AC196" i="9"/>
  <c r="AB195" i="9"/>
  <c r="AB194" i="9"/>
  <c r="AC194" i="9"/>
  <c r="AC193" i="9"/>
  <c r="AB193" i="9"/>
  <c r="AB192" i="9"/>
  <c r="AC192" i="9"/>
  <c r="AB190" i="9"/>
  <c r="AC190" i="9"/>
  <c r="AB188" i="9"/>
  <c r="AC188" i="9"/>
  <c r="AB186" i="9"/>
  <c r="AC186" i="9"/>
  <c r="AB184" i="9"/>
  <c r="AC184" i="9"/>
  <c r="AB182" i="9"/>
  <c r="AC182" i="9"/>
  <c r="AB180" i="9"/>
  <c r="AC180" i="9"/>
  <c r="AB178" i="9"/>
  <c r="AC178" i="9"/>
  <c r="AB176" i="9"/>
  <c r="AC176" i="9"/>
  <c r="AB174" i="9"/>
  <c r="AC174" i="9"/>
  <c r="AB172" i="9"/>
  <c r="AC172" i="9"/>
  <c r="AB170" i="9"/>
  <c r="AC170" i="9"/>
  <c r="AB168" i="9"/>
  <c r="AC168" i="9"/>
  <c r="AB166" i="9"/>
  <c r="AC166" i="9"/>
  <c r="AB164" i="9"/>
  <c r="AC164" i="9"/>
  <c r="AB162" i="9"/>
  <c r="AC162" i="9"/>
  <c r="AB160" i="9"/>
  <c r="AC160" i="9"/>
  <c r="AB158" i="9"/>
  <c r="AC158" i="9"/>
  <c r="AB156" i="9"/>
  <c r="AC156" i="9"/>
  <c r="AB154" i="9"/>
  <c r="AC154" i="9"/>
  <c r="AB152" i="9"/>
  <c r="AC152" i="9"/>
  <c r="AB150" i="9"/>
  <c r="AC150" i="9"/>
  <c r="AB148" i="9"/>
  <c r="AC148" i="9"/>
  <c r="AB146" i="9"/>
  <c r="AC146" i="9"/>
  <c r="AB144" i="9"/>
  <c r="AC144" i="9"/>
  <c r="AB142" i="9"/>
  <c r="B142" i="9" s="1"/>
  <c r="AC142" i="9"/>
  <c r="C142" i="9" s="1"/>
  <c r="AB140" i="9"/>
  <c r="B140" i="9" s="1"/>
  <c r="AC140" i="9"/>
  <c r="C140" i="9" s="1"/>
  <c r="AB138" i="9"/>
  <c r="B138" i="9" s="1"/>
  <c r="AC138" i="9"/>
  <c r="C138" i="9" s="1"/>
  <c r="AB136" i="9"/>
  <c r="B136" i="9" s="1"/>
  <c r="AC136" i="9"/>
  <c r="C136" i="9" s="1"/>
  <c r="AB134" i="9"/>
  <c r="B134" i="9" s="1"/>
  <c r="AC134" i="9"/>
  <c r="C134" i="9" s="1"/>
  <c r="AB132" i="9"/>
  <c r="B132" i="9" s="1"/>
  <c r="AC132" i="9"/>
  <c r="C132" i="9" s="1"/>
  <c r="AB130" i="9"/>
  <c r="B130" i="9" s="1"/>
  <c r="AC130" i="9"/>
  <c r="C130" i="9" s="1"/>
  <c r="AC126" i="9"/>
  <c r="C126" i="9" s="1"/>
  <c r="AB125" i="9"/>
  <c r="B125" i="9" s="1"/>
  <c r="AC125" i="9"/>
  <c r="C125" i="9" s="1"/>
  <c r="AB123" i="9"/>
  <c r="B123" i="9" s="1"/>
  <c r="AC123" i="9"/>
  <c r="C123" i="9" s="1"/>
  <c r="AB121" i="9"/>
  <c r="B121" i="9" s="1"/>
  <c r="AC121" i="9"/>
  <c r="C121" i="9" s="1"/>
  <c r="AB119" i="9"/>
  <c r="B119" i="9" s="1"/>
  <c r="AB117" i="9"/>
  <c r="B117" i="9" s="1"/>
  <c r="AC117" i="9"/>
  <c r="C117" i="9" s="1"/>
  <c r="AB115" i="9"/>
  <c r="B115" i="9" s="1"/>
  <c r="AC115" i="9"/>
  <c r="C115" i="9" s="1"/>
  <c r="AB113" i="9"/>
  <c r="B113" i="9" s="1"/>
  <c r="AC113" i="9"/>
  <c r="C113" i="9" s="1"/>
  <c r="AB111" i="9"/>
  <c r="B111" i="9" s="1"/>
  <c r="AB109" i="9"/>
  <c r="B109" i="9" s="1"/>
  <c r="AC109" i="9"/>
  <c r="C109" i="9" s="1"/>
  <c r="AB107" i="9"/>
  <c r="B107" i="9" s="1"/>
  <c r="AC107" i="9"/>
  <c r="C107" i="9" s="1"/>
  <c r="AB105" i="9"/>
  <c r="B105" i="9" s="1"/>
  <c r="AC105" i="9"/>
  <c r="C105" i="9" s="1"/>
  <c r="AB103" i="9"/>
  <c r="B103" i="9" s="1"/>
  <c r="AB101" i="9"/>
  <c r="B101" i="9" s="1"/>
  <c r="AC101" i="9"/>
  <c r="C101" i="9" s="1"/>
  <c r="AB99" i="9"/>
  <c r="B99" i="9" s="1"/>
  <c r="AC99" i="9"/>
  <c r="C99" i="9" s="1"/>
  <c r="AB97" i="9"/>
  <c r="B97" i="9" s="1"/>
  <c r="AC97" i="9"/>
  <c r="C97" i="9" s="1"/>
  <c r="AB95" i="9"/>
  <c r="B95" i="9" s="1"/>
  <c r="AB93" i="9"/>
  <c r="B93" i="9" s="1"/>
  <c r="AC93" i="9"/>
  <c r="C93" i="9" s="1"/>
  <c r="AB91" i="9"/>
  <c r="B91" i="9" s="1"/>
  <c r="AC91" i="9"/>
  <c r="C91" i="9" s="1"/>
  <c r="AB89" i="9"/>
  <c r="B89" i="9" s="1"/>
  <c r="AC89" i="9"/>
  <c r="C89" i="9" s="1"/>
  <c r="AB87" i="9"/>
  <c r="B87" i="9" s="1"/>
  <c r="AB85" i="9"/>
  <c r="B85" i="9" s="1"/>
  <c r="AC85" i="9"/>
  <c r="C85" i="9" s="1"/>
  <c r="AB83" i="9"/>
  <c r="B83" i="9" s="1"/>
  <c r="AC83" i="9"/>
  <c r="C83" i="9" s="1"/>
  <c r="AB81" i="9"/>
  <c r="B81" i="9" s="1"/>
  <c r="AC81" i="9"/>
  <c r="C81" i="9" s="1"/>
  <c r="AB79" i="9"/>
  <c r="B79" i="9" s="1"/>
  <c r="AB77" i="9"/>
  <c r="B77" i="9" s="1"/>
  <c r="AC77" i="9"/>
  <c r="C77" i="9" s="1"/>
  <c r="AC124" i="9"/>
  <c r="C124" i="9" s="1"/>
  <c r="AB124" i="9"/>
  <c r="B124" i="9" s="1"/>
  <c r="AC122" i="9"/>
  <c r="C122" i="9" s="1"/>
  <c r="AB122" i="9"/>
  <c r="B122" i="9" s="1"/>
  <c r="AC120" i="9"/>
  <c r="C120" i="9" s="1"/>
  <c r="AB120" i="9"/>
  <c r="B120" i="9" s="1"/>
  <c r="AC118" i="9"/>
  <c r="C118" i="9" s="1"/>
  <c r="AB118" i="9"/>
  <c r="B118" i="9" s="1"/>
  <c r="AC116" i="9"/>
  <c r="C116" i="9" s="1"/>
  <c r="AB116" i="9"/>
  <c r="B116" i="9" s="1"/>
  <c r="AC114" i="9"/>
  <c r="C114" i="9" s="1"/>
  <c r="AB114" i="9"/>
  <c r="B114" i="9" s="1"/>
  <c r="AC112" i="9"/>
  <c r="C112" i="9" s="1"/>
  <c r="AB112" i="9"/>
  <c r="B112" i="9" s="1"/>
  <c r="AC110" i="9"/>
  <c r="C110" i="9" s="1"/>
  <c r="AB110" i="9"/>
  <c r="B110" i="9" s="1"/>
  <c r="AC108" i="9"/>
  <c r="C108" i="9" s="1"/>
  <c r="AB108" i="9"/>
  <c r="B108" i="9" s="1"/>
  <c r="AC106" i="9"/>
  <c r="C106" i="9" s="1"/>
  <c r="AB106" i="9"/>
  <c r="B106" i="9" s="1"/>
  <c r="AC104" i="9"/>
  <c r="C104" i="9" s="1"/>
  <c r="AB104" i="9"/>
  <c r="B104" i="9" s="1"/>
  <c r="AC102" i="9"/>
  <c r="C102" i="9" s="1"/>
  <c r="AB102" i="9"/>
  <c r="B102" i="9" s="1"/>
  <c r="AC100" i="9"/>
  <c r="C100" i="9" s="1"/>
  <c r="AB100" i="9"/>
  <c r="B100" i="9" s="1"/>
  <c r="AC98" i="9"/>
  <c r="C98" i="9" s="1"/>
  <c r="AB98" i="9"/>
  <c r="B98" i="9" s="1"/>
  <c r="AC96" i="9"/>
  <c r="C96" i="9" s="1"/>
  <c r="AB96" i="9"/>
  <c r="B96" i="9" s="1"/>
  <c r="AC94" i="9"/>
  <c r="C94" i="9" s="1"/>
  <c r="AB94" i="9"/>
  <c r="B94" i="9" s="1"/>
  <c r="AC92" i="9"/>
  <c r="C92" i="9" s="1"/>
  <c r="AB92" i="9"/>
  <c r="B92" i="9" s="1"/>
  <c r="AC90" i="9"/>
  <c r="C90" i="9" s="1"/>
  <c r="AB90" i="9"/>
  <c r="B90" i="9" s="1"/>
  <c r="AC88" i="9"/>
  <c r="C88" i="9" s="1"/>
  <c r="AB88" i="9"/>
  <c r="B88" i="9" s="1"/>
  <c r="AC86" i="9"/>
  <c r="C86" i="9" s="1"/>
  <c r="AB86" i="9"/>
  <c r="B86" i="9" s="1"/>
  <c r="AC84" i="9"/>
  <c r="C84" i="9" s="1"/>
  <c r="AB84" i="9"/>
  <c r="B84" i="9" s="1"/>
  <c r="AC82" i="9"/>
  <c r="C82" i="9" s="1"/>
  <c r="AB82" i="9"/>
  <c r="B82" i="9" s="1"/>
  <c r="AC80" i="9"/>
  <c r="C80" i="9" s="1"/>
  <c r="AB80" i="9"/>
  <c r="B80" i="9" s="1"/>
  <c r="AC78" i="9"/>
  <c r="C78" i="9" s="1"/>
  <c r="AB78" i="9"/>
  <c r="B78" i="9" s="1"/>
  <c r="AC76" i="9"/>
  <c r="C76" i="9" s="1"/>
  <c r="AB76" i="9"/>
  <c r="B76" i="9" s="1"/>
  <c r="AB74" i="9"/>
  <c r="B74" i="9" s="1"/>
  <c r="AC74" i="9"/>
  <c r="C74" i="9" s="1"/>
  <c r="AC73" i="9"/>
  <c r="C73" i="9" s="1"/>
  <c r="AB73" i="9"/>
  <c r="B73" i="9" s="1"/>
  <c r="AB72" i="9"/>
  <c r="B72" i="9" s="1"/>
  <c r="AC72" i="9"/>
  <c r="C72" i="9" s="1"/>
  <c r="AC71" i="9"/>
  <c r="C71" i="9" s="1"/>
  <c r="AB71" i="9"/>
  <c r="B71" i="9" s="1"/>
  <c r="AB70" i="9"/>
  <c r="B70" i="9" s="1"/>
  <c r="AC70" i="9"/>
  <c r="C70" i="9" s="1"/>
  <c r="AC69" i="9"/>
  <c r="C69" i="9" s="1"/>
  <c r="AB69" i="9"/>
  <c r="B69" i="9" s="1"/>
  <c r="AB68" i="9"/>
  <c r="B68" i="9" s="1"/>
  <c r="AC68" i="9"/>
  <c r="C68" i="9" s="1"/>
  <c r="AC67" i="9"/>
  <c r="C67" i="9" s="1"/>
  <c r="AB67" i="9"/>
  <c r="B67" i="9" s="1"/>
  <c r="AB66" i="9"/>
  <c r="B66" i="9" s="1"/>
  <c r="AC66" i="9"/>
  <c r="C66" i="9" s="1"/>
  <c r="AC65" i="9"/>
  <c r="C65" i="9" s="1"/>
  <c r="AB64" i="9"/>
  <c r="B64" i="9" s="1"/>
  <c r="AC64" i="9"/>
  <c r="C64" i="9" s="1"/>
  <c r="AC63" i="9"/>
  <c r="C63" i="9" s="1"/>
  <c r="AB63" i="9"/>
  <c r="B63" i="9" s="1"/>
  <c r="AB62" i="9"/>
  <c r="B62" i="9" s="1"/>
  <c r="AC62" i="9"/>
  <c r="C62" i="9" s="1"/>
  <c r="AC61" i="9"/>
  <c r="C61" i="9" s="1"/>
  <c r="N61" i="9" s="1"/>
  <c r="L61" i="9" s="1"/>
  <c r="AB61" i="9"/>
  <c r="B61" i="9" s="1"/>
  <c r="AB60" i="9"/>
  <c r="B60" i="9" s="1"/>
  <c r="AC60" i="9"/>
  <c r="C60" i="9" s="1"/>
  <c r="AC59" i="9"/>
  <c r="C59" i="9" s="1"/>
  <c r="AB59" i="9"/>
  <c r="B59" i="9" s="1"/>
  <c r="AB58" i="9"/>
  <c r="B58" i="9" s="1"/>
  <c r="AC58" i="9"/>
  <c r="C58" i="9" s="1"/>
  <c r="AC57" i="9"/>
  <c r="C57" i="9" s="1"/>
  <c r="N57" i="9" s="1"/>
  <c r="L57" i="9" s="1"/>
  <c r="AB57" i="9"/>
  <c r="B57" i="9" s="1"/>
  <c r="AB56" i="9"/>
  <c r="B56" i="9" s="1"/>
  <c r="AC56" i="9"/>
  <c r="C56" i="9" s="1"/>
  <c r="AC55" i="9"/>
  <c r="C55" i="9" s="1"/>
  <c r="AB55" i="9"/>
  <c r="B55" i="9" s="1"/>
  <c r="AB54" i="9"/>
  <c r="B54" i="9" s="1"/>
  <c r="AC54" i="9"/>
  <c r="C54" i="9" s="1"/>
  <c r="AC53" i="9"/>
  <c r="C53" i="9" s="1"/>
  <c r="N53" i="9" s="1"/>
  <c r="L53" i="9" s="1"/>
  <c r="AB53" i="9"/>
  <c r="B53" i="9" s="1"/>
  <c r="AB52" i="9"/>
  <c r="B52" i="9" s="1"/>
  <c r="AC52" i="9"/>
  <c r="C52" i="9" s="1"/>
  <c r="AC51" i="9"/>
  <c r="C51" i="9" s="1"/>
  <c r="AB51" i="9"/>
  <c r="B51" i="9" s="1"/>
  <c r="AB50" i="9"/>
  <c r="B50" i="9" s="1"/>
  <c r="AC50" i="9"/>
  <c r="C50" i="9" s="1"/>
  <c r="AC49" i="9"/>
  <c r="C49" i="9" s="1"/>
  <c r="AB48" i="9"/>
  <c r="B48" i="9" s="1"/>
  <c r="AC48" i="9"/>
  <c r="C48" i="9" s="1"/>
  <c r="AC47" i="9"/>
  <c r="C47" i="9" s="1"/>
  <c r="N47" i="9" s="1"/>
  <c r="L47" i="9" s="1"/>
  <c r="AB47" i="9"/>
  <c r="B47" i="9" s="1"/>
  <c r="AB46" i="9"/>
  <c r="B46" i="9" s="1"/>
  <c r="AC46" i="9"/>
  <c r="C46" i="9" s="1"/>
  <c r="M46" i="9" s="1"/>
  <c r="P46" i="9" s="1"/>
  <c r="AC45" i="9"/>
  <c r="C45" i="9" s="1"/>
  <c r="F45" i="9" s="1"/>
  <c r="AB45" i="9"/>
  <c r="B45" i="9" s="1"/>
  <c r="AB44" i="9"/>
  <c r="B44" i="9" s="1"/>
  <c r="AC44" i="9"/>
  <c r="C44" i="9" s="1"/>
  <c r="AC43" i="9"/>
  <c r="C43" i="9" s="1"/>
  <c r="F43" i="9" s="1"/>
  <c r="AB43" i="9"/>
  <c r="B43" i="9" s="1"/>
  <c r="AB42" i="9"/>
  <c r="B42" i="9" s="1"/>
  <c r="AC42" i="9"/>
  <c r="C42" i="9" s="1"/>
  <c r="M42" i="9" s="1"/>
  <c r="P42" i="9" s="1"/>
  <c r="AC41" i="9"/>
  <c r="C41" i="9" s="1"/>
  <c r="F41" i="9" s="1"/>
  <c r="AB41" i="9"/>
  <c r="B41" i="9" s="1"/>
  <c r="AB40" i="9"/>
  <c r="B40" i="9" s="1"/>
  <c r="AC40" i="9"/>
  <c r="C40" i="9" s="1"/>
  <c r="AC39" i="9"/>
  <c r="C39" i="9" s="1"/>
  <c r="F39" i="9" s="1"/>
  <c r="AB39" i="9"/>
  <c r="B39" i="9" s="1"/>
  <c r="AB38" i="9"/>
  <c r="B38" i="9" s="1"/>
  <c r="AC38" i="9"/>
  <c r="C38" i="9" s="1"/>
  <c r="M38" i="9" s="1"/>
  <c r="P38" i="9" s="1"/>
  <c r="AC37" i="9"/>
  <c r="C37" i="9" s="1"/>
  <c r="N37" i="9" s="1"/>
  <c r="L37" i="9" s="1"/>
  <c r="AB37" i="9"/>
  <c r="B37" i="9" s="1"/>
  <c r="AB36" i="9"/>
  <c r="B36" i="9" s="1"/>
  <c r="AC36" i="9"/>
  <c r="C36" i="9" s="1"/>
  <c r="AC35" i="9"/>
  <c r="C35" i="9" s="1"/>
  <c r="F35" i="9" s="1"/>
  <c r="AB35" i="9"/>
  <c r="B35" i="9" s="1"/>
  <c r="AB34" i="9"/>
  <c r="B34" i="9" s="1"/>
  <c r="AC34" i="9"/>
  <c r="C34" i="9" s="1"/>
  <c r="M34" i="9" s="1"/>
  <c r="P34" i="9" s="1"/>
  <c r="AC33" i="9"/>
  <c r="C33" i="9" s="1"/>
  <c r="AB32" i="9"/>
  <c r="B32" i="9" s="1"/>
  <c r="AC32" i="9"/>
  <c r="C32" i="9" s="1"/>
  <c r="AC31" i="9"/>
  <c r="C31" i="9" s="1"/>
  <c r="F31" i="9" s="1"/>
  <c r="AB31" i="9"/>
  <c r="B31" i="9" s="1"/>
  <c r="AB30" i="9"/>
  <c r="B30" i="9" s="1"/>
  <c r="AC30" i="9"/>
  <c r="C30" i="9" s="1"/>
  <c r="M30" i="9" s="1"/>
  <c r="P30" i="9" s="1"/>
  <c r="AC29" i="9"/>
  <c r="C29" i="9" s="1"/>
  <c r="AB29" i="9"/>
  <c r="B29" i="9" s="1"/>
  <c r="AB28" i="9"/>
  <c r="B28" i="9" s="1"/>
  <c r="AC28" i="9"/>
  <c r="C28" i="9" s="1"/>
  <c r="AC27" i="9"/>
  <c r="C27" i="9" s="1"/>
  <c r="G27" i="9" s="1"/>
  <c r="AB27" i="9"/>
  <c r="B27" i="9" s="1"/>
  <c r="AB26" i="9"/>
  <c r="B26" i="9" s="1"/>
  <c r="AC26" i="9"/>
  <c r="C26" i="9" s="1"/>
  <c r="G26" i="9" s="1"/>
  <c r="J26" i="9" s="1"/>
  <c r="AC25" i="9"/>
  <c r="C25" i="9" s="1"/>
  <c r="G25" i="9" s="1"/>
  <c r="AB25" i="9"/>
  <c r="B25" i="9" s="1"/>
  <c r="AB24" i="9"/>
  <c r="B24" i="9" s="1"/>
  <c r="AC24" i="9"/>
  <c r="C24" i="9" s="1"/>
  <c r="AC23" i="9"/>
  <c r="C23" i="9" s="1"/>
  <c r="F23" i="9" s="1"/>
  <c r="AB23" i="9"/>
  <c r="B23" i="9" s="1"/>
  <c r="AB22" i="9"/>
  <c r="B22" i="9" s="1"/>
  <c r="AC22" i="9"/>
  <c r="C22" i="9" s="1"/>
  <c r="G22" i="9" s="1"/>
  <c r="AC21" i="9"/>
  <c r="C21" i="9" s="1"/>
  <c r="G21" i="9" s="1"/>
  <c r="AB21" i="9"/>
  <c r="B21" i="9" s="1"/>
  <c r="AB20" i="9"/>
  <c r="B20" i="9" s="1"/>
  <c r="AC20" i="9"/>
  <c r="C20" i="9" s="1"/>
  <c r="AC19" i="9"/>
  <c r="C19" i="9" s="1"/>
  <c r="N19" i="9" s="1"/>
  <c r="L19" i="9" s="1"/>
  <c r="AB19" i="9"/>
  <c r="B19" i="9" s="1"/>
  <c r="M62" i="9"/>
  <c r="P62" i="9" s="1"/>
  <c r="M60" i="9"/>
  <c r="P60" i="9" s="1"/>
  <c r="N59" i="9"/>
  <c r="L59" i="9" s="1"/>
  <c r="M58" i="9"/>
  <c r="P58" i="9" s="1"/>
  <c r="M56" i="9"/>
  <c r="P56" i="9" s="1"/>
  <c r="N55" i="9"/>
  <c r="L55" i="9" s="1"/>
  <c r="M54" i="9"/>
  <c r="P54" i="9" s="1"/>
  <c r="M52" i="9"/>
  <c r="P52" i="9" s="1"/>
  <c r="N51" i="9"/>
  <c r="L51" i="9" s="1"/>
  <c r="M50" i="9"/>
  <c r="P50" i="9" s="1"/>
  <c r="M48" i="9"/>
  <c r="P48" i="9" s="1"/>
  <c r="G47" i="9"/>
  <c r="N42" i="9"/>
  <c r="L42" i="9" s="1"/>
  <c r="F42" i="9"/>
  <c r="G34" i="9"/>
  <c r="N34" i="9"/>
  <c r="L34" i="9" s="1"/>
  <c r="N46" i="9"/>
  <c r="L46" i="9" s="1"/>
  <c r="F46" i="9"/>
  <c r="G38" i="9"/>
  <c r="N38" i="9"/>
  <c r="L38" i="9" s="1"/>
  <c r="M37" i="9"/>
  <c r="P37" i="9" s="1"/>
  <c r="G44" i="9"/>
  <c r="N44" i="9"/>
  <c r="L44" i="9" s="1"/>
  <c r="G40" i="9"/>
  <c r="N40" i="9"/>
  <c r="L40" i="9" s="1"/>
  <c r="G36" i="9"/>
  <c r="N36" i="9"/>
  <c r="L36" i="9" s="1"/>
  <c r="G32" i="9"/>
  <c r="N32" i="9"/>
  <c r="L32" i="9" s="1"/>
  <c r="N23" i="9"/>
  <c r="L23" i="9" s="1"/>
  <c r="M22" i="9"/>
  <c r="P22" i="9" s="1"/>
  <c r="N22" i="9"/>
  <c r="L22" i="9" s="1"/>
  <c r="G30" i="9"/>
  <c r="N30" i="9"/>
  <c r="L30" i="9" s="1"/>
  <c r="F26" i="9"/>
  <c r="M26" i="9"/>
  <c r="P26" i="9" s="1"/>
  <c r="J22" i="9"/>
  <c r="G19" i="9"/>
  <c r="F28" i="9"/>
  <c r="M28" i="9"/>
  <c r="F24" i="9"/>
  <c r="M24" i="9"/>
  <c r="P24" i="9" s="1"/>
  <c r="F20" i="9"/>
  <c r="M20" i="9"/>
  <c r="Y8" i="9"/>
  <c r="AA8" i="9" s="1"/>
  <c r="Z9" i="9"/>
  <c r="Z10" i="9"/>
  <c r="W6" i="9"/>
  <c r="W9" i="9"/>
  <c r="Z7" i="9"/>
  <c r="W7" i="9" s="1"/>
  <c r="Z8" i="9"/>
  <c r="Y9" i="9"/>
  <c r="AA9" i="9" s="1"/>
  <c r="Y10" i="9"/>
  <c r="AA10" i="9" s="1"/>
  <c r="W10" i="9" s="1"/>
  <c r="Z16" i="9"/>
  <c r="W16" i="9" s="1"/>
  <c r="Z17" i="9"/>
  <c r="W17" i="9" s="1"/>
  <c r="Z18" i="9"/>
  <c r="W18" i="9" s="1"/>
  <c r="D114" i="15" l="1"/>
  <c r="AL67" i="15"/>
  <c r="R139" i="15"/>
  <c r="AL85" i="15"/>
  <c r="D78" i="15"/>
  <c r="AK161" i="15"/>
  <c r="AL83" i="15"/>
  <c r="AL202" i="15"/>
  <c r="R194" i="15"/>
  <c r="D81" i="15"/>
  <c r="Q81" i="15" s="1"/>
  <c r="Q140" i="15"/>
  <c r="AL123" i="15"/>
  <c r="R114" i="15"/>
  <c r="AL74" i="15"/>
  <c r="AL71" i="15"/>
  <c r="D218" i="15"/>
  <c r="AK218" i="15" s="1"/>
  <c r="Q160" i="15"/>
  <c r="D142" i="15"/>
  <c r="Q142" i="15" s="1"/>
  <c r="AL102" i="15"/>
  <c r="AL112" i="15"/>
  <c r="R155" i="15"/>
  <c r="R76" i="15"/>
  <c r="AL147" i="15"/>
  <c r="AL95" i="15"/>
  <c r="AL118" i="15"/>
  <c r="D97" i="15"/>
  <c r="AK97" i="15" s="1"/>
  <c r="R93" i="15"/>
  <c r="D110" i="15"/>
  <c r="AL99" i="15"/>
  <c r="R104" i="15"/>
  <c r="AL144" i="15"/>
  <c r="R91" i="15"/>
  <c r="AK118" i="15"/>
  <c r="AK192" i="15"/>
  <c r="D77" i="15"/>
  <c r="Q77" i="15" s="1"/>
  <c r="AK141" i="15"/>
  <c r="AL216" i="15"/>
  <c r="R98" i="15"/>
  <c r="Q144" i="15"/>
  <c r="AL72" i="15"/>
  <c r="AL113" i="15"/>
  <c r="AK104" i="15"/>
  <c r="D75" i="15"/>
  <c r="AL137" i="15"/>
  <c r="R77" i="15"/>
  <c r="D175" i="15"/>
  <c r="Q175" i="15" s="1"/>
  <c r="AL75" i="15"/>
  <c r="Q100" i="15"/>
  <c r="AL82" i="15"/>
  <c r="R78" i="15"/>
  <c r="AK155" i="15"/>
  <c r="AK105" i="15"/>
  <c r="Q101" i="15"/>
  <c r="K193" i="15"/>
  <c r="D193" i="15"/>
  <c r="D214" i="15"/>
  <c r="AK214" i="15" s="1"/>
  <c r="K123" i="15"/>
  <c r="Q97" i="15"/>
  <c r="Q106" i="15"/>
  <c r="Q132" i="15"/>
  <c r="R89" i="15"/>
  <c r="D73" i="15"/>
  <c r="Q73" i="15" s="1"/>
  <c r="D163" i="15"/>
  <c r="Q163" i="15" s="1"/>
  <c r="AK68" i="15"/>
  <c r="R88" i="15"/>
  <c r="D157" i="15"/>
  <c r="Q157" i="15" s="1"/>
  <c r="R115" i="15"/>
  <c r="AK107" i="15"/>
  <c r="D98" i="15"/>
  <c r="D147" i="15"/>
  <c r="AK147" i="15" s="1"/>
  <c r="R131" i="15"/>
  <c r="R84" i="15"/>
  <c r="D84" i="15"/>
  <c r="AK84" i="15" s="1"/>
  <c r="R207" i="15"/>
  <c r="Q208" i="15"/>
  <c r="AK130" i="15"/>
  <c r="AK138" i="15"/>
  <c r="AL197" i="15"/>
  <c r="AL110" i="15"/>
  <c r="AK90" i="15"/>
  <c r="AL151" i="15"/>
  <c r="AL157" i="15"/>
  <c r="Q85" i="15"/>
  <c r="AL119" i="15"/>
  <c r="AL204" i="15"/>
  <c r="Q86" i="15"/>
  <c r="AK143" i="15"/>
  <c r="K108" i="15"/>
  <c r="AL81" i="15"/>
  <c r="R163" i="15"/>
  <c r="AK135" i="15"/>
  <c r="AK66" i="15"/>
  <c r="Q202" i="15"/>
  <c r="Q168" i="15"/>
  <c r="AL103" i="15"/>
  <c r="AK159" i="15"/>
  <c r="AK83" i="15"/>
  <c r="Q91" i="15"/>
  <c r="K139" i="15"/>
  <c r="AK102" i="15"/>
  <c r="AK194" i="15"/>
  <c r="AL68" i="15"/>
  <c r="AL142" i="15"/>
  <c r="AL198" i="15"/>
  <c r="AK109" i="15"/>
  <c r="Q136" i="15"/>
  <c r="D96" i="15"/>
  <c r="AK92" i="15"/>
  <c r="AL105" i="15"/>
  <c r="AK151" i="15"/>
  <c r="R80" i="15"/>
  <c r="D183" i="15"/>
  <c r="Q183" i="15" s="1"/>
  <c r="AK99" i="15"/>
  <c r="D188" i="15"/>
  <c r="Q188" i="15" s="1"/>
  <c r="AK89" i="15"/>
  <c r="AK169" i="15"/>
  <c r="D93" i="15"/>
  <c r="AK154" i="15"/>
  <c r="AK166" i="15"/>
  <c r="AK167" i="15"/>
  <c r="D190" i="15"/>
  <c r="Q190" i="15" s="1"/>
  <c r="AL108" i="15"/>
  <c r="AK124" i="15"/>
  <c r="K95" i="15"/>
  <c r="D95" i="15"/>
  <c r="AK142" i="15"/>
  <c r="Q210" i="15"/>
  <c r="AK210" i="15"/>
  <c r="AK203" i="15"/>
  <c r="Q206" i="15"/>
  <c r="AK195" i="15"/>
  <c r="D179" i="15"/>
  <c r="D189" i="15"/>
  <c r="AK145" i="15"/>
  <c r="AK67" i="15"/>
  <c r="D170" i="15"/>
  <c r="D181" i="15"/>
  <c r="Q181" i="15" s="1"/>
  <c r="D69" i="15"/>
  <c r="Q69" i="15" s="1"/>
  <c r="Q158" i="15"/>
  <c r="AK158" i="15"/>
  <c r="Q137" i="15"/>
  <c r="AK137" i="15"/>
  <c r="AK183" i="15"/>
  <c r="D71" i="15"/>
  <c r="Q71" i="15" s="1"/>
  <c r="D209" i="15"/>
  <c r="AK209" i="15" s="1"/>
  <c r="AK213" i="15"/>
  <c r="E7" i="15"/>
  <c r="R7" i="15" s="1"/>
  <c r="Q150" i="15"/>
  <c r="AK150" i="15"/>
  <c r="E15" i="21"/>
  <c r="AL15" i="21" s="1"/>
  <c r="N49" i="9"/>
  <c r="L49" i="9" s="1"/>
  <c r="N33" i="9"/>
  <c r="L33" i="9" s="1"/>
  <c r="R176" i="15"/>
  <c r="AL176" i="15"/>
  <c r="R134" i="15"/>
  <c r="AL134" i="15"/>
  <c r="Q126" i="15"/>
  <c r="AK126" i="15"/>
  <c r="Q212" i="15"/>
  <c r="AK212" i="15"/>
  <c r="Q215" i="15"/>
  <c r="AK215" i="15"/>
  <c r="Q217" i="15"/>
  <c r="AK217" i="15"/>
  <c r="R177" i="15"/>
  <c r="AL177" i="15"/>
  <c r="Q149" i="15"/>
  <c r="AK149" i="15"/>
  <c r="Q200" i="15"/>
  <c r="AK200" i="15"/>
  <c r="R190" i="15"/>
  <c r="AL190" i="15"/>
  <c r="Q197" i="15"/>
  <c r="AK197" i="15"/>
  <c r="Q165" i="15"/>
  <c r="AK165" i="15"/>
  <c r="Q152" i="15"/>
  <c r="AK152" i="15"/>
  <c r="R189" i="15"/>
  <c r="AL189" i="15"/>
  <c r="Q123" i="15"/>
  <c r="AK123" i="15"/>
  <c r="Q211" i="15"/>
  <c r="AK211" i="15"/>
  <c r="Q122" i="15"/>
  <c r="AK122" i="15"/>
  <c r="D174" i="15"/>
  <c r="Q117" i="15"/>
  <c r="AK117" i="15"/>
  <c r="AC129" i="9"/>
  <c r="C129" i="9" s="1"/>
  <c r="AB129" i="9"/>
  <c r="B129" i="9" s="1"/>
  <c r="R178" i="15"/>
  <c r="AL178" i="15"/>
  <c r="R181" i="15"/>
  <c r="AL181" i="15"/>
  <c r="Q116" i="15"/>
  <c r="AK116" i="15"/>
  <c r="D178" i="15"/>
  <c r="R170" i="15"/>
  <c r="AL170" i="15"/>
  <c r="Q139" i="15"/>
  <c r="AK139" i="15"/>
  <c r="Q125" i="15"/>
  <c r="AK125" i="15"/>
  <c r="Q82" i="15"/>
  <c r="AK82" i="15"/>
  <c r="Q153" i="15"/>
  <c r="AK153" i="15"/>
  <c r="Q94" i="15"/>
  <c r="AK94" i="15"/>
  <c r="R175" i="15"/>
  <c r="AL175" i="15"/>
  <c r="Q120" i="15"/>
  <c r="AK120" i="15"/>
  <c r="Q113" i="15"/>
  <c r="AK113" i="15"/>
  <c r="R171" i="15"/>
  <c r="AL171" i="15"/>
  <c r="Q121" i="15"/>
  <c r="AK121" i="15"/>
  <c r="Q80" i="15"/>
  <c r="AK80" i="15"/>
  <c r="R172" i="15"/>
  <c r="AL172" i="15"/>
  <c r="D180" i="15"/>
  <c r="Q115" i="15"/>
  <c r="AK115" i="15"/>
  <c r="R184" i="15"/>
  <c r="AL184" i="15"/>
  <c r="K187" i="15"/>
  <c r="D187" i="15"/>
  <c r="AC127" i="9"/>
  <c r="C127" i="9" s="1"/>
  <c r="AB127" i="9"/>
  <c r="B127" i="9" s="1"/>
  <c r="R182" i="15"/>
  <c r="AL182" i="15"/>
  <c r="Q133" i="15"/>
  <c r="AK133" i="15"/>
  <c r="R183" i="15"/>
  <c r="AL183" i="15"/>
  <c r="Q146" i="15"/>
  <c r="AK146" i="15"/>
  <c r="R209" i="15"/>
  <c r="AL209" i="15"/>
  <c r="Q79" i="15"/>
  <c r="AK79" i="15"/>
  <c r="Q84" i="15"/>
  <c r="Q205" i="15"/>
  <c r="AK205" i="15"/>
  <c r="F27" i="9"/>
  <c r="G23" i="9"/>
  <c r="F37" i="9"/>
  <c r="N45" i="9"/>
  <c r="L45" i="9" s="1"/>
  <c r="O45" i="9" s="1"/>
  <c r="F33" i="9"/>
  <c r="N41" i="9"/>
  <c r="L41" i="9" s="1"/>
  <c r="W8" i="9"/>
  <c r="N21" i="9"/>
  <c r="L21" i="9" s="1"/>
  <c r="E21" i="9" s="1"/>
  <c r="N25" i="9"/>
  <c r="L25" i="9" s="1"/>
  <c r="F19" i="9"/>
  <c r="N26" i="9"/>
  <c r="L26" i="9" s="1"/>
  <c r="N27" i="9"/>
  <c r="L27" i="9" s="1"/>
  <c r="O27" i="9" s="1"/>
  <c r="F22" i="9"/>
  <c r="M31" i="9"/>
  <c r="P31" i="9" s="1"/>
  <c r="M35" i="9"/>
  <c r="P35" i="9" s="1"/>
  <c r="M39" i="9"/>
  <c r="P39" i="9" s="1"/>
  <c r="M43" i="9"/>
  <c r="P43" i="9" s="1"/>
  <c r="F38" i="9"/>
  <c r="M45" i="9"/>
  <c r="P45" i="9" s="1"/>
  <c r="G46" i="9"/>
  <c r="J46" i="9" s="1"/>
  <c r="F34" i="9"/>
  <c r="M41" i="9"/>
  <c r="P41" i="9" s="1"/>
  <c r="G42" i="9"/>
  <c r="AB145" i="9"/>
  <c r="AB153" i="9"/>
  <c r="AB177" i="9"/>
  <c r="AB201" i="9"/>
  <c r="AB205" i="9"/>
  <c r="F8" i="15"/>
  <c r="G8" i="15"/>
  <c r="N8" i="15"/>
  <c r="L8" i="15" s="1"/>
  <c r="M8" i="15"/>
  <c r="P8" i="15" s="1"/>
  <c r="D14" i="21"/>
  <c r="Q14" i="21" s="1"/>
  <c r="R173" i="15"/>
  <c r="AL173" i="15"/>
  <c r="Q201" i="15"/>
  <c r="AK201" i="15"/>
  <c r="R180" i="15"/>
  <c r="AL180" i="15"/>
  <c r="R188" i="15"/>
  <c r="AL188" i="15"/>
  <c r="R191" i="15"/>
  <c r="AL191" i="15"/>
  <c r="Q164" i="15"/>
  <c r="AK164" i="15"/>
  <c r="R186" i="15"/>
  <c r="AL186" i="15"/>
  <c r="D177" i="15"/>
  <c r="H7" i="15"/>
  <c r="S7" i="15"/>
  <c r="Q204" i="15"/>
  <c r="AK204" i="15"/>
  <c r="Q128" i="15"/>
  <c r="AK128" i="15"/>
  <c r="Q207" i="15"/>
  <c r="AK207" i="15"/>
  <c r="R179" i="15"/>
  <c r="AL179" i="15"/>
  <c r="R187" i="15"/>
  <c r="AL187" i="15"/>
  <c r="Q114" i="15"/>
  <c r="AK114" i="15"/>
  <c r="D171" i="15"/>
  <c r="Q88" i="15"/>
  <c r="AK88" i="15"/>
  <c r="D186" i="15"/>
  <c r="R174" i="15"/>
  <c r="AL174" i="15"/>
  <c r="Q156" i="15"/>
  <c r="AK156" i="15"/>
  <c r="D182" i="15"/>
  <c r="D173" i="15"/>
  <c r="G29" i="9"/>
  <c r="J29" i="9" s="1"/>
  <c r="G51" i="9"/>
  <c r="J51" i="9" s="1"/>
  <c r="G53" i="9"/>
  <c r="J53" i="9" s="1"/>
  <c r="G55" i="9"/>
  <c r="J55" i="9" s="1"/>
  <c r="G57" i="9"/>
  <c r="J57" i="9" s="1"/>
  <c r="G59" i="9"/>
  <c r="J59" i="9" s="1"/>
  <c r="G61" i="9"/>
  <c r="J61" i="9" s="1"/>
  <c r="Q111" i="15"/>
  <c r="AK111" i="15"/>
  <c r="Q76" i="15"/>
  <c r="AK76" i="15"/>
  <c r="R185" i="15"/>
  <c r="AL185" i="15"/>
  <c r="Q131" i="15"/>
  <c r="AK131" i="15"/>
  <c r="Q196" i="15"/>
  <c r="AK196" i="15"/>
  <c r="Q74" i="15"/>
  <c r="AK74" i="15"/>
  <c r="Q199" i="15"/>
  <c r="AK199" i="15"/>
  <c r="Q198" i="15"/>
  <c r="AK198" i="15"/>
  <c r="D185" i="15"/>
  <c r="Q78" i="15"/>
  <c r="AK78" i="15"/>
  <c r="D70" i="15"/>
  <c r="Q70" i="15" s="1"/>
  <c r="R116" i="15"/>
  <c r="AL116" i="15"/>
  <c r="Q119" i="15"/>
  <c r="AK119" i="15"/>
  <c r="D172" i="15"/>
  <c r="K191" i="15"/>
  <c r="D191" i="15"/>
  <c r="D134" i="15"/>
  <c r="Q162" i="15"/>
  <c r="AK162" i="15"/>
  <c r="Q108" i="15"/>
  <c r="AK108" i="15"/>
  <c r="Q148" i="15"/>
  <c r="AK148" i="15"/>
  <c r="Q216" i="15"/>
  <c r="AK216" i="15"/>
  <c r="Q112" i="15"/>
  <c r="AK112" i="15"/>
  <c r="Q87" i="15"/>
  <c r="AK87" i="15"/>
  <c r="Q103" i="15"/>
  <c r="AK103" i="15"/>
  <c r="Q129" i="15"/>
  <c r="AK129" i="15"/>
  <c r="D176" i="15"/>
  <c r="D184" i="15"/>
  <c r="Q127" i="15"/>
  <c r="AK127" i="15"/>
  <c r="U11" i="9"/>
  <c r="AI10" i="9"/>
  <c r="R15" i="21"/>
  <c r="R14" i="21"/>
  <c r="AL14" i="21"/>
  <c r="D15" i="21"/>
  <c r="AB9" i="15"/>
  <c r="B9" i="15" s="1"/>
  <c r="G9" i="15" s="1"/>
  <c r="W10" i="15"/>
  <c r="AL69" i="15"/>
  <c r="AK72" i="15"/>
  <c r="D6" i="15"/>
  <c r="AI11" i="15"/>
  <c r="Z11" i="15"/>
  <c r="Y11" i="15"/>
  <c r="AA11" i="15" s="1"/>
  <c r="AL6" i="15"/>
  <c r="R6" i="15"/>
  <c r="AL70" i="15"/>
  <c r="AK73" i="15"/>
  <c r="M19" i="9"/>
  <c r="P19" i="9" s="1"/>
  <c r="F21" i="9"/>
  <c r="M21" i="9"/>
  <c r="P21" i="9" s="1"/>
  <c r="M23" i="9"/>
  <c r="P23" i="9" s="1"/>
  <c r="F25" i="9"/>
  <c r="M25" i="9"/>
  <c r="P25" i="9" s="1"/>
  <c r="M27" i="9"/>
  <c r="P27" i="9" s="1"/>
  <c r="N29" i="9"/>
  <c r="L29" i="9" s="1"/>
  <c r="F29" i="9"/>
  <c r="M29" i="9"/>
  <c r="P29" i="9" s="1"/>
  <c r="F30" i="9"/>
  <c r="G31" i="9"/>
  <c r="J31" i="9" s="1"/>
  <c r="N31" i="9"/>
  <c r="L31" i="9" s="1"/>
  <c r="O31" i="9" s="1"/>
  <c r="G33" i="9"/>
  <c r="J33" i="9" s="1"/>
  <c r="N35" i="9"/>
  <c r="L35" i="9" s="1"/>
  <c r="O35" i="9" s="1"/>
  <c r="G35" i="9"/>
  <c r="J35" i="9" s="1"/>
  <c r="G37" i="9"/>
  <c r="J37" i="9" s="1"/>
  <c r="G39" i="9"/>
  <c r="J39" i="9" s="1"/>
  <c r="N39" i="9"/>
  <c r="L39" i="9" s="1"/>
  <c r="O39" i="9" s="1"/>
  <c r="G41" i="9"/>
  <c r="J41" i="9" s="1"/>
  <c r="N43" i="9"/>
  <c r="L43" i="9" s="1"/>
  <c r="O43" i="9" s="1"/>
  <c r="G43" i="9"/>
  <c r="J43" i="9" s="1"/>
  <c r="G45" i="9"/>
  <c r="J45" i="9" s="1"/>
  <c r="F47" i="9"/>
  <c r="M47" i="9"/>
  <c r="P47" i="9" s="1"/>
  <c r="M49" i="9"/>
  <c r="P49" i="9" s="1"/>
  <c r="F49" i="9"/>
  <c r="M51" i="9"/>
  <c r="P51" i="9" s="1"/>
  <c r="F51" i="9"/>
  <c r="M53" i="9"/>
  <c r="P53" i="9" s="1"/>
  <c r="F53" i="9"/>
  <c r="F55" i="9"/>
  <c r="M55" i="9"/>
  <c r="P55" i="9" s="1"/>
  <c r="M57" i="9"/>
  <c r="P57" i="9" s="1"/>
  <c r="F57" i="9"/>
  <c r="F59" i="9"/>
  <c r="M59" i="9"/>
  <c r="P59" i="9" s="1"/>
  <c r="M61" i="9"/>
  <c r="P61" i="9" s="1"/>
  <c r="F61" i="9"/>
  <c r="G20" i="9"/>
  <c r="J20" i="9" s="1"/>
  <c r="N20" i="9"/>
  <c r="L20" i="9" s="1"/>
  <c r="O20" i="9" s="1"/>
  <c r="G24" i="9"/>
  <c r="J24" i="9" s="1"/>
  <c r="N24" i="9"/>
  <c r="L24" i="9" s="1"/>
  <c r="O24" i="9" s="1"/>
  <c r="G28" i="9"/>
  <c r="J28" i="9" s="1"/>
  <c r="N28" i="9"/>
  <c r="L28" i="9" s="1"/>
  <c r="O28" i="9" s="1"/>
  <c r="F32" i="9"/>
  <c r="M32" i="9"/>
  <c r="P32" i="9" s="1"/>
  <c r="F36" i="9"/>
  <c r="M36" i="9"/>
  <c r="P36" i="9" s="1"/>
  <c r="M40" i="9"/>
  <c r="P40" i="9" s="1"/>
  <c r="F40" i="9"/>
  <c r="F44" i="9"/>
  <c r="M44" i="9"/>
  <c r="P44" i="9" s="1"/>
  <c r="F48" i="9"/>
  <c r="G48" i="9"/>
  <c r="N48" i="9"/>
  <c r="L48" i="9" s="1"/>
  <c r="O48" i="9" s="1"/>
  <c r="F50" i="9"/>
  <c r="G50" i="9"/>
  <c r="N50" i="9"/>
  <c r="L50" i="9" s="1"/>
  <c r="O50" i="9" s="1"/>
  <c r="F52" i="9"/>
  <c r="G52" i="9"/>
  <c r="N52" i="9"/>
  <c r="L52" i="9" s="1"/>
  <c r="O52" i="9" s="1"/>
  <c r="F54" i="9"/>
  <c r="G54" i="9"/>
  <c r="N54" i="9"/>
  <c r="L54" i="9" s="1"/>
  <c r="O54" i="9" s="1"/>
  <c r="F56" i="9"/>
  <c r="N56" i="9"/>
  <c r="L56" i="9" s="1"/>
  <c r="O56" i="9" s="1"/>
  <c r="G56" i="9"/>
  <c r="J56" i="9" s="1"/>
  <c r="F58" i="9"/>
  <c r="G58" i="9"/>
  <c r="N58" i="9"/>
  <c r="L58" i="9" s="1"/>
  <c r="O58" i="9" s="1"/>
  <c r="F60" i="9"/>
  <c r="N60" i="9"/>
  <c r="L60" i="9" s="1"/>
  <c r="O60" i="9" s="1"/>
  <c r="G60" i="9"/>
  <c r="J60" i="9" s="1"/>
  <c r="F62" i="9"/>
  <c r="G62" i="9"/>
  <c r="N62" i="9"/>
  <c r="L62" i="9" s="1"/>
  <c r="O62" i="9" s="1"/>
  <c r="P20" i="9"/>
  <c r="J21" i="9"/>
  <c r="H24" i="9"/>
  <c r="S24" i="9"/>
  <c r="E25" i="9"/>
  <c r="O25" i="9"/>
  <c r="P28" i="9"/>
  <c r="O19" i="9"/>
  <c r="O26" i="9"/>
  <c r="E26" i="9"/>
  <c r="H26" i="9"/>
  <c r="S26" i="9"/>
  <c r="E27" i="9"/>
  <c r="E30" i="9"/>
  <c r="O30" i="9"/>
  <c r="O22" i="9"/>
  <c r="E22" i="9"/>
  <c r="H22" i="9"/>
  <c r="S22" i="9"/>
  <c r="E23" i="9"/>
  <c r="O23" i="9"/>
  <c r="H31" i="9"/>
  <c r="S31" i="9"/>
  <c r="O32" i="9"/>
  <c r="J36" i="9"/>
  <c r="H39" i="9"/>
  <c r="S39" i="9"/>
  <c r="E40" i="9"/>
  <c r="O40" i="9"/>
  <c r="J44" i="9"/>
  <c r="S38" i="9"/>
  <c r="H38" i="9"/>
  <c r="K38" i="9" s="1"/>
  <c r="J38" i="9"/>
  <c r="S46" i="9"/>
  <c r="H46" i="9"/>
  <c r="K46" i="9" s="1"/>
  <c r="S34" i="9"/>
  <c r="H34" i="9"/>
  <c r="K34" i="9" s="1"/>
  <c r="J34" i="9"/>
  <c r="O41" i="9"/>
  <c r="E41" i="9"/>
  <c r="H41" i="9"/>
  <c r="S41" i="9"/>
  <c r="E42" i="9"/>
  <c r="O42" i="9"/>
  <c r="J47" i="9"/>
  <c r="O49" i="9"/>
  <c r="E49" i="9"/>
  <c r="O51" i="9"/>
  <c r="O53" i="9"/>
  <c r="E53" i="9"/>
  <c r="E50" i="9"/>
  <c r="H20" i="9"/>
  <c r="S20" i="9"/>
  <c r="J25" i="9"/>
  <c r="H28" i="9"/>
  <c r="S28" i="9"/>
  <c r="S19" i="9"/>
  <c r="H19" i="9"/>
  <c r="K19" i="9" s="1"/>
  <c r="J19" i="9"/>
  <c r="S27" i="9"/>
  <c r="H27" i="9"/>
  <c r="K27" i="9" s="1"/>
  <c r="J27" i="9"/>
  <c r="J30" i="9"/>
  <c r="S23" i="9"/>
  <c r="H23" i="9"/>
  <c r="K23" i="9" s="1"/>
  <c r="J23" i="9"/>
  <c r="J32" i="9"/>
  <c r="H35" i="9"/>
  <c r="S35" i="9"/>
  <c r="E36" i="9"/>
  <c r="O36" i="9"/>
  <c r="J40" i="9"/>
  <c r="H43" i="9"/>
  <c r="S43" i="9"/>
  <c r="E44" i="9"/>
  <c r="O44" i="9"/>
  <c r="O37" i="9"/>
  <c r="E37" i="9"/>
  <c r="H37" i="9"/>
  <c r="S37" i="9"/>
  <c r="E38" i="9"/>
  <c r="O38" i="9"/>
  <c r="H45" i="9"/>
  <c r="S45" i="9"/>
  <c r="E46" i="9"/>
  <c r="O46" i="9"/>
  <c r="E31" i="9"/>
  <c r="O33" i="9"/>
  <c r="E33" i="9"/>
  <c r="H33" i="9"/>
  <c r="S33" i="9"/>
  <c r="E34" i="9"/>
  <c r="O34" i="9"/>
  <c r="S42" i="9"/>
  <c r="H42" i="9"/>
  <c r="K42" i="9" s="1"/>
  <c r="J42" i="9"/>
  <c r="D42" i="9"/>
  <c r="O47" i="9"/>
  <c r="E55" i="9"/>
  <c r="O55" i="9"/>
  <c r="O57" i="9"/>
  <c r="E57" i="9"/>
  <c r="E59" i="9"/>
  <c r="O59" i="9"/>
  <c r="O61" i="9"/>
  <c r="E61" i="9"/>
  <c r="E48" i="9"/>
  <c r="E52" i="9"/>
  <c r="AB10" i="9"/>
  <c r="B10" i="9" s="1"/>
  <c r="AC10" i="9"/>
  <c r="C10" i="9" s="1"/>
  <c r="AC18" i="9"/>
  <c r="C18" i="9" s="1"/>
  <c r="AB18" i="9"/>
  <c r="B18" i="9" s="1"/>
  <c r="AC16" i="9"/>
  <c r="C16" i="9" s="1"/>
  <c r="AB16" i="9"/>
  <c r="B16" i="9" s="1"/>
  <c r="AB7" i="9"/>
  <c r="B7" i="9" s="1"/>
  <c r="AC7" i="9"/>
  <c r="C7" i="9" s="1"/>
  <c r="AC17" i="9"/>
  <c r="C17" i="9" s="1"/>
  <c r="AB17" i="9"/>
  <c r="B17" i="9" s="1"/>
  <c r="AB8" i="9"/>
  <c r="B8" i="9" s="1"/>
  <c r="AC8" i="9"/>
  <c r="C8" i="9" s="1"/>
  <c r="AB9" i="9"/>
  <c r="B9" i="9" s="1"/>
  <c r="AC9" i="9"/>
  <c r="C9" i="9" s="1"/>
  <c r="AB6" i="9"/>
  <c r="B6" i="9" s="1"/>
  <c r="AC6" i="9"/>
  <c r="C6" i="9" s="1"/>
  <c r="AK181" i="15" l="1"/>
  <c r="AK81" i="15"/>
  <c r="Q218" i="15"/>
  <c r="Q214" i="15"/>
  <c r="AK190" i="15"/>
  <c r="Q209" i="15"/>
  <c r="AK77" i="15"/>
  <c r="AK110" i="15"/>
  <c r="Q110" i="15"/>
  <c r="AK163" i="15"/>
  <c r="AK188" i="15"/>
  <c r="AK175" i="15"/>
  <c r="Q147" i="15"/>
  <c r="Q193" i="15"/>
  <c r="AK193" i="15"/>
  <c r="Q75" i="15"/>
  <c r="AK75" i="15"/>
  <c r="AK157" i="15"/>
  <c r="Q98" i="15"/>
  <c r="AK98" i="15"/>
  <c r="Q96" i="15"/>
  <c r="AK96" i="15"/>
  <c r="AK93" i="15"/>
  <c r="Q93" i="15"/>
  <c r="AL7" i="15"/>
  <c r="Q95" i="15"/>
  <c r="AK95" i="15"/>
  <c r="AK71" i="15"/>
  <c r="Q189" i="15"/>
  <c r="AK189" i="15"/>
  <c r="Q179" i="15"/>
  <c r="AK179" i="15"/>
  <c r="AK69" i="15"/>
  <c r="F9" i="15"/>
  <c r="H9" i="15" s="1"/>
  <c r="K9" i="15" s="1"/>
  <c r="Q170" i="15"/>
  <c r="AK170" i="15"/>
  <c r="AK14" i="21"/>
  <c r="R21" i="9"/>
  <c r="AL21" i="9"/>
  <c r="R48" i="9"/>
  <c r="AL48" i="9"/>
  <c r="R59" i="9"/>
  <c r="AL59" i="9"/>
  <c r="R55" i="9"/>
  <c r="AL55" i="9"/>
  <c r="R34" i="9"/>
  <c r="AL34" i="9"/>
  <c r="R37" i="9"/>
  <c r="AL37" i="9"/>
  <c r="R53" i="9"/>
  <c r="AL53" i="9"/>
  <c r="R49" i="9"/>
  <c r="AL49" i="9"/>
  <c r="R42" i="9"/>
  <c r="AL42" i="9"/>
  <c r="R23" i="9"/>
  <c r="AL23" i="9"/>
  <c r="R27" i="9"/>
  <c r="AL27" i="9"/>
  <c r="Q172" i="15"/>
  <c r="AK172" i="15"/>
  <c r="Q185" i="15"/>
  <c r="AK185" i="15"/>
  <c r="J8" i="15"/>
  <c r="Q187" i="15"/>
  <c r="AK187" i="15"/>
  <c r="R61" i="9"/>
  <c r="AL61" i="9"/>
  <c r="R57" i="9"/>
  <c r="AL57" i="9"/>
  <c r="R31" i="9"/>
  <c r="AL31" i="9"/>
  <c r="R38" i="9"/>
  <c r="AL38" i="9"/>
  <c r="R36" i="9"/>
  <c r="AL36" i="9"/>
  <c r="D23" i="9"/>
  <c r="O21" i="9"/>
  <c r="D34" i="9"/>
  <c r="D46" i="9"/>
  <c r="D38" i="9"/>
  <c r="R25" i="9"/>
  <c r="AL25" i="9"/>
  <c r="J9" i="15"/>
  <c r="Q134" i="15"/>
  <c r="AK134" i="15"/>
  <c r="M9" i="15"/>
  <c r="P9" i="15" s="1"/>
  <c r="Q171" i="15"/>
  <c r="AK171" i="15"/>
  <c r="K7" i="15"/>
  <c r="D7" i="15"/>
  <c r="Q7" i="15" s="1"/>
  <c r="S8" i="15"/>
  <c r="H8" i="15"/>
  <c r="K8" i="15" s="1"/>
  <c r="E56" i="9"/>
  <c r="E47" i="9"/>
  <c r="E45" i="9"/>
  <c r="D27" i="9"/>
  <c r="D19" i="9"/>
  <c r="E51" i="9"/>
  <c r="E24" i="9"/>
  <c r="R30" i="9"/>
  <c r="AL30" i="9"/>
  <c r="E19" i="9"/>
  <c r="Q184" i="15"/>
  <c r="AK184" i="15"/>
  <c r="Q191" i="15"/>
  <c r="AK191" i="15"/>
  <c r="Q173" i="15"/>
  <c r="AK173" i="15"/>
  <c r="Q186" i="15"/>
  <c r="AK186" i="15"/>
  <c r="Q177" i="15"/>
  <c r="AK177" i="15"/>
  <c r="Q178" i="15"/>
  <c r="AK178" i="15"/>
  <c r="F18" i="9"/>
  <c r="N18" i="9"/>
  <c r="L18" i="9" s="1"/>
  <c r="G18" i="9"/>
  <c r="M18" i="9"/>
  <c r="P18" i="9" s="1"/>
  <c r="R52" i="9"/>
  <c r="AL52" i="9"/>
  <c r="Q42" i="9"/>
  <c r="AK42" i="9"/>
  <c r="R33" i="9"/>
  <c r="AL33" i="9"/>
  <c r="R46" i="9"/>
  <c r="AL46" i="9"/>
  <c r="R44" i="9"/>
  <c r="AL44" i="9"/>
  <c r="R50" i="9"/>
  <c r="AL50" i="9"/>
  <c r="R41" i="9"/>
  <c r="AL41" i="9"/>
  <c r="R40" i="9"/>
  <c r="AL40" i="9"/>
  <c r="R22" i="9"/>
  <c r="AL22" i="9"/>
  <c r="R26" i="9"/>
  <c r="AL26" i="9"/>
  <c r="U12" i="9"/>
  <c r="AI11" i="9"/>
  <c r="Y11" i="9"/>
  <c r="AA11" i="9" s="1"/>
  <c r="Z11" i="9"/>
  <c r="W11" i="9" s="1"/>
  <c r="Q176" i="15"/>
  <c r="AK176" i="15"/>
  <c r="N9" i="15"/>
  <c r="L9" i="15" s="1"/>
  <c r="Q182" i="15"/>
  <c r="AK182" i="15"/>
  <c r="O8" i="15"/>
  <c r="E8" i="15"/>
  <c r="R8" i="15" s="1"/>
  <c r="Q180" i="15"/>
  <c r="AK180" i="15"/>
  <c r="Q174" i="15"/>
  <c r="AK174" i="15"/>
  <c r="Q15" i="21"/>
  <c r="AK15" i="21"/>
  <c r="W11" i="15"/>
  <c r="AB11" i="15" s="1"/>
  <c r="B11" i="15" s="1"/>
  <c r="AK70" i="15"/>
  <c r="Y12" i="15"/>
  <c r="AA12" i="15" s="1"/>
  <c r="AI12" i="15"/>
  <c r="Z12" i="15"/>
  <c r="AK6" i="15"/>
  <c r="Q6" i="15"/>
  <c r="T6" i="15" s="1"/>
  <c r="AC10" i="15"/>
  <c r="C10" i="15" s="1"/>
  <c r="AB10" i="15"/>
  <c r="B10" i="15" s="1"/>
  <c r="H62" i="9"/>
  <c r="K62" i="9" s="1"/>
  <c r="S62" i="9"/>
  <c r="S58" i="9"/>
  <c r="H58" i="9"/>
  <c r="K58" i="9" s="1"/>
  <c r="H54" i="9"/>
  <c r="K54" i="9" s="1"/>
  <c r="S54" i="9"/>
  <c r="J52" i="9"/>
  <c r="H50" i="9"/>
  <c r="K50" i="9" s="1"/>
  <c r="S50" i="9"/>
  <c r="J48" i="9"/>
  <c r="H40" i="9"/>
  <c r="S40" i="9"/>
  <c r="H61" i="9"/>
  <c r="S61" i="9"/>
  <c r="H57" i="9"/>
  <c r="S57" i="9"/>
  <c r="H53" i="9"/>
  <c r="S53" i="9"/>
  <c r="H51" i="9"/>
  <c r="S51" i="9"/>
  <c r="H49" i="9"/>
  <c r="S49" i="9"/>
  <c r="S30" i="9"/>
  <c r="H30" i="9"/>
  <c r="H29" i="9"/>
  <c r="S29" i="9"/>
  <c r="H25" i="9"/>
  <c r="S25" i="9"/>
  <c r="E62" i="9"/>
  <c r="E54" i="9"/>
  <c r="E35" i="9"/>
  <c r="E39" i="9"/>
  <c r="E58" i="9"/>
  <c r="E60" i="9"/>
  <c r="E43" i="9"/>
  <c r="E32" i="9"/>
  <c r="E28" i="9"/>
  <c r="E20" i="9"/>
  <c r="D62" i="9"/>
  <c r="J62" i="9"/>
  <c r="H60" i="9"/>
  <c r="S60" i="9"/>
  <c r="D58" i="9"/>
  <c r="J58" i="9"/>
  <c r="H56" i="9"/>
  <c r="S56" i="9"/>
  <c r="J54" i="9"/>
  <c r="H52" i="9"/>
  <c r="K52" i="9" s="1"/>
  <c r="S52" i="9"/>
  <c r="J50" i="9"/>
  <c r="H48" i="9"/>
  <c r="K48" i="9" s="1"/>
  <c r="S48" i="9"/>
  <c r="H44" i="9"/>
  <c r="S44" i="9"/>
  <c r="H36" i="9"/>
  <c r="S36" i="9"/>
  <c r="H32" i="9"/>
  <c r="S32" i="9"/>
  <c r="H59" i="9"/>
  <c r="S59" i="9"/>
  <c r="H55" i="9"/>
  <c r="S55" i="9"/>
  <c r="H47" i="9"/>
  <c r="S47" i="9"/>
  <c r="O29" i="9"/>
  <c r="E29" i="9"/>
  <c r="H21" i="9"/>
  <c r="S21" i="9"/>
  <c r="K45" i="9"/>
  <c r="D45" i="9"/>
  <c r="K37" i="9"/>
  <c r="D37" i="9"/>
  <c r="K43" i="9"/>
  <c r="D43" i="9"/>
  <c r="K35" i="9"/>
  <c r="D35" i="9"/>
  <c r="K28" i="9"/>
  <c r="D28" i="9"/>
  <c r="K20" i="9"/>
  <c r="D20" i="9"/>
  <c r="K22" i="9"/>
  <c r="D22" i="9"/>
  <c r="K26" i="9"/>
  <c r="D26" i="9"/>
  <c r="K24" i="9"/>
  <c r="D24" i="9"/>
  <c r="K33" i="9"/>
  <c r="D33" i="9"/>
  <c r="K41" i="9"/>
  <c r="D41" i="9"/>
  <c r="K39" i="9"/>
  <c r="D39" i="9"/>
  <c r="K31" i="9"/>
  <c r="D31" i="9"/>
  <c r="M6" i="9"/>
  <c r="P6" i="9" s="1"/>
  <c r="F6" i="9"/>
  <c r="G6" i="9"/>
  <c r="N6" i="9"/>
  <c r="L6" i="9" s="1"/>
  <c r="M9" i="9"/>
  <c r="P9" i="9" s="1"/>
  <c r="N9" i="9"/>
  <c r="L9" i="9" s="1"/>
  <c r="G9" i="9"/>
  <c r="F9" i="9"/>
  <c r="N8" i="9"/>
  <c r="L8" i="9" s="1"/>
  <c r="G8" i="9"/>
  <c r="M8" i="9"/>
  <c r="P8" i="9" s="1"/>
  <c r="F8" i="9"/>
  <c r="M7" i="9"/>
  <c r="P7" i="9" s="1"/>
  <c r="N7" i="9"/>
  <c r="L7" i="9" s="1"/>
  <c r="G7" i="9"/>
  <c r="F7" i="9"/>
  <c r="M10" i="9"/>
  <c r="P10" i="9" s="1"/>
  <c r="F10" i="9"/>
  <c r="N10" i="9"/>
  <c r="L10" i="9" s="1"/>
  <c r="G10" i="9"/>
  <c r="N17" i="9"/>
  <c r="L17" i="9" s="1"/>
  <c r="G17" i="9"/>
  <c r="M17" i="9"/>
  <c r="P17" i="9" s="1"/>
  <c r="F17" i="9"/>
  <c r="N16" i="9"/>
  <c r="L16" i="9" s="1"/>
  <c r="G16" i="9"/>
  <c r="M16" i="9"/>
  <c r="P16" i="9" s="1"/>
  <c r="F16" i="9"/>
  <c r="S9" i="15" l="1"/>
  <c r="D8" i="15"/>
  <c r="Q8" i="15" s="1"/>
  <c r="Q62" i="9"/>
  <c r="AK62" i="9"/>
  <c r="AC11" i="9"/>
  <c r="C11" i="9" s="1"/>
  <c r="AB11" i="9"/>
  <c r="B11" i="9" s="1"/>
  <c r="O18" i="9"/>
  <c r="E18" i="9"/>
  <c r="Q19" i="9"/>
  <c r="AK19" i="9"/>
  <c r="R56" i="9"/>
  <c r="AL56" i="9"/>
  <c r="Q46" i="9"/>
  <c r="AK46" i="9"/>
  <c r="Q31" i="9"/>
  <c r="AK31" i="9"/>
  <c r="Q41" i="9"/>
  <c r="AK41" i="9"/>
  <c r="Q24" i="9"/>
  <c r="AK24" i="9"/>
  <c r="Q22" i="9"/>
  <c r="AK22" i="9"/>
  <c r="Q28" i="9"/>
  <c r="AK28" i="9"/>
  <c r="Q43" i="9"/>
  <c r="AK43" i="9"/>
  <c r="Q45" i="9"/>
  <c r="AK45" i="9"/>
  <c r="R29" i="9"/>
  <c r="AL29" i="9"/>
  <c r="R20" i="9"/>
  <c r="AL20" i="9"/>
  <c r="R60" i="9"/>
  <c r="AL60" i="9"/>
  <c r="R54" i="9"/>
  <c r="AL54" i="9"/>
  <c r="AK7" i="15"/>
  <c r="O9" i="15"/>
  <c r="E9" i="15"/>
  <c r="R9" i="15" s="1"/>
  <c r="H18" i="9"/>
  <c r="K18" i="9" s="1"/>
  <c r="S18" i="9"/>
  <c r="Q27" i="9"/>
  <c r="AK27" i="9"/>
  <c r="Q34" i="9"/>
  <c r="AK34" i="9"/>
  <c r="Q58" i="9"/>
  <c r="AK58" i="9"/>
  <c r="R43" i="9"/>
  <c r="AL43" i="9"/>
  <c r="R35" i="9"/>
  <c r="AL35" i="9"/>
  <c r="R28" i="9"/>
  <c r="AL28" i="9"/>
  <c r="R58" i="9"/>
  <c r="AL58" i="9"/>
  <c r="R62" i="9"/>
  <c r="AL62" i="9"/>
  <c r="W12" i="15"/>
  <c r="AB12" i="15" s="1"/>
  <c r="B12" i="15" s="1"/>
  <c r="R24" i="9"/>
  <c r="AL24" i="9"/>
  <c r="R45" i="9"/>
  <c r="AL45" i="9"/>
  <c r="D9" i="15"/>
  <c r="Q9" i="15" s="1"/>
  <c r="Q39" i="9"/>
  <c r="AK39" i="9"/>
  <c r="Q33" i="9"/>
  <c r="AK33" i="9"/>
  <c r="Q26" i="9"/>
  <c r="AK26" i="9"/>
  <c r="Q20" i="9"/>
  <c r="AK20" i="9"/>
  <c r="Q35" i="9"/>
  <c r="AK35" i="9"/>
  <c r="Q37" i="9"/>
  <c r="AK37" i="9"/>
  <c r="R32" i="9"/>
  <c r="AL32" i="9"/>
  <c r="R39" i="9"/>
  <c r="AL39" i="9"/>
  <c r="G10" i="15"/>
  <c r="M10" i="15"/>
  <c r="P10" i="15" s="1"/>
  <c r="N10" i="15"/>
  <c r="L10" i="15" s="1"/>
  <c r="F10" i="15"/>
  <c r="U13" i="9"/>
  <c r="AI12" i="9"/>
  <c r="Y12" i="9"/>
  <c r="AA12" i="9" s="1"/>
  <c r="Z12" i="9"/>
  <c r="J18" i="9"/>
  <c r="R19" i="9"/>
  <c r="AL19" i="9"/>
  <c r="R51" i="9"/>
  <c r="AL51" i="9"/>
  <c r="R47" i="9"/>
  <c r="AL47" i="9"/>
  <c r="Q38" i="9"/>
  <c r="AK38" i="9"/>
  <c r="Q23" i="9"/>
  <c r="AK23" i="9"/>
  <c r="AC11" i="15"/>
  <c r="C11" i="15" s="1"/>
  <c r="AI13" i="15"/>
  <c r="Z13" i="15"/>
  <c r="Y13" i="15"/>
  <c r="AA13" i="15" s="1"/>
  <c r="AL8" i="15"/>
  <c r="K21" i="9"/>
  <c r="D21" i="9"/>
  <c r="K47" i="9"/>
  <c r="D47" i="9"/>
  <c r="K55" i="9"/>
  <c r="D55" i="9"/>
  <c r="K59" i="9"/>
  <c r="D59" i="9"/>
  <c r="K32" i="9"/>
  <c r="D32" i="9"/>
  <c r="K36" i="9"/>
  <c r="D36" i="9"/>
  <c r="K44" i="9"/>
  <c r="D44" i="9"/>
  <c r="K56" i="9"/>
  <c r="D56" i="9"/>
  <c r="K60" i="9"/>
  <c r="D60" i="9"/>
  <c r="K25" i="9"/>
  <c r="D25" i="9"/>
  <c r="D29" i="9"/>
  <c r="K29" i="9"/>
  <c r="K49" i="9"/>
  <c r="D49" i="9"/>
  <c r="K51" i="9"/>
  <c r="D51" i="9"/>
  <c r="K53" i="9"/>
  <c r="D53" i="9"/>
  <c r="K57" i="9"/>
  <c r="D57" i="9"/>
  <c r="K61" i="9"/>
  <c r="D61" i="9"/>
  <c r="K40" i="9"/>
  <c r="D40" i="9"/>
  <c r="D50" i="9"/>
  <c r="D54" i="9"/>
  <c r="K30" i="9"/>
  <c r="D30" i="9"/>
  <c r="D48" i="9"/>
  <c r="D52" i="9"/>
  <c r="E16" i="9"/>
  <c r="O16" i="9"/>
  <c r="E17" i="9"/>
  <c r="O17" i="9"/>
  <c r="O10" i="9"/>
  <c r="E10" i="9"/>
  <c r="J9" i="9"/>
  <c r="S16" i="9"/>
  <c r="H16" i="9"/>
  <c r="K16" i="9" s="1"/>
  <c r="J16" i="9"/>
  <c r="S17" i="9"/>
  <c r="H17" i="9"/>
  <c r="K17" i="9" s="1"/>
  <c r="J17" i="9"/>
  <c r="J10" i="9"/>
  <c r="S10" i="9"/>
  <c r="H10" i="9"/>
  <c r="K10" i="9" s="1"/>
  <c r="S7" i="9"/>
  <c r="H7" i="9"/>
  <c r="K7" i="9" s="1"/>
  <c r="E7" i="9"/>
  <c r="O7" i="9"/>
  <c r="S8" i="9"/>
  <c r="H8" i="9"/>
  <c r="K8" i="9" s="1"/>
  <c r="J8" i="9"/>
  <c r="H9" i="9"/>
  <c r="K9" i="9" s="1"/>
  <c r="S9" i="9"/>
  <c r="E9" i="9"/>
  <c r="O9" i="9"/>
  <c r="O6" i="9"/>
  <c r="E6" i="9"/>
  <c r="S6" i="9"/>
  <c r="H6" i="9"/>
  <c r="K6" i="9" s="1"/>
  <c r="J7" i="9"/>
  <c r="E8" i="9"/>
  <c r="O8" i="9"/>
  <c r="J6" i="9"/>
  <c r="AC12" i="15" l="1"/>
  <c r="C12" i="15" s="1"/>
  <c r="G12" i="15" s="1"/>
  <c r="Q40" i="9"/>
  <c r="AK40" i="9"/>
  <c r="Q32" i="9"/>
  <c r="AK32" i="9"/>
  <c r="R9" i="9"/>
  <c r="AL9" i="9"/>
  <c r="R17" i="9"/>
  <c r="AL17" i="9"/>
  <c r="R16" i="9"/>
  <c r="AL16" i="9"/>
  <c r="Q29" i="9"/>
  <c r="AK29" i="9"/>
  <c r="D18" i="9"/>
  <c r="G11" i="9"/>
  <c r="J11" i="9" s="1"/>
  <c r="M11" i="9"/>
  <c r="P11" i="9" s="1"/>
  <c r="N11" i="9"/>
  <c r="L11" i="9" s="1"/>
  <c r="F11" i="9"/>
  <c r="R7" i="9"/>
  <c r="AL7" i="9"/>
  <c r="Q57" i="9"/>
  <c r="AK57" i="9"/>
  <c r="Q51" i="9"/>
  <c r="AK51" i="9"/>
  <c r="Q44" i="9"/>
  <c r="AK44" i="9"/>
  <c r="Q21" i="9"/>
  <c r="AK21" i="9"/>
  <c r="R8" i="9"/>
  <c r="AL8" i="9"/>
  <c r="R6" i="9"/>
  <c r="AL6" i="9"/>
  <c r="D17" i="9"/>
  <c r="R10" i="9"/>
  <c r="AL10" i="9"/>
  <c r="Q52" i="9"/>
  <c r="AK52" i="9"/>
  <c r="Q54" i="9"/>
  <c r="AK54" i="9"/>
  <c r="Q61" i="9"/>
  <c r="AK61" i="9"/>
  <c r="Q53" i="9"/>
  <c r="AK53" i="9"/>
  <c r="Q49" i="9"/>
  <c r="AK49" i="9"/>
  <c r="Q25" i="9"/>
  <c r="AK25" i="9"/>
  <c r="Q56" i="9"/>
  <c r="AK56" i="9"/>
  <c r="Q36" i="9"/>
  <c r="AK36" i="9"/>
  <c r="Q59" i="9"/>
  <c r="AK59" i="9"/>
  <c r="Q47" i="9"/>
  <c r="AK47" i="9"/>
  <c r="M11" i="15"/>
  <c r="P11" i="15" s="1"/>
  <c r="N11" i="15"/>
  <c r="L11" i="15" s="1"/>
  <c r="F11" i="15"/>
  <c r="G11" i="15"/>
  <c r="U14" i="9"/>
  <c r="AI13" i="9"/>
  <c r="Y13" i="9"/>
  <c r="AA13" i="9" s="1"/>
  <c r="Z13" i="9"/>
  <c r="W13" i="9" s="1"/>
  <c r="J10" i="15"/>
  <c r="AL18" i="9"/>
  <c r="R18" i="9"/>
  <c r="Q30" i="9"/>
  <c r="AK30" i="9"/>
  <c r="Q60" i="9"/>
  <c r="AK60" i="9"/>
  <c r="Q55" i="9"/>
  <c r="AK55" i="9"/>
  <c r="E10" i="15"/>
  <c r="R10" i="15" s="1"/>
  <c r="O10" i="15"/>
  <c r="Q48" i="9"/>
  <c r="AK48" i="9"/>
  <c r="Q50" i="9"/>
  <c r="AK50" i="9"/>
  <c r="AL9" i="15"/>
  <c r="W12" i="9"/>
  <c r="H10" i="15"/>
  <c r="K10" i="15" s="1"/>
  <c r="S10" i="15"/>
  <c r="AK9" i="15"/>
  <c r="Y14" i="15"/>
  <c r="AA14" i="15" s="1"/>
  <c r="AI14" i="15"/>
  <c r="Z14" i="15"/>
  <c r="W13" i="15"/>
  <c r="AK8" i="15"/>
  <c r="D16" i="9"/>
  <c r="D6" i="9"/>
  <c r="D7" i="9"/>
  <c r="D8" i="9"/>
  <c r="D10" i="9"/>
  <c r="D9" i="9"/>
  <c r="M12" i="15" l="1"/>
  <c r="P12" i="15" s="1"/>
  <c r="N12" i="15"/>
  <c r="L12" i="15" s="1"/>
  <c r="O12" i="15" s="1"/>
  <c r="F12" i="15"/>
  <c r="H12" i="15" s="1"/>
  <c r="K12" i="15" s="1"/>
  <c r="Q10" i="9"/>
  <c r="AK10" i="9"/>
  <c r="U15" i="9"/>
  <c r="AI14" i="9"/>
  <c r="Y14" i="9"/>
  <c r="AA14" i="9" s="1"/>
  <c r="Z14" i="9"/>
  <c r="W14" i="9" s="1"/>
  <c r="O11" i="9"/>
  <c r="E11" i="9"/>
  <c r="Q8" i="9"/>
  <c r="AK8" i="9"/>
  <c r="AC13" i="9"/>
  <c r="C13" i="9" s="1"/>
  <c r="AB13" i="9"/>
  <c r="B13" i="9" s="1"/>
  <c r="J11" i="15"/>
  <c r="Q16" i="9"/>
  <c r="AK16" i="9"/>
  <c r="S11" i="15"/>
  <c r="H11" i="15"/>
  <c r="K11" i="15" s="1"/>
  <c r="Q17" i="9"/>
  <c r="AK17" i="9"/>
  <c r="J12" i="15"/>
  <c r="Q6" i="9"/>
  <c r="AK6" i="9"/>
  <c r="Q9" i="9"/>
  <c r="AK9" i="9"/>
  <c r="Q7" i="9"/>
  <c r="AK7" i="9"/>
  <c r="AC12" i="9"/>
  <c r="C12" i="9" s="1"/>
  <c r="AB12" i="9"/>
  <c r="B12" i="9" s="1"/>
  <c r="D10" i="15"/>
  <c r="Q10" i="15" s="1"/>
  <c r="E11" i="15"/>
  <c r="R11" i="15" s="1"/>
  <c r="O11" i="15"/>
  <c r="S11" i="9"/>
  <c r="H11" i="9"/>
  <c r="Q18" i="9"/>
  <c r="AK18" i="9"/>
  <c r="W14" i="15"/>
  <c r="AC14" i="15" s="1"/>
  <c r="C14" i="15" s="1"/>
  <c r="AL10" i="15"/>
  <c r="AB13" i="15"/>
  <c r="B13" i="15" s="1"/>
  <c r="AC13" i="15"/>
  <c r="C13" i="15" s="1"/>
  <c r="AI15" i="15"/>
  <c r="Z15" i="15"/>
  <c r="Y15" i="15"/>
  <c r="AA15" i="15" s="1"/>
  <c r="E12" i="15" l="1"/>
  <c r="R12" i="15" s="1"/>
  <c r="S12" i="15"/>
  <c r="AK10" i="15"/>
  <c r="D11" i="15"/>
  <c r="Q11" i="15" s="1"/>
  <c r="AL11" i="15"/>
  <c r="AB14" i="15"/>
  <c r="B14" i="15" s="1"/>
  <c r="N14" i="15" s="1"/>
  <c r="L14" i="15" s="1"/>
  <c r="D12" i="15"/>
  <c r="Q12" i="15" s="1"/>
  <c r="F12" i="9"/>
  <c r="N12" i="9"/>
  <c r="L12" i="9" s="1"/>
  <c r="M12" i="9"/>
  <c r="P12" i="9" s="1"/>
  <c r="G12" i="9"/>
  <c r="AI15" i="9"/>
  <c r="Y15" i="9"/>
  <c r="AA15" i="9" s="1"/>
  <c r="Z15" i="9"/>
  <c r="W15" i="9" s="1"/>
  <c r="R11" i="9"/>
  <c r="AL11" i="9"/>
  <c r="AC14" i="9"/>
  <c r="C14" i="9" s="1"/>
  <c r="AB14" i="9"/>
  <c r="B14" i="9" s="1"/>
  <c r="M13" i="15"/>
  <c r="P13" i="15" s="1"/>
  <c r="F13" i="15"/>
  <c r="N13" i="15"/>
  <c r="L13" i="15" s="1"/>
  <c r="G13" i="15"/>
  <c r="K11" i="9"/>
  <c r="D11" i="9"/>
  <c r="F13" i="9"/>
  <c r="N13" i="9"/>
  <c r="L13" i="9" s="1"/>
  <c r="G13" i="9"/>
  <c r="M13" i="9"/>
  <c r="P13" i="9" s="1"/>
  <c r="Y16" i="15"/>
  <c r="AA16" i="15" s="1"/>
  <c r="AI16" i="15"/>
  <c r="Z16" i="15"/>
  <c r="W15" i="15"/>
  <c r="AL12" i="15" l="1"/>
  <c r="AK11" i="15"/>
  <c r="F14" i="15"/>
  <c r="S14" i="15" s="1"/>
  <c r="G14" i="15"/>
  <c r="J14" i="15" s="1"/>
  <c r="M14" i="15"/>
  <c r="P14" i="15" s="1"/>
  <c r="J13" i="15"/>
  <c r="AC15" i="9"/>
  <c r="C15" i="9" s="1"/>
  <c r="AB15" i="9"/>
  <c r="B15" i="9" s="1"/>
  <c r="H13" i="9"/>
  <c r="K13" i="9" s="1"/>
  <c r="S13" i="9"/>
  <c r="E13" i="15"/>
  <c r="R13" i="15" s="1"/>
  <c r="O13" i="15"/>
  <c r="E12" i="9"/>
  <c r="O12" i="9"/>
  <c r="H14" i="15"/>
  <c r="K14" i="15" s="1"/>
  <c r="E13" i="9"/>
  <c r="O13" i="9"/>
  <c r="F14" i="9"/>
  <c r="N14" i="9"/>
  <c r="L14" i="9" s="1"/>
  <c r="M14" i="9"/>
  <c r="P14" i="9" s="1"/>
  <c r="G14" i="9"/>
  <c r="W16" i="15"/>
  <c r="AC16" i="15" s="1"/>
  <c r="C16" i="15" s="1"/>
  <c r="Q11" i="9"/>
  <c r="AK11" i="9"/>
  <c r="H13" i="15"/>
  <c r="K13" i="15" s="1"/>
  <c r="S13" i="15"/>
  <c r="H12" i="9"/>
  <c r="K12" i="9" s="1"/>
  <c r="S12" i="9"/>
  <c r="J13" i="9"/>
  <c r="D13" i="9"/>
  <c r="J12" i="9"/>
  <c r="O14" i="15"/>
  <c r="AK12" i="15"/>
  <c r="AB15" i="15"/>
  <c r="B15" i="15" s="1"/>
  <c r="AC15" i="15"/>
  <c r="C15" i="15" s="1"/>
  <c r="AI17" i="15"/>
  <c r="Z17" i="15"/>
  <c r="Y17" i="15"/>
  <c r="AA17" i="15" s="1"/>
  <c r="E14" i="15" l="1"/>
  <c r="R14" i="15" s="1"/>
  <c r="D14" i="15"/>
  <c r="Q14" i="15" s="1"/>
  <c r="AB16" i="15"/>
  <c r="B16" i="15" s="1"/>
  <c r="N16" i="15" s="1"/>
  <c r="L16" i="15" s="1"/>
  <c r="E14" i="9"/>
  <c r="O14" i="9"/>
  <c r="D12" i="9"/>
  <c r="S14" i="9"/>
  <c r="H14" i="9"/>
  <c r="K14" i="9" s="1"/>
  <c r="F15" i="9"/>
  <c r="N15" i="9"/>
  <c r="L15" i="9" s="1"/>
  <c r="M15" i="9"/>
  <c r="P15" i="9" s="1"/>
  <c r="G15" i="9"/>
  <c r="M15" i="15"/>
  <c r="P15" i="15" s="1"/>
  <c r="N15" i="15"/>
  <c r="L15" i="15" s="1"/>
  <c r="F15" i="15"/>
  <c r="G15" i="15"/>
  <c r="D14" i="9"/>
  <c r="J14" i="9"/>
  <c r="D13" i="15"/>
  <c r="Q13" i="15" s="1"/>
  <c r="Q13" i="9"/>
  <c r="AK13" i="9"/>
  <c r="R13" i="9"/>
  <c r="AL13" i="9"/>
  <c r="R12" i="9"/>
  <c r="AL12" i="9"/>
  <c r="Y18" i="15"/>
  <c r="AA18" i="15" s="1"/>
  <c r="AI18" i="15"/>
  <c r="Z18" i="15"/>
  <c r="W17" i="15"/>
  <c r="AL13" i="15"/>
  <c r="AL14" i="15" l="1"/>
  <c r="M16" i="15"/>
  <c r="P16" i="15" s="1"/>
  <c r="W18" i="15"/>
  <c r="AC18" i="15" s="1"/>
  <c r="C18" i="15" s="1"/>
  <c r="F16" i="15"/>
  <c r="H16" i="15" s="1"/>
  <c r="K16" i="15" s="1"/>
  <c r="G16" i="15"/>
  <c r="J16" i="15" s="1"/>
  <c r="S15" i="9"/>
  <c r="H15" i="9"/>
  <c r="K15" i="9" s="1"/>
  <c r="E15" i="15"/>
  <c r="R15" i="15" s="1"/>
  <c r="O15" i="15"/>
  <c r="J15" i="9"/>
  <c r="D15" i="9"/>
  <c r="Q14" i="9"/>
  <c r="AK14" i="9"/>
  <c r="R14" i="9"/>
  <c r="AL14" i="9"/>
  <c r="S15" i="15"/>
  <c r="H15" i="15"/>
  <c r="K15" i="15" s="1"/>
  <c r="J15" i="15"/>
  <c r="E15" i="9"/>
  <c r="O15" i="9"/>
  <c r="Q12" i="9"/>
  <c r="AK12" i="9"/>
  <c r="O16" i="15"/>
  <c r="AK13" i="15"/>
  <c r="AK14" i="15"/>
  <c r="AB17" i="15"/>
  <c r="B17" i="15" s="1"/>
  <c r="AC17" i="15"/>
  <c r="C17" i="15" s="1"/>
  <c r="AI19" i="15"/>
  <c r="Z19" i="15"/>
  <c r="Y19" i="15"/>
  <c r="AA19" i="15" s="1"/>
  <c r="S16" i="15" l="1"/>
  <c r="AB18" i="15"/>
  <c r="B18" i="15" s="1"/>
  <c r="F18" i="15" s="1"/>
  <c r="E16" i="15"/>
  <c r="R16" i="15" s="1"/>
  <c r="D16" i="15"/>
  <c r="Q16" i="15" s="1"/>
  <c r="M17" i="15"/>
  <c r="P17" i="15" s="1"/>
  <c r="F17" i="15"/>
  <c r="G17" i="15"/>
  <c r="N17" i="15"/>
  <c r="L17" i="15" s="1"/>
  <c r="R15" i="9"/>
  <c r="AL15" i="9"/>
  <c r="D15" i="15"/>
  <c r="Q15" i="15" s="1"/>
  <c r="Q15" i="9"/>
  <c r="AK15" i="9"/>
  <c r="W19" i="15"/>
  <c r="Y20" i="15"/>
  <c r="AA20" i="15" s="1"/>
  <c r="AI20" i="15"/>
  <c r="Z20" i="15"/>
  <c r="AL15" i="15"/>
  <c r="G18" i="15" l="1"/>
  <c r="J18" i="15" s="1"/>
  <c r="N18" i="15"/>
  <c r="L18" i="15" s="1"/>
  <c r="O18" i="15" s="1"/>
  <c r="M18" i="15"/>
  <c r="P18" i="15" s="1"/>
  <c r="AL16" i="15"/>
  <c r="H18" i="15"/>
  <c r="K18" i="15" s="1"/>
  <c r="S18" i="15"/>
  <c r="J17" i="15"/>
  <c r="AK15" i="15"/>
  <c r="H17" i="15"/>
  <c r="K17" i="15" s="1"/>
  <c r="S17" i="15"/>
  <c r="E17" i="15"/>
  <c r="R17" i="15" s="1"/>
  <c r="O17" i="15"/>
  <c r="W20" i="15"/>
  <c r="AC20" i="15" s="1"/>
  <c r="C20" i="15" s="1"/>
  <c r="AK16" i="15"/>
  <c r="AI21" i="15"/>
  <c r="Z21" i="15"/>
  <c r="Y21" i="15"/>
  <c r="AA21" i="15" s="1"/>
  <c r="AB19" i="15"/>
  <c r="B19" i="15" s="1"/>
  <c r="AC19" i="15"/>
  <c r="C19" i="15" s="1"/>
  <c r="E18" i="15" l="1"/>
  <c r="R18" i="15" s="1"/>
  <c r="D18" i="15"/>
  <c r="Q18" i="15" s="1"/>
  <c r="D17" i="15"/>
  <c r="Q17" i="15" s="1"/>
  <c r="G19" i="15"/>
  <c r="M19" i="15"/>
  <c r="P19" i="15" s="1"/>
  <c r="N19" i="15"/>
  <c r="L19" i="15" s="1"/>
  <c r="F19" i="15"/>
  <c r="AB20" i="15"/>
  <c r="B20" i="15" s="1"/>
  <c r="M20" i="15" s="1"/>
  <c r="P20" i="15" s="1"/>
  <c r="AI22" i="15"/>
  <c r="Z22" i="15"/>
  <c r="Y22" i="15"/>
  <c r="AA22" i="15" s="1"/>
  <c r="W21" i="15"/>
  <c r="AL17" i="15"/>
  <c r="AL18" i="15" l="1"/>
  <c r="G20" i="15"/>
  <c r="J20" i="15" s="1"/>
  <c r="F20" i="15"/>
  <c r="H20" i="15" s="1"/>
  <c r="K20" i="15" s="1"/>
  <c r="E19" i="15"/>
  <c r="R19" i="15" s="1"/>
  <c r="O19" i="15"/>
  <c r="N20" i="15"/>
  <c r="L20" i="15" s="1"/>
  <c r="J19" i="15"/>
  <c r="H19" i="15"/>
  <c r="K19" i="15" s="1"/>
  <c r="S19" i="15"/>
  <c r="AK18" i="15"/>
  <c r="AB21" i="15"/>
  <c r="B21" i="15" s="1"/>
  <c r="AC21" i="15"/>
  <c r="C21" i="15" s="1"/>
  <c r="Y23" i="15"/>
  <c r="AA23" i="15" s="1"/>
  <c r="AI23" i="15"/>
  <c r="Z23" i="15"/>
  <c r="W22" i="15"/>
  <c r="AK17" i="15"/>
  <c r="S20" i="15" l="1"/>
  <c r="F21" i="15"/>
  <c r="M21" i="15"/>
  <c r="P21" i="15" s="1"/>
  <c r="N21" i="15"/>
  <c r="L21" i="15" s="1"/>
  <c r="W23" i="15"/>
  <c r="AC23" i="15" s="1"/>
  <c r="C23" i="15" s="1"/>
  <c r="G21" i="15"/>
  <c r="D20" i="15"/>
  <c r="Q20" i="15" s="1"/>
  <c r="D19" i="15"/>
  <c r="Q19" i="15" s="1"/>
  <c r="O20" i="15"/>
  <c r="E20" i="15"/>
  <c r="R20" i="15" s="1"/>
  <c r="AL19" i="15"/>
  <c r="AB22" i="15"/>
  <c r="B22" i="15" s="1"/>
  <c r="AC22" i="15"/>
  <c r="C22" i="15" s="1"/>
  <c r="AI24" i="15"/>
  <c r="Z24" i="15"/>
  <c r="Y24" i="15"/>
  <c r="AA24" i="15" s="1"/>
  <c r="R21" i="15" l="1"/>
  <c r="AL20" i="15"/>
  <c r="O21" i="15"/>
  <c r="AB23" i="15"/>
  <c r="B23" i="15" s="1"/>
  <c r="G23" i="15" s="1"/>
  <c r="F22" i="15"/>
  <c r="N22" i="15"/>
  <c r="L22" i="15" s="1"/>
  <c r="G22" i="15"/>
  <c r="M22" i="15"/>
  <c r="P22" i="15" s="1"/>
  <c r="J21" i="15"/>
  <c r="H21" i="15"/>
  <c r="K21" i="15" s="1"/>
  <c r="S21" i="15"/>
  <c r="AK20" i="15"/>
  <c r="Y25" i="15"/>
  <c r="AA25" i="15" s="1"/>
  <c r="AI25" i="15"/>
  <c r="Z25" i="15"/>
  <c r="W24" i="15"/>
  <c r="AK19" i="15"/>
  <c r="W25" i="15" l="1"/>
  <c r="AB25" i="15" s="1"/>
  <c r="B25" i="15" s="1"/>
  <c r="D21" i="15"/>
  <c r="Q21" i="15" s="1"/>
  <c r="H22" i="15"/>
  <c r="K22" i="15" s="1"/>
  <c r="S22" i="15"/>
  <c r="N23" i="15"/>
  <c r="L23" i="15" s="1"/>
  <c r="O22" i="15"/>
  <c r="E22" i="15"/>
  <c r="R22" i="15" s="1"/>
  <c r="J23" i="15"/>
  <c r="M23" i="15"/>
  <c r="P23" i="15" s="1"/>
  <c r="J22" i="15"/>
  <c r="F23" i="15"/>
  <c r="AB24" i="15"/>
  <c r="B24" i="15" s="1"/>
  <c r="AC24" i="15"/>
  <c r="C24" i="15" s="1"/>
  <c r="AL21" i="15"/>
  <c r="AI26" i="15"/>
  <c r="Z26" i="15"/>
  <c r="Y26" i="15"/>
  <c r="AA26" i="15" s="1"/>
  <c r="AC25" i="15" l="1"/>
  <c r="C25" i="15" s="1"/>
  <c r="F25" i="15" s="1"/>
  <c r="D22" i="15"/>
  <c r="Q22" i="15" s="1"/>
  <c r="E23" i="15"/>
  <c r="R23" i="15" s="1"/>
  <c r="O23" i="15"/>
  <c r="F24" i="15"/>
  <c r="N24" i="15"/>
  <c r="L24" i="15" s="1"/>
  <c r="G24" i="15"/>
  <c r="M24" i="15"/>
  <c r="P24" i="15" s="1"/>
  <c r="H23" i="15"/>
  <c r="S23" i="15"/>
  <c r="Y27" i="15"/>
  <c r="AA27" i="15" s="1"/>
  <c r="AI27" i="15"/>
  <c r="Z27" i="15"/>
  <c r="AL22" i="15"/>
  <c r="W26" i="15"/>
  <c r="AK21" i="15"/>
  <c r="AL23" i="15" l="1"/>
  <c r="N25" i="15"/>
  <c r="L25" i="15" s="1"/>
  <c r="O25" i="15" s="1"/>
  <c r="M25" i="15"/>
  <c r="P25" i="15" s="1"/>
  <c r="G25" i="15"/>
  <c r="J25" i="15" s="1"/>
  <c r="K23" i="15"/>
  <c r="D23" i="15"/>
  <c r="Q23" i="15" s="1"/>
  <c r="J24" i="15"/>
  <c r="H24" i="15"/>
  <c r="K24" i="15" s="1"/>
  <c r="S24" i="15"/>
  <c r="W27" i="15"/>
  <c r="AC27" i="15" s="1"/>
  <c r="C27" i="15" s="1"/>
  <c r="E24" i="15"/>
  <c r="R24" i="15" s="1"/>
  <c r="O24" i="15"/>
  <c r="H25" i="15"/>
  <c r="S25" i="15"/>
  <c r="AB26" i="15"/>
  <c r="B26" i="15" s="1"/>
  <c r="AC26" i="15"/>
  <c r="C26" i="15" s="1"/>
  <c r="AK22" i="15"/>
  <c r="AI28" i="15"/>
  <c r="Z28" i="15"/>
  <c r="Y28" i="15"/>
  <c r="AA28" i="15" s="1"/>
  <c r="E25" i="15" l="1"/>
  <c r="R25" i="15" s="1"/>
  <c r="AB27" i="15"/>
  <c r="B27" i="15" s="1"/>
  <c r="M27" i="15" s="1"/>
  <c r="P27" i="15" s="1"/>
  <c r="AK23" i="15"/>
  <c r="F26" i="15"/>
  <c r="N26" i="15"/>
  <c r="L26" i="15" s="1"/>
  <c r="G26" i="15"/>
  <c r="M26" i="15"/>
  <c r="P26" i="15" s="1"/>
  <c r="D24" i="15"/>
  <c r="Q24" i="15" s="1"/>
  <c r="K25" i="15"/>
  <c r="D25" i="15"/>
  <c r="Q25" i="15" s="1"/>
  <c r="W28" i="15"/>
  <c r="Y29" i="15"/>
  <c r="AA29" i="15" s="1"/>
  <c r="AI29" i="15"/>
  <c r="Z29" i="15"/>
  <c r="AL24" i="15"/>
  <c r="AK24" i="15" l="1"/>
  <c r="AL25" i="15"/>
  <c r="N27" i="15"/>
  <c r="L27" i="15" s="1"/>
  <c r="E27" i="15" s="1"/>
  <c r="R27" i="15" s="1"/>
  <c r="G27" i="15"/>
  <c r="J27" i="15" s="1"/>
  <c r="F27" i="15"/>
  <c r="S27" i="15" s="1"/>
  <c r="J26" i="15"/>
  <c r="O26" i="15"/>
  <c r="E26" i="15"/>
  <c r="R26" i="15" s="1"/>
  <c r="H26" i="15"/>
  <c r="K26" i="15" s="1"/>
  <c r="S26" i="15"/>
  <c r="W29" i="15"/>
  <c r="AB29" i="15" s="1"/>
  <c r="B29" i="15" s="1"/>
  <c r="AK25" i="15"/>
  <c r="AI30" i="15"/>
  <c r="Z30" i="15"/>
  <c r="Y30" i="15"/>
  <c r="AA30" i="15" s="1"/>
  <c r="AB28" i="15"/>
  <c r="B28" i="15" s="1"/>
  <c r="AC28" i="15"/>
  <c r="C28" i="15" s="1"/>
  <c r="H27" i="15" l="1"/>
  <c r="K27" i="15" s="1"/>
  <c r="O27" i="15"/>
  <c r="AC29" i="15"/>
  <c r="C29" i="15" s="1"/>
  <c r="M29" i="15" s="1"/>
  <c r="P29" i="15" s="1"/>
  <c r="D26" i="15"/>
  <c r="Q26" i="15" s="1"/>
  <c r="N28" i="15"/>
  <c r="L28" i="15" s="1"/>
  <c r="G28" i="15"/>
  <c r="M28" i="15"/>
  <c r="P28" i="15" s="1"/>
  <c r="F28" i="15"/>
  <c r="W30" i="15"/>
  <c r="AL27" i="15"/>
  <c r="AL26" i="15"/>
  <c r="Y31" i="15"/>
  <c r="AA31" i="15" s="1"/>
  <c r="AI31" i="15"/>
  <c r="Z31" i="15"/>
  <c r="D27" i="15" l="1"/>
  <c r="Q27" i="15" s="1"/>
  <c r="N29" i="15"/>
  <c r="L29" i="15" s="1"/>
  <c r="O29" i="15" s="1"/>
  <c r="G29" i="15"/>
  <c r="J29" i="15" s="1"/>
  <c r="F29" i="15"/>
  <c r="H29" i="15" s="1"/>
  <c r="K29" i="15" s="1"/>
  <c r="J28" i="15"/>
  <c r="O28" i="15"/>
  <c r="E28" i="15"/>
  <c r="R28" i="15" s="1"/>
  <c r="H28" i="15"/>
  <c r="K28" i="15" s="1"/>
  <c r="S28" i="15"/>
  <c r="W31" i="15"/>
  <c r="AI32" i="15"/>
  <c r="Z32" i="15"/>
  <c r="Y32" i="15"/>
  <c r="AA32" i="15" s="1"/>
  <c r="AK26" i="15"/>
  <c r="AB30" i="15"/>
  <c r="B30" i="15" s="1"/>
  <c r="AC30" i="15"/>
  <c r="C30" i="15" s="1"/>
  <c r="AK27" i="15" l="1"/>
  <c r="E29" i="15"/>
  <c r="R29" i="15" s="1"/>
  <c r="S29" i="15"/>
  <c r="D29" i="15"/>
  <c r="Q29" i="15" s="1"/>
  <c r="D28" i="15"/>
  <c r="Q28" i="15" s="1"/>
  <c r="G30" i="15"/>
  <c r="F30" i="15"/>
  <c r="M30" i="15"/>
  <c r="P30" i="15" s="1"/>
  <c r="N30" i="15"/>
  <c r="L30" i="15" s="1"/>
  <c r="AL28" i="15"/>
  <c r="Y33" i="15"/>
  <c r="AA33" i="15" s="1"/>
  <c r="AI33" i="15"/>
  <c r="Z33" i="15"/>
  <c r="W32" i="15"/>
  <c r="AC31" i="15"/>
  <c r="C31" i="15" s="1"/>
  <c r="AB31" i="15"/>
  <c r="B31" i="15" s="1"/>
  <c r="AL29" i="15" l="1"/>
  <c r="W33" i="15"/>
  <c r="AC33" i="15" s="1"/>
  <c r="C33" i="15" s="1"/>
  <c r="M31" i="15"/>
  <c r="P31" i="15" s="1"/>
  <c r="G31" i="15"/>
  <c r="N31" i="15"/>
  <c r="L31" i="15" s="1"/>
  <c r="F31" i="15"/>
  <c r="J30" i="15"/>
  <c r="O30" i="15"/>
  <c r="E30" i="15"/>
  <c r="R30" i="15" s="1"/>
  <c r="H30" i="15"/>
  <c r="K30" i="15" s="1"/>
  <c r="S30" i="15"/>
  <c r="AB32" i="15"/>
  <c r="B32" i="15" s="1"/>
  <c r="AC32" i="15"/>
  <c r="C32" i="15" s="1"/>
  <c r="AK28" i="15"/>
  <c r="AI34" i="15"/>
  <c r="Z34" i="15"/>
  <c r="Y34" i="15"/>
  <c r="AA34" i="15" s="1"/>
  <c r="AK29" i="15"/>
  <c r="AB33" i="15" l="1"/>
  <c r="B33" i="15" s="1"/>
  <c r="F33" i="15" s="1"/>
  <c r="N32" i="15"/>
  <c r="L32" i="15" s="1"/>
  <c r="G32" i="15"/>
  <c r="M32" i="15"/>
  <c r="P32" i="15" s="1"/>
  <c r="F32" i="15"/>
  <c r="E31" i="15"/>
  <c r="R31" i="15" s="1"/>
  <c r="O31" i="15"/>
  <c r="D30" i="15"/>
  <c r="Q30" i="15" s="1"/>
  <c r="J31" i="15"/>
  <c r="S31" i="15"/>
  <c r="H31" i="15"/>
  <c r="K31" i="15" s="1"/>
  <c r="W34" i="15"/>
  <c r="Y35" i="15"/>
  <c r="AA35" i="15" s="1"/>
  <c r="AI35" i="15"/>
  <c r="Z35" i="15"/>
  <c r="AL30" i="15"/>
  <c r="M33" i="15" l="1"/>
  <c r="P33" i="15" s="1"/>
  <c r="G33" i="15"/>
  <c r="J33" i="15" s="1"/>
  <c r="N33" i="15"/>
  <c r="L33" i="15" s="1"/>
  <c r="O33" i="15" s="1"/>
  <c r="H32" i="15"/>
  <c r="K32" i="15" s="1"/>
  <c r="S32" i="15"/>
  <c r="AK30" i="15"/>
  <c r="J32" i="15"/>
  <c r="H33" i="15"/>
  <c r="K33" i="15" s="1"/>
  <c r="S33" i="15"/>
  <c r="D31" i="15"/>
  <c r="Q31" i="15" s="1"/>
  <c r="O32" i="15"/>
  <c r="E32" i="15"/>
  <c r="R32" i="15" s="1"/>
  <c r="AB34" i="15"/>
  <c r="B34" i="15" s="1"/>
  <c r="AC34" i="15"/>
  <c r="C34" i="15" s="1"/>
  <c r="AI36" i="15"/>
  <c r="Z36" i="15"/>
  <c r="Y36" i="15"/>
  <c r="AA36" i="15" s="1"/>
  <c r="AL31" i="15"/>
  <c r="W35" i="15"/>
  <c r="E33" i="15" l="1"/>
  <c r="R33" i="15" s="1"/>
  <c r="G34" i="15"/>
  <c r="F34" i="15"/>
  <c r="M34" i="15"/>
  <c r="P34" i="15" s="1"/>
  <c r="N34" i="15"/>
  <c r="L34" i="15" s="1"/>
  <c r="D33" i="15"/>
  <c r="Q33" i="15" s="1"/>
  <c r="D32" i="15"/>
  <c r="Q32" i="15" s="1"/>
  <c r="AC35" i="15"/>
  <c r="C35" i="15" s="1"/>
  <c r="AB35" i="15"/>
  <c r="B35" i="15" s="1"/>
  <c r="W36" i="15"/>
  <c r="AK31" i="15"/>
  <c r="AL32" i="15"/>
  <c r="Y37" i="15"/>
  <c r="AA37" i="15" s="1"/>
  <c r="AI37" i="15"/>
  <c r="Z37" i="15"/>
  <c r="AL33" i="15" l="1"/>
  <c r="AK32" i="15"/>
  <c r="M35" i="15"/>
  <c r="P35" i="15" s="1"/>
  <c r="G35" i="15"/>
  <c r="N35" i="15"/>
  <c r="L35" i="15" s="1"/>
  <c r="F35" i="15"/>
  <c r="H34" i="15"/>
  <c r="K34" i="15" s="1"/>
  <c r="S34" i="15"/>
  <c r="O34" i="15"/>
  <c r="E34" i="15"/>
  <c r="R34" i="15" s="1"/>
  <c r="J34" i="15"/>
  <c r="W37" i="15"/>
  <c r="AC37" i="15" s="1"/>
  <c r="C37" i="15" s="1"/>
  <c r="AB36" i="15"/>
  <c r="B36" i="15" s="1"/>
  <c r="AC36" i="15"/>
  <c r="C36" i="15" s="1"/>
  <c r="AI38" i="15"/>
  <c r="Z38" i="15"/>
  <c r="Y38" i="15"/>
  <c r="AA38" i="15" s="1"/>
  <c r="AK33" i="15"/>
  <c r="D34" i="15" l="1"/>
  <c r="Q34" i="15" s="1"/>
  <c r="N36" i="15"/>
  <c r="L36" i="15" s="1"/>
  <c r="G36" i="15"/>
  <c r="F36" i="15"/>
  <c r="M36" i="15"/>
  <c r="P36" i="15" s="1"/>
  <c r="E35" i="15"/>
  <c r="R35" i="15" s="1"/>
  <c r="O35" i="15"/>
  <c r="S35" i="15"/>
  <c r="H35" i="15"/>
  <c r="K35" i="15" s="1"/>
  <c r="J35" i="15"/>
  <c r="AB37" i="15"/>
  <c r="B37" i="15" s="1"/>
  <c r="N37" i="15" s="1"/>
  <c r="L37" i="15" s="1"/>
  <c r="W38" i="15"/>
  <c r="AL34" i="15"/>
  <c r="Y39" i="15"/>
  <c r="AA39" i="15" s="1"/>
  <c r="AI39" i="15"/>
  <c r="Z39" i="15"/>
  <c r="M37" i="15" l="1"/>
  <c r="P37" i="15" s="1"/>
  <c r="F37" i="15"/>
  <c r="S37" i="15" s="1"/>
  <c r="AK34" i="15"/>
  <c r="O37" i="15"/>
  <c r="G37" i="15"/>
  <c r="H36" i="15"/>
  <c r="K36" i="15" s="1"/>
  <c r="S36" i="15"/>
  <c r="D35" i="15"/>
  <c r="Q35" i="15" s="1"/>
  <c r="J36" i="15"/>
  <c r="O36" i="15"/>
  <c r="E36" i="15"/>
  <c r="R36" i="15" s="1"/>
  <c r="W39" i="15"/>
  <c r="AC39" i="15" s="1"/>
  <c r="C39" i="15" s="1"/>
  <c r="AI40" i="15"/>
  <c r="Z40" i="15"/>
  <c r="Y40" i="15"/>
  <c r="AA40" i="15" s="1"/>
  <c r="AL35" i="15"/>
  <c r="AB38" i="15"/>
  <c r="B38" i="15" s="1"/>
  <c r="AC38" i="15"/>
  <c r="C38" i="15" s="1"/>
  <c r="AK35" i="15" l="1"/>
  <c r="H37" i="15"/>
  <c r="K37" i="15" s="1"/>
  <c r="E37" i="15"/>
  <c r="R37" i="15" s="1"/>
  <c r="AB39" i="15"/>
  <c r="B39" i="15" s="1"/>
  <c r="G39" i="15" s="1"/>
  <c r="J39" i="15" s="1"/>
  <c r="J37" i="15"/>
  <c r="F38" i="15"/>
  <c r="G38" i="15"/>
  <c r="N38" i="15"/>
  <c r="L38" i="15" s="1"/>
  <c r="M38" i="15"/>
  <c r="P38" i="15" s="1"/>
  <c r="D36" i="15"/>
  <c r="Q36" i="15" s="1"/>
  <c r="W40" i="15"/>
  <c r="AL36" i="15"/>
  <c r="Y41" i="15"/>
  <c r="AA41" i="15" s="1"/>
  <c r="AI41" i="15"/>
  <c r="Z41" i="15"/>
  <c r="D37" i="15" l="1"/>
  <c r="Q37" i="15" s="1"/>
  <c r="M39" i="15"/>
  <c r="P39" i="15" s="1"/>
  <c r="AL37" i="15"/>
  <c r="N39" i="15"/>
  <c r="L39" i="15" s="1"/>
  <c r="F39" i="15"/>
  <c r="S39" i="15" s="1"/>
  <c r="AK36" i="15"/>
  <c r="J38" i="15"/>
  <c r="H38" i="15"/>
  <c r="K38" i="15" s="1"/>
  <c r="S38" i="15"/>
  <c r="O38" i="15"/>
  <c r="E38" i="15"/>
  <c r="R38" i="15" s="1"/>
  <c r="AB40" i="15"/>
  <c r="B40" i="15" s="1"/>
  <c r="AC40" i="15"/>
  <c r="C40" i="15" s="1"/>
  <c r="AI42" i="15"/>
  <c r="Z42" i="15"/>
  <c r="Y42" i="15"/>
  <c r="AA42" i="15" s="1"/>
  <c r="W41" i="15"/>
  <c r="E39" i="15" l="1"/>
  <c r="R39" i="15" s="1"/>
  <c r="AK37" i="15"/>
  <c r="O39" i="15"/>
  <c r="H39" i="15"/>
  <c r="K39" i="15" s="1"/>
  <c r="F40" i="15"/>
  <c r="G40" i="15"/>
  <c r="N40" i="15"/>
  <c r="L40" i="15" s="1"/>
  <c r="M40" i="15"/>
  <c r="P40" i="15" s="1"/>
  <c r="D38" i="15"/>
  <c r="Q38" i="15" s="1"/>
  <c r="Y43" i="15"/>
  <c r="AA43" i="15" s="1"/>
  <c r="AI43" i="15"/>
  <c r="Z43" i="15"/>
  <c r="AL38" i="15"/>
  <c r="W42" i="15"/>
  <c r="AC41" i="15"/>
  <c r="C41" i="15" s="1"/>
  <c r="AB41" i="15"/>
  <c r="B41" i="15" s="1"/>
  <c r="AK38" i="15" l="1"/>
  <c r="AL39" i="15"/>
  <c r="D39" i="15"/>
  <c r="Q39" i="15" s="1"/>
  <c r="G41" i="15"/>
  <c r="J41" i="15" s="1"/>
  <c r="J40" i="15"/>
  <c r="M41" i="15"/>
  <c r="P41" i="15" s="1"/>
  <c r="F41" i="15"/>
  <c r="N41" i="15"/>
  <c r="L41" i="15" s="1"/>
  <c r="H40" i="15"/>
  <c r="K40" i="15" s="1"/>
  <c r="S40" i="15"/>
  <c r="O40" i="15"/>
  <c r="E40" i="15"/>
  <c r="R40" i="15" s="1"/>
  <c r="AB42" i="15"/>
  <c r="B42" i="15" s="1"/>
  <c r="AC42" i="15"/>
  <c r="C42" i="15" s="1"/>
  <c r="W43" i="15"/>
  <c r="Y44" i="15"/>
  <c r="AA44" i="15" s="1"/>
  <c r="AI44" i="15"/>
  <c r="Z44" i="15"/>
  <c r="AK39" i="15" l="1"/>
  <c r="F42" i="15"/>
  <c r="G42" i="15"/>
  <c r="N42" i="15"/>
  <c r="L42" i="15" s="1"/>
  <c r="M42" i="15"/>
  <c r="P42" i="15" s="1"/>
  <c r="D40" i="15"/>
  <c r="Q40" i="15" s="1"/>
  <c r="H41" i="15"/>
  <c r="S41" i="15"/>
  <c r="E41" i="15"/>
  <c r="R41" i="15" s="1"/>
  <c r="O41" i="15"/>
  <c r="W44" i="15"/>
  <c r="AC44" i="15" s="1"/>
  <c r="C44" i="15" s="1"/>
  <c r="Y45" i="15"/>
  <c r="AA45" i="15" s="1"/>
  <c r="AI45" i="15"/>
  <c r="Z45" i="15"/>
  <c r="AL40" i="15"/>
  <c r="AC43" i="15"/>
  <c r="C43" i="15" s="1"/>
  <c r="AB43" i="15"/>
  <c r="B43" i="15" s="1"/>
  <c r="O42" i="15" l="1"/>
  <c r="E42" i="15"/>
  <c r="R42" i="15" s="1"/>
  <c r="G43" i="15"/>
  <c r="K41" i="15"/>
  <c r="D41" i="15"/>
  <c r="Q41" i="15" s="1"/>
  <c r="J42" i="15"/>
  <c r="M43" i="15"/>
  <c r="P43" i="15" s="1"/>
  <c r="F43" i="15"/>
  <c r="N43" i="15"/>
  <c r="L43" i="15" s="1"/>
  <c r="K42" i="15"/>
  <c r="S42" i="15"/>
  <c r="W45" i="15"/>
  <c r="AB45" i="15" s="1"/>
  <c r="B45" i="15" s="1"/>
  <c r="AB44" i="15"/>
  <c r="B44" i="15" s="1"/>
  <c r="G44" i="15" s="1"/>
  <c r="AI46" i="15"/>
  <c r="Z46" i="15"/>
  <c r="Y46" i="15"/>
  <c r="AA46" i="15" s="1"/>
  <c r="AL41" i="15"/>
  <c r="AK40" i="15"/>
  <c r="F44" i="15" l="1"/>
  <c r="S44" i="15" s="1"/>
  <c r="J43" i="15"/>
  <c r="K44" i="15"/>
  <c r="O43" i="15"/>
  <c r="E43" i="15"/>
  <c r="R43" i="15" s="1"/>
  <c r="M44" i="15"/>
  <c r="P44" i="15" s="1"/>
  <c r="D42" i="15"/>
  <c r="Q42" i="15" s="1"/>
  <c r="K43" i="15"/>
  <c r="S43" i="15"/>
  <c r="N44" i="15"/>
  <c r="L44" i="15" s="1"/>
  <c r="AC45" i="15"/>
  <c r="C45" i="15" s="1"/>
  <c r="G45" i="15" s="1"/>
  <c r="AK41" i="15"/>
  <c r="W46" i="15"/>
  <c r="Y47" i="15"/>
  <c r="AA47" i="15" s="1"/>
  <c r="AI47" i="15"/>
  <c r="Z47" i="15"/>
  <c r="AL42" i="15"/>
  <c r="AK42" i="15" l="1"/>
  <c r="W47" i="15"/>
  <c r="AC47" i="15" s="1"/>
  <c r="C47" i="15" s="1"/>
  <c r="D43" i="15"/>
  <c r="Q43" i="15" s="1"/>
  <c r="M45" i="15"/>
  <c r="P45" i="15" s="1"/>
  <c r="F45" i="15"/>
  <c r="N45" i="15"/>
  <c r="L45" i="15" s="1"/>
  <c r="O44" i="15"/>
  <c r="E44" i="15"/>
  <c r="R44" i="15" s="1"/>
  <c r="D44" i="15"/>
  <c r="Q44" i="15" s="1"/>
  <c r="AL43" i="15"/>
  <c r="AB46" i="15"/>
  <c r="B46" i="15" s="1"/>
  <c r="AC46" i="15"/>
  <c r="C46" i="15" s="1"/>
  <c r="AI48" i="15"/>
  <c r="Z48" i="15"/>
  <c r="Y48" i="15"/>
  <c r="AA48" i="15" s="1"/>
  <c r="AB47" i="15" l="1"/>
  <c r="B47" i="15" s="1"/>
  <c r="M47" i="15" s="1"/>
  <c r="P47" i="15" s="1"/>
  <c r="AL44" i="15"/>
  <c r="E45" i="15"/>
  <c r="R45" i="15" s="1"/>
  <c r="O45" i="15"/>
  <c r="F46" i="15"/>
  <c r="G46" i="15"/>
  <c r="N46" i="15"/>
  <c r="L46" i="15" s="1"/>
  <c r="M46" i="15"/>
  <c r="P46" i="15" s="1"/>
  <c r="S45" i="15"/>
  <c r="AK44" i="15"/>
  <c r="AK43" i="15"/>
  <c r="W48" i="15"/>
  <c r="Y49" i="15"/>
  <c r="AA49" i="15" s="1"/>
  <c r="AI49" i="15"/>
  <c r="Z49" i="15"/>
  <c r="G47" i="15" l="1"/>
  <c r="J47" i="15" s="1"/>
  <c r="N47" i="15"/>
  <c r="L47" i="15" s="1"/>
  <c r="O47" i="15" s="1"/>
  <c r="F47" i="15"/>
  <c r="S47" i="15" s="1"/>
  <c r="O46" i="15"/>
  <c r="E46" i="15"/>
  <c r="R46" i="15" s="1"/>
  <c r="J46" i="15"/>
  <c r="AL45" i="15"/>
  <c r="K45" i="15"/>
  <c r="D45" i="15"/>
  <c r="Q45" i="15" s="1"/>
  <c r="K46" i="15"/>
  <c r="S46" i="15"/>
  <c r="K47" i="15"/>
  <c r="W49" i="15"/>
  <c r="AC49" i="15" s="1"/>
  <c r="C49" i="15" s="1"/>
  <c r="AI50" i="15"/>
  <c r="Z50" i="15"/>
  <c r="Y50" i="15"/>
  <c r="AA50" i="15" s="1"/>
  <c r="AB48" i="15"/>
  <c r="B48" i="15" s="1"/>
  <c r="AC48" i="15"/>
  <c r="C48" i="15" s="1"/>
  <c r="E47" i="15" l="1"/>
  <c r="R47" i="15" s="1"/>
  <c r="AK45" i="15"/>
  <c r="F48" i="15"/>
  <c r="G48" i="15"/>
  <c r="N48" i="15"/>
  <c r="L48" i="15" s="1"/>
  <c r="M48" i="15"/>
  <c r="P48" i="15" s="1"/>
  <c r="D46" i="15"/>
  <c r="Q46" i="15" s="1"/>
  <c r="D47" i="15"/>
  <c r="Q47" i="15" s="1"/>
  <c r="AB49" i="15"/>
  <c r="B49" i="15" s="1"/>
  <c r="G49" i="15" s="1"/>
  <c r="Y51" i="15"/>
  <c r="AA51" i="15" s="1"/>
  <c r="AI51" i="15"/>
  <c r="Z51" i="15"/>
  <c r="W50" i="15"/>
  <c r="AL46" i="15"/>
  <c r="AL47" i="15" l="1"/>
  <c r="AK46" i="15"/>
  <c r="F49" i="15"/>
  <c r="H49" i="15" s="1"/>
  <c r="M49" i="15"/>
  <c r="P49" i="15" s="1"/>
  <c r="O48" i="15"/>
  <c r="E48" i="15"/>
  <c r="R48" i="15" s="1"/>
  <c r="J48" i="15"/>
  <c r="J49" i="15"/>
  <c r="N49" i="15"/>
  <c r="L49" i="15" s="1"/>
  <c r="K48" i="15"/>
  <c r="S48" i="15"/>
  <c r="W51" i="15"/>
  <c r="AC51" i="15" s="1"/>
  <c r="C51" i="15" s="1"/>
  <c r="AK47" i="15"/>
  <c r="AB50" i="15"/>
  <c r="B50" i="15" s="1"/>
  <c r="AC50" i="15"/>
  <c r="C50" i="15" s="1"/>
  <c r="AI52" i="15"/>
  <c r="Z52" i="15"/>
  <c r="Y52" i="15"/>
  <c r="AA52" i="15" s="1"/>
  <c r="K49" i="15" l="1"/>
  <c r="D49" i="15"/>
  <c r="Q49" i="15" s="1"/>
  <c r="S49" i="15"/>
  <c r="F50" i="15"/>
  <c r="G50" i="15"/>
  <c r="N50" i="15"/>
  <c r="L50" i="15" s="1"/>
  <c r="M50" i="15"/>
  <c r="P50" i="15" s="1"/>
  <c r="D48" i="15"/>
  <c r="Q48" i="15" s="1"/>
  <c r="E49" i="15"/>
  <c r="R49" i="15" s="1"/>
  <c r="O49" i="15"/>
  <c r="AB51" i="15"/>
  <c r="B51" i="15" s="1"/>
  <c r="G51" i="15" s="1"/>
  <c r="W52" i="15"/>
  <c r="AC52" i="15" s="1"/>
  <c r="C52" i="15" s="1"/>
  <c r="AI53" i="15"/>
  <c r="Z53" i="15"/>
  <c r="Y53" i="15"/>
  <c r="AA53" i="15" s="1"/>
  <c r="AL48" i="15"/>
  <c r="AK49" i="15" l="1"/>
  <c r="AL49" i="15"/>
  <c r="AK48" i="15"/>
  <c r="M51" i="15"/>
  <c r="P51" i="15" s="1"/>
  <c r="J51" i="15"/>
  <c r="O50" i="15"/>
  <c r="E50" i="15"/>
  <c r="R50" i="15" s="1"/>
  <c r="AB52" i="15"/>
  <c r="B52" i="15" s="1"/>
  <c r="N52" i="15" s="1"/>
  <c r="L52" i="15" s="1"/>
  <c r="N51" i="15"/>
  <c r="L51" i="15" s="1"/>
  <c r="J50" i="15"/>
  <c r="F51" i="15"/>
  <c r="H50" i="15"/>
  <c r="K50" i="15" s="1"/>
  <c r="S50" i="15"/>
  <c r="W53" i="15"/>
  <c r="Y54" i="15"/>
  <c r="AA54" i="15" s="1"/>
  <c r="AI54" i="15"/>
  <c r="Z54" i="15"/>
  <c r="G52" i="15" l="1"/>
  <c r="J52" i="15" s="1"/>
  <c r="F52" i="15"/>
  <c r="S52" i="15" s="1"/>
  <c r="M52" i="15"/>
  <c r="P52" i="15" s="1"/>
  <c r="D50" i="15"/>
  <c r="Q50" i="15" s="1"/>
  <c r="O52" i="15"/>
  <c r="O51" i="15"/>
  <c r="E51" i="15"/>
  <c r="R51" i="15" s="1"/>
  <c r="H51" i="15"/>
  <c r="S51" i="15"/>
  <c r="W54" i="15"/>
  <c r="AC54" i="15" s="1"/>
  <c r="C54" i="15" s="1"/>
  <c r="AL50" i="15"/>
  <c r="AI55" i="15"/>
  <c r="Z55" i="15"/>
  <c r="Y55" i="15"/>
  <c r="AA55" i="15" s="1"/>
  <c r="AB53" i="15"/>
  <c r="B53" i="15" s="1"/>
  <c r="AC53" i="15"/>
  <c r="C53" i="15" s="1"/>
  <c r="H52" i="15" l="1"/>
  <c r="K52" i="15" s="1"/>
  <c r="AK50" i="15"/>
  <c r="E52" i="15"/>
  <c r="R52" i="15" s="1"/>
  <c r="AB54" i="15"/>
  <c r="B54" i="15" s="1"/>
  <c r="N54" i="15" s="1"/>
  <c r="L54" i="15" s="1"/>
  <c r="AL51" i="15"/>
  <c r="K51" i="15"/>
  <c r="D51" i="15"/>
  <c r="Q51" i="15" s="1"/>
  <c r="M53" i="15"/>
  <c r="P53" i="15" s="1"/>
  <c r="G53" i="15"/>
  <c r="F53" i="15"/>
  <c r="N53" i="15"/>
  <c r="L53" i="15" s="1"/>
  <c r="Y56" i="15"/>
  <c r="AA56" i="15" s="1"/>
  <c r="AI56" i="15"/>
  <c r="Z56" i="15"/>
  <c r="W55" i="15"/>
  <c r="D52" i="15" l="1"/>
  <c r="Q52" i="15" s="1"/>
  <c r="AK51" i="15"/>
  <c r="G54" i="15"/>
  <c r="J54" i="15" s="1"/>
  <c r="M54" i="15"/>
  <c r="P54" i="15" s="1"/>
  <c r="AL52" i="15"/>
  <c r="AK52" i="15"/>
  <c r="F54" i="15"/>
  <c r="H54" i="15" s="1"/>
  <c r="K54" i="15" s="1"/>
  <c r="W56" i="15"/>
  <c r="AC56" i="15" s="1"/>
  <c r="C56" i="15" s="1"/>
  <c r="J53" i="15"/>
  <c r="O54" i="15"/>
  <c r="E53" i="15"/>
  <c r="R53" i="15" s="1"/>
  <c r="O53" i="15"/>
  <c r="S53" i="15"/>
  <c r="H53" i="15"/>
  <c r="K53" i="15" s="1"/>
  <c r="AB55" i="15"/>
  <c r="B55" i="15" s="1"/>
  <c r="AC55" i="15"/>
  <c r="C55" i="15" s="1"/>
  <c r="AI57" i="15"/>
  <c r="Z57" i="15"/>
  <c r="Y57" i="15"/>
  <c r="AA57" i="15" s="1"/>
  <c r="E54" i="15" l="1"/>
  <c r="R54" i="15" s="1"/>
  <c r="S54" i="15"/>
  <c r="D54" i="15"/>
  <c r="Q54" i="15" s="1"/>
  <c r="AB56" i="15"/>
  <c r="B56" i="15" s="1"/>
  <c r="G56" i="15" s="1"/>
  <c r="D53" i="15"/>
  <c r="Q53" i="15" s="1"/>
  <c r="F55" i="15"/>
  <c r="M55" i="15"/>
  <c r="P55" i="15" s="1"/>
  <c r="G55" i="15"/>
  <c r="N55" i="15"/>
  <c r="L55" i="15" s="1"/>
  <c r="AL53" i="15"/>
  <c r="W57" i="15"/>
  <c r="Y58" i="15"/>
  <c r="AA58" i="15" s="1"/>
  <c r="AI58" i="15"/>
  <c r="Z58" i="15"/>
  <c r="AL54" i="15" l="1"/>
  <c r="M56" i="15"/>
  <c r="P56" i="15" s="1"/>
  <c r="N56" i="15"/>
  <c r="L56" i="15" s="1"/>
  <c r="O56" i="15" s="1"/>
  <c r="F56" i="15"/>
  <c r="S56" i="15" s="1"/>
  <c r="H55" i="15"/>
  <c r="K55" i="15" s="1"/>
  <c r="S55" i="15"/>
  <c r="J55" i="15"/>
  <c r="E55" i="15"/>
  <c r="R55" i="15" s="1"/>
  <c r="O55" i="15"/>
  <c r="J56" i="15"/>
  <c r="W58" i="15"/>
  <c r="AB58" i="15" s="1"/>
  <c r="B58" i="15" s="1"/>
  <c r="AK53" i="15"/>
  <c r="AI59" i="15"/>
  <c r="Z59" i="15"/>
  <c r="Y59" i="15"/>
  <c r="AA59" i="15" s="1"/>
  <c r="AK54" i="15"/>
  <c r="AB57" i="15"/>
  <c r="B57" i="15" s="1"/>
  <c r="AC57" i="15"/>
  <c r="C57" i="15" s="1"/>
  <c r="E56" i="15" l="1"/>
  <c r="R56" i="15" s="1"/>
  <c r="H56" i="15"/>
  <c r="K56" i="15" s="1"/>
  <c r="AC58" i="15"/>
  <c r="C58" i="15" s="1"/>
  <c r="M58" i="15" s="1"/>
  <c r="P58" i="15" s="1"/>
  <c r="D55" i="15"/>
  <c r="Q55" i="15" s="1"/>
  <c r="M57" i="15"/>
  <c r="P57" i="15" s="1"/>
  <c r="G57" i="15"/>
  <c r="N57" i="15"/>
  <c r="L57" i="15" s="1"/>
  <c r="F57" i="15"/>
  <c r="AL55" i="15"/>
  <c r="Y60" i="15"/>
  <c r="AA60" i="15" s="1"/>
  <c r="AI60" i="15"/>
  <c r="Z60" i="15"/>
  <c r="W59" i="15"/>
  <c r="AL56" i="15" l="1"/>
  <c r="D56" i="15"/>
  <c r="Q56" i="15" s="1"/>
  <c r="N58" i="15"/>
  <c r="L58" i="15" s="1"/>
  <c r="O58" i="15" s="1"/>
  <c r="G58" i="15"/>
  <c r="J58" i="15" s="1"/>
  <c r="F58" i="15"/>
  <c r="H58" i="15" s="1"/>
  <c r="H57" i="15"/>
  <c r="K57" i="15" s="1"/>
  <c r="S57" i="15"/>
  <c r="E57" i="15"/>
  <c r="R57" i="15" s="1"/>
  <c r="O57" i="15"/>
  <c r="J57" i="15"/>
  <c r="W60" i="15"/>
  <c r="AB59" i="15"/>
  <c r="B59" i="15" s="1"/>
  <c r="AC59" i="15"/>
  <c r="C59" i="15" s="1"/>
  <c r="AI61" i="15"/>
  <c r="Z61" i="15"/>
  <c r="Y61" i="15"/>
  <c r="AA61" i="15" s="1"/>
  <c r="AK55" i="15"/>
  <c r="AK56" i="15" l="1"/>
  <c r="E58" i="15"/>
  <c r="R58" i="15" s="1"/>
  <c r="D57" i="15"/>
  <c r="Q57" i="15" s="1"/>
  <c r="K58" i="15"/>
  <c r="D58" i="15"/>
  <c r="Q58" i="15" s="1"/>
  <c r="S58" i="15"/>
  <c r="F59" i="15"/>
  <c r="M59" i="15"/>
  <c r="P59" i="15" s="1"/>
  <c r="G59" i="15"/>
  <c r="N59" i="15"/>
  <c r="L59" i="15" s="1"/>
  <c r="AL57" i="15"/>
  <c r="Y62" i="15"/>
  <c r="AA62" i="15" s="1"/>
  <c r="AI62" i="15"/>
  <c r="Z62" i="15"/>
  <c r="AL58" i="15"/>
  <c r="W61" i="15"/>
  <c r="AC60" i="15"/>
  <c r="C60" i="15" s="1"/>
  <c r="AB60" i="15"/>
  <c r="B60" i="15" s="1"/>
  <c r="J59" i="15" l="1"/>
  <c r="G60" i="15"/>
  <c r="F60" i="15"/>
  <c r="M60" i="15"/>
  <c r="P60" i="15" s="1"/>
  <c r="N60" i="15"/>
  <c r="L60" i="15" s="1"/>
  <c r="H59" i="15"/>
  <c r="K59" i="15" s="1"/>
  <c r="S59" i="15"/>
  <c r="O59" i="15"/>
  <c r="E59" i="15"/>
  <c r="R59" i="15" s="1"/>
  <c r="W62" i="15"/>
  <c r="AB62" i="15" s="1"/>
  <c r="B62" i="15" s="1"/>
  <c r="AB61" i="15"/>
  <c r="B61" i="15" s="1"/>
  <c r="AC61" i="15"/>
  <c r="C61" i="15" s="1"/>
  <c r="AK58" i="15"/>
  <c r="AK57" i="15"/>
  <c r="AI63" i="15"/>
  <c r="Z63" i="15"/>
  <c r="Y63" i="15"/>
  <c r="AA63" i="15" s="1"/>
  <c r="AC62" i="15" l="1"/>
  <c r="C62" i="15" s="1"/>
  <c r="G62" i="15" s="1"/>
  <c r="M61" i="15"/>
  <c r="P61" i="15" s="1"/>
  <c r="G61" i="15"/>
  <c r="N61" i="15"/>
  <c r="L61" i="15" s="1"/>
  <c r="F61" i="15"/>
  <c r="O60" i="15"/>
  <c r="E60" i="15"/>
  <c r="R60" i="15" s="1"/>
  <c r="J60" i="15"/>
  <c r="D59" i="15"/>
  <c r="Q59" i="15" s="1"/>
  <c r="H60" i="15"/>
  <c r="K60" i="15" s="1"/>
  <c r="S60" i="15"/>
  <c r="Y64" i="15"/>
  <c r="AA64" i="15" s="1"/>
  <c r="AI64" i="15"/>
  <c r="Z64" i="15"/>
  <c r="W63" i="15"/>
  <c r="AL59" i="15"/>
  <c r="M62" i="15" l="1"/>
  <c r="P62" i="15" s="1"/>
  <c r="N62" i="15"/>
  <c r="L62" i="15" s="1"/>
  <c r="O62" i="15" s="1"/>
  <c r="F62" i="15"/>
  <c r="H62" i="15" s="1"/>
  <c r="K62" i="15" s="1"/>
  <c r="D60" i="15"/>
  <c r="Q60" i="15" s="1"/>
  <c r="O61" i="15"/>
  <c r="E61" i="15"/>
  <c r="R61" i="15" s="1"/>
  <c r="J62" i="15"/>
  <c r="J61" i="15"/>
  <c r="S61" i="15"/>
  <c r="H61" i="15"/>
  <c r="K61" i="15" s="1"/>
  <c r="W64" i="15"/>
  <c r="AB64" i="15" s="1"/>
  <c r="B64" i="15" s="1"/>
  <c r="AK59" i="15"/>
  <c r="AL60" i="15"/>
  <c r="AB63" i="15"/>
  <c r="B63" i="15" s="1"/>
  <c r="AC63" i="15"/>
  <c r="C63" i="15" s="1"/>
  <c r="AI65" i="15"/>
  <c r="Z65" i="15"/>
  <c r="Y65" i="15"/>
  <c r="AA65" i="15" s="1"/>
  <c r="S62" i="15" l="1"/>
  <c r="E62" i="15"/>
  <c r="R62" i="15" s="1"/>
  <c r="D62" i="15"/>
  <c r="Q62" i="15" s="1"/>
  <c r="AC64" i="15"/>
  <c r="C64" i="15" s="1"/>
  <c r="G64" i="15" s="1"/>
  <c r="D61" i="15"/>
  <c r="Q61" i="15" s="1"/>
  <c r="F63" i="15"/>
  <c r="M63" i="15"/>
  <c r="P63" i="15" s="1"/>
  <c r="G63" i="15"/>
  <c r="N63" i="15"/>
  <c r="L63" i="15" s="1"/>
  <c r="W65" i="15"/>
  <c r="AB65" i="15" s="1"/>
  <c r="B65" i="15" s="1"/>
  <c r="AK60" i="15"/>
  <c r="AL61" i="15"/>
  <c r="AL62" i="15" l="1"/>
  <c r="AK62" i="15"/>
  <c r="F64" i="15"/>
  <c r="H64" i="15" s="1"/>
  <c r="K64" i="15" s="1"/>
  <c r="M64" i="15"/>
  <c r="P64" i="15" s="1"/>
  <c r="N64" i="15"/>
  <c r="L64" i="15" s="1"/>
  <c r="O64" i="15" s="1"/>
  <c r="AK61" i="15"/>
  <c r="AC65" i="15"/>
  <c r="C65" i="15" s="1"/>
  <c r="J64" i="15"/>
  <c r="H63" i="15"/>
  <c r="K63" i="15" s="1"/>
  <c r="S63" i="15"/>
  <c r="J63" i="15"/>
  <c r="E63" i="15"/>
  <c r="R63" i="15" s="1"/>
  <c r="O63" i="15"/>
  <c r="E64" i="15" l="1"/>
  <c r="R64" i="15" s="1"/>
  <c r="S64" i="15"/>
  <c r="D63" i="15"/>
  <c r="Q63" i="15" s="1"/>
  <c r="M65" i="15"/>
  <c r="P65" i="15" s="1"/>
  <c r="G65" i="15"/>
  <c r="N65" i="15"/>
  <c r="L65" i="15" s="1"/>
  <c r="F65" i="15"/>
  <c r="D64" i="15"/>
  <c r="Q64" i="15" s="1"/>
  <c r="AL63" i="15"/>
  <c r="AL64" i="15" l="1"/>
  <c r="J65" i="15"/>
  <c r="H65" i="15"/>
  <c r="K65" i="15" s="1"/>
  <c r="S65" i="15"/>
  <c r="E65" i="15"/>
  <c r="R65" i="15" s="1"/>
  <c r="O65" i="15"/>
  <c r="AK64" i="15"/>
  <c r="AK63" i="15"/>
  <c r="AL65" i="15" l="1"/>
  <c r="D65" i="15"/>
  <c r="Q65" i="15" s="1"/>
  <c r="AK65" i="15" l="1"/>
</calcChain>
</file>

<file path=xl/sharedStrings.xml><?xml version="1.0" encoding="utf-8"?>
<sst xmlns="http://schemas.openxmlformats.org/spreadsheetml/2006/main" count="708" uniqueCount="196">
  <si>
    <t>L1</t>
  </si>
  <si>
    <t>L2</t>
  </si>
  <si>
    <t>d</t>
  </si>
  <si>
    <t>fi</t>
  </si>
  <si>
    <t>psi</t>
  </si>
  <si>
    <t>Fx</t>
  </si>
  <si>
    <t>Fy</t>
  </si>
  <si>
    <t>L</t>
  </si>
  <si>
    <t>alpha</t>
  </si>
  <si>
    <t>betta</t>
  </si>
  <si>
    <t>a°</t>
  </si>
  <si>
    <t>b°</t>
  </si>
  <si>
    <t>gamma</t>
  </si>
  <si>
    <t>delta</t>
  </si>
  <si>
    <t>L'</t>
  </si>
  <si>
    <t>g°</t>
  </si>
  <si>
    <t>d°</t>
  </si>
  <si>
    <t>fi°</t>
  </si>
  <si>
    <t>psi°</t>
  </si>
  <si>
    <t>DeltaFi</t>
  </si>
  <si>
    <t>Fi0</t>
  </si>
  <si>
    <t>N</t>
  </si>
  <si>
    <t>FiStop</t>
  </si>
  <si>
    <t>R</t>
  </si>
  <si>
    <t>X</t>
  </si>
  <si>
    <t>Y</t>
  </si>
  <si>
    <t>R0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</si>
  <si>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</si>
  <si>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</si>
  <si>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</si>
  <si>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</si>
  <si>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</si>
  <si>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</si>
  <si>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</si>
  <si>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</si>
  <si>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</si>
  <si>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</si>
  <si>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</si>
  <si>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</si>
  <si>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Plot Graph CtlShif G</t>
  </si>
  <si>
    <t>RL</t>
  </si>
  <si>
    <t>RR</t>
  </si>
  <si>
    <t>(1 - 0.5 * Application.Asin(Cells(2, 7) / (Cells(2, 3) + Cells(2, 5)))) *</t>
  </si>
  <si>
    <t>Hx</t>
  </si>
  <si>
    <t>Hy</t>
  </si>
  <si>
    <t>fi'</t>
  </si>
  <si>
    <t>psi'</t>
  </si>
  <si>
    <t>alpha'</t>
  </si>
  <si>
    <t>betta'</t>
  </si>
  <si>
    <t>Lr</t>
  </si>
  <si>
    <t>Tail Q</t>
  </si>
  <si>
    <t>No</t>
  </si>
  <si>
    <t>φ</t>
  </si>
  <si>
    <t>ψ</t>
  </si>
  <si>
    <t>R13</t>
  </si>
  <si>
    <t>R14</t>
  </si>
  <si>
    <t>R15</t>
  </si>
  <si>
    <t>R16</t>
  </si>
  <si>
    <t>R17</t>
  </si>
  <si>
    <t>R18</t>
  </si>
  <si>
    <t>R19</t>
  </si>
  <si>
    <t>R20</t>
  </si>
  <si>
    <t>R21</t>
  </si>
  <si>
    <t>R22</t>
  </si>
  <si>
    <t>R23</t>
  </si>
  <si>
    <t>R24</t>
  </si>
  <si>
    <t>R25</t>
  </si>
  <si>
    <t>R26</t>
  </si>
  <si>
    <t>R27</t>
  </si>
  <si>
    <t>R28</t>
  </si>
  <si>
    <t>R29</t>
  </si>
  <si>
    <t>R30</t>
  </si>
  <si>
    <t>R31</t>
  </si>
  <si>
    <t>R32</t>
  </si>
  <si>
    <t>R33</t>
  </si>
  <si>
    <t>R34</t>
  </si>
  <si>
    <t>R35</t>
  </si>
  <si>
    <t>R36</t>
  </si>
  <si>
    <t>R37</t>
  </si>
  <si>
    <t>R38</t>
  </si>
  <si>
    <t>R39</t>
  </si>
  <si>
    <t>R40</t>
  </si>
  <si>
    <t>R41</t>
  </si>
  <si>
    <t>R42</t>
  </si>
  <si>
    <t>R43</t>
  </si>
  <si>
    <t>R44</t>
  </si>
  <si>
    <t>R45</t>
  </si>
  <si>
    <t>R46</t>
  </si>
  <si>
    <t>R47</t>
  </si>
  <si>
    <t>R48</t>
  </si>
  <si>
    <t>R49</t>
  </si>
  <si>
    <t>R50</t>
  </si>
  <si>
    <t>R51</t>
  </si>
  <si>
    <t>R52</t>
  </si>
  <si>
    <t>R53</t>
  </si>
  <si>
    <t>R54</t>
  </si>
  <si>
    <t>R55</t>
  </si>
  <si>
    <t>R56</t>
  </si>
  <si>
    <t>R57</t>
  </si>
  <si>
    <t>R58</t>
  </si>
  <si>
    <t>R59</t>
  </si>
  <si>
    <t>R60</t>
  </si>
  <si>
    <t>R61</t>
  </si>
  <si>
    <t>R62</t>
  </si>
  <si>
    <t>R63</t>
  </si>
  <si>
    <t>R64</t>
  </si>
  <si>
    <t>R65</t>
  </si>
  <si>
    <t>T</t>
  </si>
  <si>
    <t>Q</t>
  </si>
  <si>
    <t>x-</t>
  </si>
  <si>
    <t>x+</t>
  </si>
  <si>
    <t>x(y&lt;R1)</t>
  </si>
  <si>
    <t>HightHigh</t>
  </si>
  <si>
    <t>HightLow</t>
  </si>
  <si>
    <t>j=</t>
  </si>
  <si>
    <t xml:space="preserve"> Xlow=</t>
  </si>
  <si>
    <t xml:space="preserve"> X High=</t>
  </si>
  <si>
    <t xml:space="preserve">Fi= </t>
  </si>
  <si>
    <t xml:space="preserve">  Psi= </t>
  </si>
  <si>
    <t>Xleft</t>
  </si>
  <si>
    <t>Xright</t>
  </si>
  <si>
    <t>Plot Graph CtlShif T</t>
  </si>
  <si>
    <t>мин</t>
  </si>
  <si>
    <t>макс</t>
  </si>
  <si>
    <t>G-Front left-Move Front with left turn</t>
  </si>
  <si>
    <t>I-Front Right - Move front with right turn</t>
  </si>
  <si>
    <t>L-Left - Turn left in the same place</t>
  </si>
  <si>
    <t>S-Stop - Stop</t>
  </si>
  <si>
    <t>R-Right - Turn right in the same place</t>
  </si>
  <si>
    <t>H-Back left - Move back in with left turn.</t>
  </si>
  <si>
    <t>J-Back right - Move back with right turn</t>
  </si>
  <si>
    <t>U-Up - One step up on all legs</t>
  </si>
  <si>
    <t>D-Down - One step down on all legs</t>
  </si>
  <si>
    <t>W-Front only down - Only front two legs one step down</t>
  </si>
  <si>
    <t>X Back only down- Only Back two legs one step down</t>
  </si>
  <si>
    <t>Y Front only UP - Only front two legs one step up</t>
  </si>
  <si>
    <t>Z Back only UP - Only Back two legs one step up</t>
  </si>
  <si>
    <t>O Fullstand - Full stand from any position</t>
  </si>
  <si>
    <t>P Fullshit - Full Sit from any position</t>
  </si>
  <si>
    <t>C Check - Self check all the legs one by one</t>
  </si>
  <si>
    <t>V Hai - Sit and say hai to all.</t>
  </si>
  <si>
    <t xml:space="preserve"> 118, 108, 99, 91, 84, 77, 69, 61, 52, 44, 35, 27, 19, 12, 66, 65,</t>
  </si>
  <si>
    <t>0 Stop</t>
  </si>
  <si>
    <t>2 Step Forward</t>
  </si>
  <si>
    <t>Q defenition tube , mun of step</t>
  </si>
  <si>
    <t>Ctrl Shift L</t>
  </si>
  <si>
    <t>1 Tube Select</t>
  </si>
  <si>
    <t>Account of Params</t>
  </si>
  <si>
    <t>Return Step Forward</t>
  </si>
  <si>
    <t>Step Back</t>
  </si>
  <si>
    <t>t[NofTube][NofPoint]</t>
  </si>
  <si>
    <t>Stop</t>
  </si>
  <si>
    <t>Go Back</t>
  </si>
  <si>
    <t>Go Forward</t>
  </si>
  <si>
    <t>Test the Lever (Servo)</t>
  </si>
  <si>
    <t>Done StepForward (2)</t>
  </si>
  <si>
    <t>Done Return Step Forward (3)</t>
  </si>
  <si>
    <t>102,105,108,111,114,118,122,126,130,135,139,144,149,149,43,5,</t>
  </si>
  <si>
    <t>5,9,12,16,20,24,27,31,35,38,42,45,49,89,45,38,</t>
  </si>
  <si>
    <t>78,75,72,69,66,62,58,54,50,45,41,36,31,31,137,175,</t>
  </si>
  <si>
    <t>175,171,168,164,160,156,153,149,145,142,138,135,131,91,135,142,</t>
  </si>
  <si>
    <t>79,82,86,89,94,98,103,108,113,119,124,130,135,149,43,5,</t>
  </si>
  <si>
    <t>34,38,41,45,49,52,56,59,63,67,71,75,79,111,68,61,</t>
  </si>
  <si>
    <t>101,98,94,91,86,82,77,72,67,61,56,50,45,31,137,175,</t>
  </si>
  <si>
    <t>146,142,139,135,131,128,124,121,117,113,109,105,101,69,112,119,</t>
  </si>
  <si>
    <t>M Mode direct xx</t>
  </si>
  <si>
    <t>A</t>
  </si>
  <si>
    <t>Tube Selected Norm</t>
  </si>
  <si>
    <t>Tube Not Selected</t>
  </si>
  <si>
    <t>[ Print</t>
  </si>
  <si>
    <t>] Not Print</t>
  </si>
  <si>
    <t>Done Mode</t>
  </si>
  <si>
    <t>Return Step Back</t>
  </si>
  <si>
    <t>E xy Pause xy*10</t>
  </si>
  <si>
    <t>F-Front - Move Front const tube</t>
  </si>
  <si>
    <t>B-Back - Move back const Tube</t>
  </si>
  <si>
    <t>T step 0  in 0000( 00 -tube , 00 step)</t>
  </si>
  <si>
    <t>K</t>
  </si>
  <si>
    <t>N Mode1 direct xx</t>
  </si>
  <si>
    <t xml:space="preserve">Done Step Back </t>
  </si>
  <si>
    <t>Done Return From Step Back</t>
  </si>
  <si>
    <t>K step 1  in 0000( 00 -tube , 00 step) (like T)</t>
  </si>
  <si>
    <t>A Back variind diametr</t>
  </si>
  <si>
    <t>&lt;-</t>
  </si>
  <si>
    <t>&lt;----</t>
  </si>
  <si>
    <t>-&gt;</t>
  </si>
  <si>
    <t>---&gt;</t>
  </si>
  <si>
    <t>M</t>
  </si>
  <si>
    <t>&lt;---</t>
  </si>
  <si>
    <t>Go Forward Vary tubes</t>
  </si>
  <si>
    <t>Go Back Vary Tubes</t>
  </si>
  <si>
    <t>Faster</t>
  </si>
  <si>
    <t>Slow</t>
  </si>
  <si>
    <t>U-Front left-Move Front vary Tube</t>
  </si>
  <si>
    <t xml:space="preserve">A </t>
  </si>
  <si>
    <t>D-Back variind diametr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</si>
</sst>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charset val="204"/>
      <scheme val="minor"/>
    </font>
    <font>
      <sz val="14"/>
      <color theme="1"/>
      <name val="Times New Roman"/>
      <family val="1"/>
      <charset val="204"/>
    </font>
    <font>
      <sz val="11"/>
      <color rgb="FFFF0000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1" xfId="0" applyBorder="1"/>
    <xf numFmtId="1" fontId="0" fillId="0" borderId="1" xfId="0" applyNumberFormat="1" applyBorder="1"/>
    <xf numFmtId="0" fontId="1" fillId="0" borderId="1" xfId="0" applyFont="1" applyBorder="1"/>
    <xf numFmtId="2" fontId="0" fillId="0" borderId="0" xfId="0" applyNumberFormat="1"/>
    <xf numFmtId="17" fontId="0" fillId="0" borderId="0" xfId="0" applyNumberFormat="1"/>
    <xf numFmtId="16" fontId="0" fillId="0" borderId="0" xfId="0" applyNumberFormat="1"/>
    <xf numFmtId="0" fontId="0" fillId="3" borderId="1" xfId="0" applyFill="1" applyBorder="1"/>
    <xf numFmtId="2" fontId="2" fillId="2" borderId="0" xfId="0" applyNumberFormat="1" applyFont="1" applyFill="1"/>
    <xf numFmtId="2" fontId="0" fillId="4" borderId="0" xfId="0" applyNumberFormat="1" applyFill="1"/>
    <xf numFmtId="0" fontId="0" fillId="0" borderId="0" xfId="0" applyFill="1"/>
    <xf numFmtId="0" fontId="0" fillId="4" borderId="0" xfId="0" applyFill="1"/>
    <xf numFmtId="0" fontId="0" fillId="5" borderId="0" xfId="0" applyFill="1"/>
    <xf numFmtId="0" fontId="0" fillId="0" borderId="0" xfId="0" quotePrefix="1"/>
    <xf numFmtId="0" fontId="0" fillId="2" borderId="0" xfId="0" applyFill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'5LeverTailRectangle'!$C$5</c:f>
              <c:strCache>
                <c:ptCount val="1"/>
                <c:pt idx="0">
                  <c:v>Fy</c:v>
                </c:pt>
              </c:strCache>
            </c:strRef>
          </c:tx>
          <c:spPr>
            <a:ln w="28575">
              <a:noFill/>
            </a:ln>
          </c:spPr>
          <c:xVal>
            <c:numRef>
              <c:f>'5LeverTailRectangle'!$B$6:$B$37</c:f>
              <c:numCache>
                <c:formatCode>General</c:formatCode>
                <c:ptCount val="32"/>
                <c:pt idx="0">
                  <c:v>-62.915103558236275</c:v>
                </c:pt>
                <c:pt idx="1">
                  <c:v>-52.255284346750535</c:v>
                </c:pt>
                <c:pt idx="2">
                  <c:v>-41.617893203520786</c:v>
                </c:pt>
                <c:pt idx="3">
                  <c:v>-31.075616629919871</c:v>
                </c:pt>
                <c:pt idx="4">
                  <c:v>-20.582425716540314</c:v>
                </c:pt>
                <c:pt idx="5">
                  <c:v>-9.9424261892741228</c:v>
                </c:pt>
                <c:pt idx="6">
                  <c:v>1.1408666100856948</c:v>
                </c:pt>
                <c:pt idx="7">
                  <c:v>12.906193769447022</c:v>
                </c:pt>
                <c:pt idx="8">
                  <c:v>25.425910442131688</c:v>
                </c:pt>
                <c:pt idx="9">
                  <c:v>38.668580764638349</c:v>
                </c:pt>
                <c:pt idx="10">
                  <c:v>52.763341810937938</c:v>
                </c:pt>
                <c:pt idx="11">
                  <c:v>50.151091411687077</c:v>
                </c:pt>
                <c:pt idx="12">
                  <c:v>-61.466610306763862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xVal>
          <c:yVal>
            <c:numRef>
              <c:f>'5LeverTailRectangle'!$C$6:$C$37</c:f>
              <c:numCache>
                <c:formatCode>General</c:formatCode>
                <c:ptCount val="32"/>
                <c:pt idx="0">
                  <c:v>60.231230629828971</c:v>
                </c:pt>
                <c:pt idx="1">
                  <c:v>59.336575678801104</c:v>
                </c:pt>
                <c:pt idx="2">
                  <c:v>59.003476611646683</c:v>
                </c:pt>
                <c:pt idx="3">
                  <c:v>59.22644512012225</c:v>
                </c:pt>
                <c:pt idx="4">
                  <c:v>60.058293160119753</c:v>
                </c:pt>
                <c:pt idx="5">
                  <c:v>61.502752597417626</c:v>
                </c:pt>
                <c:pt idx="6">
                  <c:v>63.397509570491003</c:v>
                </c:pt>
                <c:pt idx="7">
                  <c:v>65.399417358334091</c:v>
                </c:pt>
                <c:pt idx="8">
                  <c:v>67.104281511704798</c:v>
                </c:pt>
                <c:pt idx="9">
                  <c:v>68.141589175205283</c:v>
                </c:pt>
                <c:pt idx="10">
                  <c:v>68.00426682213751</c:v>
                </c:pt>
                <c:pt idx="11">
                  <c:v>53.142826540450507</c:v>
                </c:pt>
                <c:pt idx="12">
                  <c:v>40.811950064038669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538304"/>
        <c:axId val="127539840"/>
      </c:scatterChart>
      <c:valAx>
        <c:axId val="127538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7539840"/>
        <c:crosses val="autoZero"/>
        <c:crossBetween val="midCat"/>
      </c:valAx>
      <c:valAx>
        <c:axId val="127539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753830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'5LeverTailRectangle'!$AZ$5</c:f>
              <c:strCache>
                <c:ptCount val="1"/>
                <c:pt idx="0">
                  <c:v>Y</c:v>
                </c:pt>
              </c:strCache>
            </c:strRef>
          </c:tx>
          <c:spPr>
            <a:ln w="28575">
              <a:noFill/>
            </a:ln>
          </c:spPr>
          <c:xVal>
            <c:numRef>
              <c:f>'5LeverTailRectangle'!$AY$6:$AY$18</c:f>
              <c:numCache>
                <c:formatCode>General</c:formatCode>
                <c:ptCount val="13"/>
                <c:pt idx="0">
                  <c:v>-62.915103558236275</c:v>
                </c:pt>
                <c:pt idx="1">
                  <c:v>-52.255284346750535</c:v>
                </c:pt>
                <c:pt idx="2">
                  <c:v>-41.617893203520786</c:v>
                </c:pt>
                <c:pt idx="3">
                  <c:v>-31.075616629919871</c:v>
                </c:pt>
                <c:pt idx="4">
                  <c:v>-20.582425716540314</c:v>
                </c:pt>
                <c:pt idx="5">
                  <c:v>-9.9424261892741228</c:v>
                </c:pt>
                <c:pt idx="6">
                  <c:v>1.1408666100856948</c:v>
                </c:pt>
                <c:pt idx="7">
                  <c:v>12.906193769447022</c:v>
                </c:pt>
                <c:pt idx="8">
                  <c:v>25.425910442131688</c:v>
                </c:pt>
                <c:pt idx="9">
                  <c:v>38.668580764638349</c:v>
                </c:pt>
                <c:pt idx="10">
                  <c:v>52.763341810937938</c:v>
                </c:pt>
                <c:pt idx="11">
                  <c:v>50.151091411687077</c:v>
                </c:pt>
                <c:pt idx="12">
                  <c:v>-61.466610306763862</c:v>
                </c:pt>
              </c:numCache>
            </c:numRef>
          </c:xVal>
          <c:yVal>
            <c:numRef>
              <c:f>'5LeverTailRectangle'!$AZ$6:$AZ$18</c:f>
              <c:numCache>
                <c:formatCode>General</c:formatCode>
                <c:ptCount val="13"/>
                <c:pt idx="0">
                  <c:v>60.231230629828971</c:v>
                </c:pt>
                <c:pt idx="1">
                  <c:v>59.336575678801104</c:v>
                </c:pt>
                <c:pt idx="2">
                  <c:v>59.003476611646683</c:v>
                </c:pt>
                <c:pt idx="3">
                  <c:v>59.22644512012225</c:v>
                </c:pt>
                <c:pt idx="4">
                  <c:v>60.058293160119753</c:v>
                </c:pt>
                <c:pt idx="5">
                  <c:v>61.502752597417626</c:v>
                </c:pt>
                <c:pt idx="6">
                  <c:v>63.397509570491003</c:v>
                </c:pt>
                <c:pt idx="7">
                  <c:v>65.399417358334091</c:v>
                </c:pt>
                <c:pt idx="8">
                  <c:v>67.104281511704798</c:v>
                </c:pt>
                <c:pt idx="9">
                  <c:v>68.141589175205283</c:v>
                </c:pt>
                <c:pt idx="10">
                  <c:v>68.00426682213751</c:v>
                </c:pt>
                <c:pt idx="11">
                  <c:v>53.142826540450507</c:v>
                </c:pt>
                <c:pt idx="12">
                  <c:v>40.811950064038669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100480"/>
        <c:axId val="136634752"/>
      </c:scatterChart>
      <c:valAx>
        <c:axId val="136100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6634752"/>
        <c:crosses val="autoZero"/>
        <c:crossBetween val="midCat"/>
      </c:valAx>
      <c:valAx>
        <c:axId val="1366347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610048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'5LeverTailRectangle'!$AZ$5</c:f>
              <c:strCache>
                <c:ptCount val="1"/>
                <c:pt idx="0">
                  <c:v>Y</c:v>
                </c:pt>
              </c:strCache>
            </c:strRef>
          </c:tx>
          <c:spPr>
            <a:ln>
              <a:noFill/>
            </a:ln>
          </c:spPr>
          <c:marker>
            <c:symbol val="plus"/>
            <c:size val="10"/>
          </c:marker>
          <c:xVal>
            <c:numRef>
              <c:f>'5LeverTailRectangle'!$AY$6:$AY$224</c:f>
              <c:numCache>
                <c:formatCode>General</c:formatCode>
                <c:ptCount val="219"/>
                <c:pt idx="0">
                  <c:v>-62.915103558236275</c:v>
                </c:pt>
                <c:pt idx="1">
                  <c:v>-52.255284346750535</c:v>
                </c:pt>
                <c:pt idx="2">
                  <c:v>-41.617893203520786</c:v>
                </c:pt>
                <c:pt idx="3">
                  <c:v>-31.075616629919871</c:v>
                </c:pt>
                <c:pt idx="4">
                  <c:v>-20.582425716540314</c:v>
                </c:pt>
                <c:pt idx="5">
                  <c:v>-9.9424261892741228</c:v>
                </c:pt>
                <c:pt idx="6">
                  <c:v>1.1408666100856948</c:v>
                </c:pt>
                <c:pt idx="7">
                  <c:v>12.906193769447022</c:v>
                </c:pt>
                <c:pt idx="8">
                  <c:v>25.425910442131688</c:v>
                </c:pt>
                <c:pt idx="9">
                  <c:v>38.668580764638349</c:v>
                </c:pt>
                <c:pt idx="10">
                  <c:v>52.763341810937938</c:v>
                </c:pt>
                <c:pt idx="11">
                  <c:v>50.151091411687077</c:v>
                </c:pt>
                <c:pt idx="12">
                  <c:v>-61.466610306763862</c:v>
                </c:pt>
                <c:pt idx="13">
                  <c:v>-9</c:v>
                </c:pt>
                <c:pt idx="14">
                  <c:v>-40.985662190871238</c:v>
                </c:pt>
                <c:pt idx="15">
                  <c:v>-70</c:v>
                </c:pt>
                <c:pt idx="16">
                  <c:v>-62.915103558236275</c:v>
                </c:pt>
                <c:pt idx="17">
                  <c:v>-6.4586286938894535</c:v>
                </c:pt>
                <c:pt idx="18">
                  <c:v>9</c:v>
                </c:pt>
                <c:pt idx="19">
                  <c:v>-9</c:v>
                </c:pt>
                <c:pt idx="20">
                  <c:v>-40.664497800972853</c:v>
                </c:pt>
                <c:pt idx="21">
                  <c:v>-56</c:v>
                </c:pt>
                <c:pt idx="22">
                  <c:v>-52.255284346750535</c:v>
                </c:pt>
                <c:pt idx="23">
                  <c:v>6.677652173205086</c:v>
                </c:pt>
                <c:pt idx="24">
                  <c:v>9</c:v>
                </c:pt>
                <c:pt idx="25">
                  <c:v>-9</c:v>
                </c:pt>
                <c:pt idx="26">
                  <c:v>-40.435181690601752</c:v>
                </c:pt>
                <c:pt idx="27">
                  <c:v>-42</c:v>
                </c:pt>
                <c:pt idx="28">
                  <c:v>-41.617893203520786</c:v>
                </c:pt>
                <c:pt idx="29">
                  <c:v>17.029172929078673</c:v>
                </c:pt>
                <c:pt idx="30">
                  <c:v>9</c:v>
                </c:pt>
                <c:pt idx="31">
                  <c:v>-9</c:v>
                </c:pt>
                <c:pt idx="32">
                  <c:v>-40.595382389189616</c:v>
                </c:pt>
                <c:pt idx="33">
                  <c:v>-28</c:v>
                </c:pt>
                <c:pt idx="34">
                  <c:v>-31.075616629919871</c:v>
                </c:pt>
                <c:pt idx="35">
                  <c:v>25.581924896199304</c:v>
                </c:pt>
                <c:pt idx="36">
                  <c:v>9</c:v>
                </c:pt>
                <c:pt idx="37">
                  <c:v>-9</c:v>
                </c:pt>
                <c:pt idx="38">
                  <c:v>-40.956600553448808</c:v>
                </c:pt>
                <c:pt idx="39">
                  <c:v>-14</c:v>
                </c:pt>
                <c:pt idx="40">
                  <c:v>-20.582425716540314</c:v>
                </c:pt>
                <c:pt idx="41">
                  <c:v>32.165600148691183</c:v>
                </c:pt>
                <c:pt idx="42">
                  <c:v>9</c:v>
                </c:pt>
                <c:pt idx="43">
                  <c:v>-9</c:v>
                </c:pt>
                <c:pt idx="44">
                  <c:v>-40.71660248941339</c:v>
                </c:pt>
                <c:pt idx="45">
                  <c:v>0</c:v>
                </c:pt>
                <c:pt idx="46">
                  <c:v>-9.9424261892741228</c:v>
                </c:pt>
                <c:pt idx="47">
                  <c:v>36.623816105831878</c:v>
                </c:pt>
                <c:pt idx="48">
                  <c:v>9</c:v>
                </c:pt>
                <c:pt idx="49">
                  <c:v>-9</c:v>
                </c:pt>
                <c:pt idx="50">
                  <c:v>-38.661212930139619</c:v>
                </c:pt>
                <c:pt idx="51">
                  <c:v>14</c:v>
                </c:pt>
                <c:pt idx="52">
                  <c:v>1.1408666100856948</c:v>
                </c:pt>
                <c:pt idx="53">
                  <c:v>39.165215516381885</c:v>
                </c:pt>
                <c:pt idx="54">
                  <c:v>9</c:v>
                </c:pt>
                <c:pt idx="55">
                  <c:v>-9</c:v>
                </c:pt>
                <c:pt idx="56">
                  <c:v>-33.812730277526853</c:v>
                </c:pt>
                <c:pt idx="57">
                  <c:v>28</c:v>
                </c:pt>
                <c:pt idx="58">
                  <c:v>12.906193769447022</c:v>
                </c:pt>
                <c:pt idx="59">
                  <c:v>40.33871401481656</c:v>
                </c:pt>
                <c:pt idx="60">
                  <c:v>9</c:v>
                </c:pt>
                <c:pt idx="61">
                  <c:v>-9</c:v>
                </c:pt>
                <c:pt idx="62">
                  <c:v>-25.874842951302725</c:v>
                </c:pt>
                <c:pt idx="63">
                  <c:v>42</c:v>
                </c:pt>
                <c:pt idx="64">
                  <c:v>25.425910442131688</c:v>
                </c:pt>
                <c:pt idx="65">
                  <c:v>40.756751843001304</c:v>
                </c:pt>
                <c:pt idx="66">
                  <c:v>9</c:v>
                </c:pt>
                <c:pt idx="67">
                  <c:v>-9</c:v>
                </c:pt>
                <c:pt idx="68">
                  <c:v>-14.976288297232923</c:v>
                </c:pt>
                <c:pt idx="69">
                  <c:v>56</c:v>
                </c:pt>
                <c:pt idx="70">
                  <c:v>38.668580764638349</c:v>
                </c:pt>
                <c:pt idx="71">
                  <c:v>40.841808347238583</c:v>
                </c:pt>
                <c:pt idx="72">
                  <c:v>9</c:v>
                </c:pt>
                <c:pt idx="73">
                  <c:v>-9</c:v>
                </c:pt>
                <c:pt idx="74">
                  <c:v>-0.58821925048155776</c:v>
                </c:pt>
                <c:pt idx="75">
                  <c:v>70</c:v>
                </c:pt>
                <c:pt idx="76">
                  <c:v>52.763341810937938</c:v>
                </c:pt>
                <c:pt idx="77">
                  <c:v>40.732715016655298</c:v>
                </c:pt>
                <c:pt idx="78">
                  <c:v>9</c:v>
                </c:pt>
                <c:pt idx="79">
                  <c:v>-9</c:v>
                </c:pt>
                <c:pt idx="80">
                  <c:v>-11.286006599795854</c:v>
                </c:pt>
                <c:pt idx="81">
                  <c:v>70</c:v>
                </c:pt>
                <c:pt idx="82">
                  <c:v>50.151091411687077</c:v>
                </c:pt>
                <c:pt idx="83">
                  <c:v>39.083477722548608</c:v>
                </c:pt>
                <c:pt idx="84">
                  <c:v>9</c:v>
                </c:pt>
                <c:pt idx="85">
                  <c:v>-9</c:v>
                </c:pt>
                <c:pt idx="86">
                  <c:v>-35.05373744672503</c:v>
                </c:pt>
                <c:pt idx="87">
                  <c:v>-70</c:v>
                </c:pt>
                <c:pt idx="88">
                  <c:v>-61.466610306763862</c:v>
                </c:pt>
                <c:pt idx="89">
                  <c:v>2.8488307653754443</c:v>
                </c:pt>
                <c:pt idx="90">
                  <c:v>9</c:v>
                </c:pt>
                <c:pt idx="91">
                  <c:v>109</c:v>
                </c:pt>
                <c:pt idx="92">
                  <c:v>108.96332347734752</c:v>
                </c:pt>
                <c:pt idx="93">
                  <c:v>108.8533167088361</c:v>
                </c:pt>
                <c:pt idx="94">
                  <c:v>108.67004807863076</c:v>
                </c:pt>
                <c:pt idx="95">
                  <c:v>108.41363151310553</c:v>
                </c:pt>
                <c:pt idx="96">
                  <c:v>108.08422641002265</c:v>
                </c:pt>
                <c:pt idx="97">
                  <c:v>107.6820375394453</c:v>
                </c:pt>
                <c:pt idx="98">
                  <c:v>107.20731491644504</c:v>
                </c:pt>
                <c:pt idx="99">
                  <c:v>106.66035364568347</c:v>
                </c:pt>
                <c:pt idx="100">
                  <c:v>106.04149373796464</c:v>
                </c:pt>
                <c:pt idx="101">
                  <c:v>105.351119898872</c:v>
                </c:pt>
                <c:pt idx="102">
                  <c:v>104.58966128962159</c:v>
                </c:pt>
                <c:pt idx="103">
                  <c:v>103.75759126028008</c:v>
                </c:pt>
                <c:pt idx="104">
                  <c:v>102.85542705551322</c:v>
                </c:pt>
                <c:pt idx="105">
                  <c:v>101.88372949304798</c:v>
                </c:pt>
                <c:pt idx="106">
                  <c:v>100.84310261504811</c:v>
                </c:pt>
                <c:pt idx="107">
                  <c:v>99.734193312619794</c:v>
                </c:pt>
                <c:pt idx="108">
                  <c:v>98.557690923680809</c:v>
                </c:pt>
                <c:pt idx="109">
                  <c:v>97.314326804443354</c:v>
                </c:pt>
                <c:pt idx="110">
                  <c:v>96.004873874776649</c:v>
                </c:pt>
                <c:pt idx="111">
                  <c:v>94.630146137732154</c:v>
                </c:pt>
                <c:pt idx="112">
                  <c:v>93.190998173530048</c:v>
                </c:pt>
                <c:pt idx="113">
                  <c:v>91.688324608321324</c:v>
                </c:pt>
                <c:pt idx="114">
                  <c:v>90.123059558056042</c:v>
                </c:pt>
                <c:pt idx="115">
                  <c:v>88.496176047803246</c:v>
                </c:pt>
                <c:pt idx="116">
                  <c:v>86.808685406883541</c:v>
                </c:pt>
                <c:pt idx="117">
                  <c:v>85.061636640190457</c:v>
                </c:pt>
                <c:pt idx="118">
                  <c:v>83.256115776091235</c:v>
                </c:pt>
                <c:pt idx="119">
                  <c:v>81.393245191312488</c:v>
                </c:pt>
                <c:pt idx="120">
                  <c:v>79.474182913230521</c:v>
                </c:pt>
                <c:pt idx="121">
                  <c:v>77.500121899999812</c:v>
                </c:pt>
                <c:pt idx="122">
                  <c:v>75.472289298967283</c:v>
                </c:pt>
                <c:pt idx="123">
                  <c:v>73.391945683833413</c:v>
                </c:pt>
                <c:pt idx="124">
                  <c:v>71.260384271034184</c:v>
                </c:pt>
                <c:pt idx="125">
                  <c:v>69.078930115831355</c:v>
                </c:pt>
                <c:pt idx="126">
                  <c:v>66.84893928861031</c:v>
                </c:pt>
                <c:pt idx="127">
                  <c:v>64.571798031898012</c:v>
                </c:pt>
                <c:pt idx="128">
                  <c:v>62.248921898624673</c:v>
                </c:pt>
                <c:pt idx="129">
                  <c:v>59.881754872165274</c:v>
                </c:pt>
                <c:pt idx="130">
                  <c:v>57.471768468707353</c:v>
                </c:pt>
                <c:pt idx="131">
                  <c:v>55.020460822503807</c:v>
                </c:pt>
                <c:pt idx="132">
                  <c:v>52.529355754578582</c:v>
                </c:pt>
                <c:pt idx="133">
                  <c:v>50.000001825464786</c:v>
                </c:pt>
                <c:pt idx="134">
                  <c:v>47.433971372563768</c:v>
                </c:pt>
                <c:pt idx="135">
                  <c:v>44.832859532723496</c:v>
                </c:pt>
                <c:pt idx="136">
                  <c:v>42.198283250644259</c:v>
                </c:pt>
                <c:pt idx="137">
                  <c:v>39.531880273727573</c:v>
                </c:pt>
                <c:pt idx="138">
                  <c:v>36.835308133993479</c:v>
                </c:pt>
                <c:pt idx="139">
                  <c:v>34.110243117699014</c:v>
                </c:pt>
                <c:pt idx="140">
                  <c:v>31.358379223298492</c:v>
                </c:pt>
                <c:pt idx="141">
                  <c:v>28.581427108392873</c:v>
                </c:pt>
                <c:pt idx="142">
                  <c:v>25.781113026323638</c:v>
                </c:pt>
                <c:pt idx="143">
                  <c:v>22.959177753071529</c:v>
                </c:pt>
                <c:pt idx="144">
                  <c:v>20.117375505127672</c:v>
                </c:pt>
                <c:pt idx="145">
                  <c:v>17.257472849009325</c:v>
                </c:pt>
                <c:pt idx="146">
                  <c:v>14.381247603098693</c:v>
                </c:pt>
                <c:pt idx="147">
                  <c:v>11.4904877324871</c:v>
                </c:pt>
                <c:pt idx="148">
                  <c:v>8.5869902375114009</c:v>
                </c:pt>
                <c:pt idx="149">
                  <c:v>5.6725600366741151</c:v>
                </c:pt>
                <c:pt idx="150">
                  <c:v>2.7490088446409864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1.9499106062863438</c:v>
                </c:pt>
                <c:pt idx="156">
                  <c:v>0.4353759783197173</c:v>
                </c:pt>
                <c:pt idx="157">
                  <c:v>-1.8969752270526943</c:v>
                </c:pt>
                <c:pt idx="158">
                  <c:v>-4.3589076120530557</c:v>
                </c:pt>
                <c:pt idx="159">
                  <c:v>-6.8839803504483132</c:v>
                </c:pt>
                <c:pt idx="160">
                  <c:v>-9.445701924974987</c:v>
                </c:pt>
                <c:pt idx="161">
                  <c:v>-12.029847191518842</c:v>
                </c:pt>
                <c:pt idx="162">
                  <c:v>-14.627414945166993</c:v>
                </c:pt>
                <c:pt idx="163">
                  <c:v>-17.232056846141056</c:v>
                </c:pt>
                <c:pt idx="164">
                  <c:v>-19.838932677723623</c:v>
                </c:pt>
                <c:pt idx="165">
                  <c:v>-22.444130304605075</c:v>
                </c:pt>
                <c:pt idx="166">
                  <c:v>-25.044343452319694</c:v>
                </c:pt>
                <c:pt idx="167">
                  <c:v>-27.636679898033758</c:v>
                </c:pt>
                <c:pt idx="168">
                  <c:v>-30.218540957437643</c:v>
                </c:pt>
                <c:pt idx="169">
                  <c:v>-32.78754241013354</c:v>
                </c:pt>
                <c:pt idx="170">
                  <c:v>-35.341460734846422</c:v>
                </c:pt>
                <c:pt idx="171">
                  <c:v>-37.87819545249797</c:v>
                </c:pt>
                <c:pt idx="172">
                  <c:v>-40.395742083457577</c:v>
                </c:pt>
                <c:pt idx="173">
                  <c:v>-42.892172311294814</c:v>
                </c:pt>
                <c:pt idx="174">
                  <c:v>-45.365619169152751</c:v>
                </c:pt>
                <c:pt idx="175">
                  <c:v>-47.814265809250514</c:v>
                </c:pt>
                <c:pt idx="176">
                  <c:v>-50.2363368832779</c:v>
                </c:pt>
                <c:pt idx="177">
                  <c:v>-52.630091862955695</c:v>
                </c:pt>
                <c:pt idx="178">
                  <c:v>-54.993819829410697</c:v>
                </c:pt>
                <c:pt idx="179">
                  <c:v>-57.325835394749546</c:v>
                </c:pt>
                <c:pt idx="180">
                  <c:v>-59.624475512051248</c:v>
                </c:pt>
                <c:pt idx="181">
                  <c:v>-61.888096995078456</c:v>
                </c:pt>
                <c:pt idx="182">
                  <c:v>-64.115074615332276</c:v>
                </c:pt>
                <c:pt idx="183">
                  <c:v>-66.30379967749289</c:v>
                </c:pt>
                <c:pt idx="184">
                  <c:v>-68.452678998667324</c:v>
                </c:pt>
                <c:pt idx="185">
                  <c:v>-70.560134234811926</c:v>
                </c:pt>
                <c:pt idx="186">
                  <c:v>-72.62460151099414</c:v>
                </c:pt>
                <c:pt idx="187">
                  <c:v>-74.644531322041644</c:v>
                </c:pt>
                <c:pt idx="188">
                  <c:v>-76.618388677470904</c:v>
                </c:pt>
                <c:pt idx="189">
                  <c:v>-78.544653470010275</c:v>
                </c:pt>
                <c:pt idx="190">
                  <c:v>-80.421821050989195</c:v>
                </c:pt>
                <c:pt idx="191">
                  <c:v>-82.248402998682764</c:v>
                </c:pt>
                <c:pt idx="192">
                  <c:v>-84.022928067629167</c:v>
                </c:pt>
                <c:pt idx="193">
                  <c:v>-85.743943308162585</c:v>
                </c:pt>
                <c:pt idx="194">
                  <c:v>-87.410015346074147</c:v>
                </c:pt>
                <c:pt idx="195">
                  <c:v>-89.019731812542062</c:v>
                </c:pt>
                <c:pt idx="196">
                  <c:v>-90.571702914357161</c:v>
                </c:pt>
                <c:pt idx="197">
                  <c:v>-92.064563134086512</c:v>
                </c:pt>
                <c:pt idx="198">
                  <c:v>-93.496973049239003</c:v>
                </c:pt>
                <c:pt idx="199">
                  <c:v>-94.867621258778129</c:v>
                </c:pt>
                <c:pt idx="200">
                  <c:v>-96.175226404524849</c:v>
                </c:pt>
                <c:pt idx="201">
                  <c:v>-97.418539274155421</c:v>
                </c:pt>
                <c:pt idx="202">
                  <c:v>-98.596344971669311</c:v>
                </c:pt>
                <c:pt idx="203">
                  <c:v>-99.707465140420894</c:v>
                </c:pt>
                <c:pt idx="204">
                  <c:v>-100.75076022311241</c:v>
                </c:pt>
                <c:pt idx="205">
                  <c:v>-101.72513174256733</c:v>
                </c:pt>
                <c:pt idx="206">
                  <c:v>-102.62952458666661</c:v>
                </c:pt>
                <c:pt idx="207">
                  <c:v>-103.46292928056559</c:v>
                </c:pt>
                <c:pt idx="208">
                  <c:v>-104.22438422922602</c:v>
                </c:pt>
                <c:pt idx="209">
                  <c:v>-104.91297791341526</c:v>
                </c:pt>
                <c:pt idx="210">
                  <c:v>-105.527851022645</c:v>
                </c:pt>
                <c:pt idx="211">
                  <c:v>-106.06819850905003</c:v>
                </c:pt>
                <c:pt idx="212">
                  <c:v>-106.53327154693659</c:v>
                </c:pt>
                <c:pt idx="213">
                  <c:v>-106.92237938365012</c:v>
                </c:pt>
                <c:pt idx="214">
                  <c:v>-107.23489106851224</c:v>
                </c:pt>
                <c:pt idx="215">
                  <c:v>-107.47023704783025</c:v>
                </c:pt>
                <c:pt idx="216">
                  <c:v>-107.62791061537467</c:v>
                </c:pt>
                <c:pt idx="217">
                  <c:v>-107.70746920921601</c:v>
                </c:pt>
                <c:pt idx="218">
                  <c:v>-107.70853554738908</c:v>
                </c:pt>
              </c:numCache>
            </c:numRef>
          </c:xVal>
          <c:yVal>
            <c:numRef>
              <c:f>'5LeverTailRectangle'!$AZ$6:$AZ$224</c:f>
              <c:numCache>
                <c:formatCode>General</c:formatCode>
                <c:ptCount val="219"/>
                <c:pt idx="0">
                  <c:v>60.231230629828971</c:v>
                </c:pt>
                <c:pt idx="1">
                  <c:v>59.336575678801104</c:v>
                </c:pt>
                <c:pt idx="2">
                  <c:v>59.003476611646683</c:v>
                </c:pt>
                <c:pt idx="3">
                  <c:v>59.22644512012225</c:v>
                </c:pt>
                <c:pt idx="4">
                  <c:v>60.058293160119753</c:v>
                </c:pt>
                <c:pt idx="5">
                  <c:v>61.502752597417626</c:v>
                </c:pt>
                <c:pt idx="6">
                  <c:v>63.397509570491003</c:v>
                </c:pt>
                <c:pt idx="7">
                  <c:v>65.399417358334091</c:v>
                </c:pt>
                <c:pt idx="8">
                  <c:v>67.104281511704798</c:v>
                </c:pt>
                <c:pt idx="9">
                  <c:v>68.141589175205283</c:v>
                </c:pt>
                <c:pt idx="10">
                  <c:v>68.00426682213751</c:v>
                </c:pt>
                <c:pt idx="11">
                  <c:v>53.142826540450507</c:v>
                </c:pt>
                <c:pt idx="12">
                  <c:v>40.811950064038669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'5LeverTailRectangle'!$BA$5</c:f>
              <c:strCache>
                <c:ptCount val="1"/>
                <c:pt idx="0">
                  <c:v>R0</c:v>
                </c:pt>
              </c:strCache>
            </c:strRef>
          </c:tx>
          <c:xVal>
            <c:numRef>
              <c:f>'5LeverTailRectangle'!$AY$6:$AY$224</c:f>
              <c:numCache>
                <c:formatCode>General</c:formatCode>
                <c:ptCount val="219"/>
                <c:pt idx="0">
                  <c:v>-62.915103558236275</c:v>
                </c:pt>
                <c:pt idx="1">
                  <c:v>-52.255284346750535</c:v>
                </c:pt>
                <c:pt idx="2">
                  <c:v>-41.617893203520786</c:v>
                </c:pt>
                <c:pt idx="3">
                  <c:v>-31.075616629919871</c:v>
                </c:pt>
                <c:pt idx="4">
                  <c:v>-20.582425716540314</c:v>
                </c:pt>
                <c:pt idx="5">
                  <c:v>-9.9424261892741228</c:v>
                </c:pt>
                <c:pt idx="6">
                  <c:v>1.1408666100856948</c:v>
                </c:pt>
                <c:pt idx="7">
                  <c:v>12.906193769447022</c:v>
                </c:pt>
                <c:pt idx="8">
                  <c:v>25.425910442131688</c:v>
                </c:pt>
                <c:pt idx="9">
                  <c:v>38.668580764638349</c:v>
                </c:pt>
                <c:pt idx="10">
                  <c:v>52.763341810937938</c:v>
                </c:pt>
                <c:pt idx="11">
                  <c:v>50.151091411687077</c:v>
                </c:pt>
                <c:pt idx="12">
                  <c:v>-61.466610306763862</c:v>
                </c:pt>
                <c:pt idx="13">
                  <c:v>-9</c:v>
                </c:pt>
                <c:pt idx="14">
                  <c:v>-40.985662190871238</c:v>
                </c:pt>
                <c:pt idx="15">
                  <c:v>-70</c:v>
                </c:pt>
                <c:pt idx="16">
                  <c:v>-62.915103558236275</c:v>
                </c:pt>
                <c:pt idx="17">
                  <c:v>-6.4586286938894535</c:v>
                </c:pt>
                <c:pt idx="18">
                  <c:v>9</c:v>
                </c:pt>
                <c:pt idx="19">
                  <c:v>-9</c:v>
                </c:pt>
                <c:pt idx="20">
                  <c:v>-40.664497800972853</c:v>
                </c:pt>
                <c:pt idx="21">
                  <c:v>-56</c:v>
                </c:pt>
                <c:pt idx="22">
                  <c:v>-52.255284346750535</c:v>
                </c:pt>
                <c:pt idx="23">
                  <c:v>6.677652173205086</c:v>
                </c:pt>
                <c:pt idx="24">
                  <c:v>9</c:v>
                </c:pt>
                <c:pt idx="25">
                  <c:v>-9</c:v>
                </c:pt>
                <c:pt idx="26">
                  <c:v>-40.435181690601752</c:v>
                </c:pt>
                <c:pt idx="27">
                  <c:v>-42</c:v>
                </c:pt>
                <c:pt idx="28">
                  <c:v>-41.617893203520786</c:v>
                </c:pt>
                <c:pt idx="29">
                  <c:v>17.029172929078673</c:v>
                </c:pt>
                <c:pt idx="30">
                  <c:v>9</c:v>
                </c:pt>
                <c:pt idx="31">
                  <c:v>-9</c:v>
                </c:pt>
                <c:pt idx="32">
                  <c:v>-40.595382389189616</c:v>
                </c:pt>
                <c:pt idx="33">
                  <c:v>-28</c:v>
                </c:pt>
                <c:pt idx="34">
                  <c:v>-31.075616629919871</c:v>
                </c:pt>
                <c:pt idx="35">
                  <c:v>25.581924896199304</c:v>
                </c:pt>
                <c:pt idx="36">
                  <c:v>9</c:v>
                </c:pt>
                <c:pt idx="37">
                  <c:v>-9</c:v>
                </c:pt>
                <c:pt idx="38">
                  <c:v>-40.956600553448808</c:v>
                </c:pt>
                <c:pt idx="39">
                  <c:v>-14</c:v>
                </c:pt>
                <c:pt idx="40">
                  <c:v>-20.582425716540314</c:v>
                </c:pt>
                <c:pt idx="41">
                  <c:v>32.165600148691183</c:v>
                </c:pt>
                <c:pt idx="42">
                  <c:v>9</c:v>
                </c:pt>
                <c:pt idx="43">
                  <c:v>-9</c:v>
                </c:pt>
                <c:pt idx="44">
                  <c:v>-40.71660248941339</c:v>
                </c:pt>
                <c:pt idx="45">
                  <c:v>0</c:v>
                </c:pt>
                <c:pt idx="46">
                  <c:v>-9.9424261892741228</c:v>
                </c:pt>
                <c:pt idx="47">
                  <c:v>36.623816105831878</c:v>
                </c:pt>
                <c:pt idx="48">
                  <c:v>9</c:v>
                </c:pt>
                <c:pt idx="49">
                  <c:v>-9</c:v>
                </c:pt>
                <c:pt idx="50">
                  <c:v>-38.661212930139619</c:v>
                </c:pt>
                <c:pt idx="51">
                  <c:v>14</c:v>
                </c:pt>
                <c:pt idx="52">
                  <c:v>1.1408666100856948</c:v>
                </c:pt>
                <c:pt idx="53">
                  <c:v>39.165215516381885</c:v>
                </c:pt>
                <c:pt idx="54">
                  <c:v>9</c:v>
                </c:pt>
                <c:pt idx="55">
                  <c:v>-9</c:v>
                </c:pt>
                <c:pt idx="56">
                  <c:v>-33.812730277526853</c:v>
                </c:pt>
                <c:pt idx="57">
                  <c:v>28</c:v>
                </c:pt>
                <c:pt idx="58">
                  <c:v>12.906193769447022</c:v>
                </c:pt>
                <c:pt idx="59">
                  <c:v>40.33871401481656</c:v>
                </c:pt>
                <c:pt idx="60">
                  <c:v>9</c:v>
                </c:pt>
                <c:pt idx="61">
                  <c:v>-9</c:v>
                </c:pt>
                <c:pt idx="62">
                  <c:v>-25.874842951302725</c:v>
                </c:pt>
                <c:pt idx="63">
                  <c:v>42</c:v>
                </c:pt>
                <c:pt idx="64">
                  <c:v>25.425910442131688</c:v>
                </c:pt>
                <c:pt idx="65">
                  <c:v>40.756751843001304</c:v>
                </c:pt>
                <c:pt idx="66">
                  <c:v>9</c:v>
                </c:pt>
                <c:pt idx="67">
                  <c:v>-9</c:v>
                </c:pt>
                <c:pt idx="68">
                  <c:v>-14.976288297232923</c:v>
                </c:pt>
                <c:pt idx="69">
                  <c:v>56</c:v>
                </c:pt>
                <c:pt idx="70">
                  <c:v>38.668580764638349</c:v>
                </c:pt>
                <c:pt idx="71">
                  <c:v>40.841808347238583</c:v>
                </c:pt>
                <c:pt idx="72">
                  <c:v>9</c:v>
                </c:pt>
                <c:pt idx="73">
                  <c:v>-9</c:v>
                </c:pt>
                <c:pt idx="74">
                  <c:v>-0.58821925048155776</c:v>
                </c:pt>
                <c:pt idx="75">
                  <c:v>70</c:v>
                </c:pt>
                <c:pt idx="76">
                  <c:v>52.763341810937938</c:v>
                </c:pt>
                <c:pt idx="77">
                  <c:v>40.732715016655298</c:v>
                </c:pt>
                <c:pt idx="78">
                  <c:v>9</c:v>
                </c:pt>
                <c:pt idx="79">
                  <c:v>-9</c:v>
                </c:pt>
                <c:pt idx="80">
                  <c:v>-11.286006599795854</c:v>
                </c:pt>
                <c:pt idx="81">
                  <c:v>70</c:v>
                </c:pt>
                <c:pt idx="82">
                  <c:v>50.151091411687077</c:v>
                </c:pt>
                <c:pt idx="83">
                  <c:v>39.083477722548608</c:v>
                </c:pt>
                <c:pt idx="84">
                  <c:v>9</c:v>
                </c:pt>
                <c:pt idx="85">
                  <c:v>-9</c:v>
                </c:pt>
                <c:pt idx="86">
                  <c:v>-35.05373744672503</c:v>
                </c:pt>
                <c:pt idx="87">
                  <c:v>-70</c:v>
                </c:pt>
                <c:pt idx="88">
                  <c:v>-61.466610306763862</c:v>
                </c:pt>
                <c:pt idx="89">
                  <c:v>2.8488307653754443</c:v>
                </c:pt>
                <c:pt idx="90">
                  <c:v>9</c:v>
                </c:pt>
                <c:pt idx="91">
                  <c:v>109</c:v>
                </c:pt>
                <c:pt idx="92">
                  <c:v>108.96332347734752</c:v>
                </c:pt>
                <c:pt idx="93">
                  <c:v>108.8533167088361</c:v>
                </c:pt>
                <c:pt idx="94">
                  <c:v>108.67004807863076</c:v>
                </c:pt>
                <c:pt idx="95">
                  <c:v>108.41363151310553</c:v>
                </c:pt>
                <c:pt idx="96">
                  <c:v>108.08422641002265</c:v>
                </c:pt>
                <c:pt idx="97">
                  <c:v>107.6820375394453</c:v>
                </c:pt>
                <c:pt idx="98">
                  <c:v>107.20731491644504</c:v>
                </c:pt>
                <c:pt idx="99">
                  <c:v>106.66035364568347</c:v>
                </c:pt>
                <c:pt idx="100">
                  <c:v>106.04149373796464</c:v>
                </c:pt>
                <c:pt idx="101">
                  <c:v>105.351119898872</c:v>
                </c:pt>
                <c:pt idx="102">
                  <c:v>104.58966128962159</c:v>
                </c:pt>
                <c:pt idx="103">
                  <c:v>103.75759126028008</c:v>
                </c:pt>
                <c:pt idx="104">
                  <c:v>102.85542705551322</c:v>
                </c:pt>
                <c:pt idx="105">
                  <c:v>101.88372949304798</c:v>
                </c:pt>
                <c:pt idx="106">
                  <c:v>100.84310261504811</c:v>
                </c:pt>
                <c:pt idx="107">
                  <c:v>99.734193312619794</c:v>
                </c:pt>
                <c:pt idx="108">
                  <c:v>98.557690923680809</c:v>
                </c:pt>
                <c:pt idx="109">
                  <c:v>97.314326804443354</c:v>
                </c:pt>
                <c:pt idx="110">
                  <c:v>96.004873874776649</c:v>
                </c:pt>
                <c:pt idx="111">
                  <c:v>94.630146137732154</c:v>
                </c:pt>
                <c:pt idx="112">
                  <c:v>93.190998173530048</c:v>
                </c:pt>
                <c:pt idx="113">
                  <c:v>91.688324608321324</c:v>
                </c:pt>
                <c:pt idx="114">
                  <c:v>90.123059558056042</c:v>
                </c:pt>
                <c:pt idx="115">
                  <c:v>88.496176047803246</c:v>
                </c:pt>
                <c:pt idx="116">
                  <c:v>86.808685406883541</c:v>
                </c:pt>
                <c:pt idx="117">
                  <c:v>85.061636640190457</c:v>
                </c:pt>
                <c:pt idx="118">
                  <c:v>83.256115776091235</c:v>
                </c:pt>
                <c:pt idx="119">
                  <c:v>81.393245191312488</c:v>
                </c:pt>
                <c:pt idx="120">
                  <c:v>79.474182913230521</c:v>
                </c:pt>
                <c:pt idx="121">
                  <c:v>77.500121899999812</c:v>
                </c:pt>
                <c:pt idx="122">
                  <c:v>75.472289298967283</c:v>
                </c:pt>
                <c:pt idx="123">
                  <c:v>73.391945683833413</c:v>
                </c:pt>
                <c:pt idx="124">
                  <c:v>71.260384271034184</c:v>
                </c:pt>
                <c:pt idx="125">
                  <c:v>69.078930115831355</c:v>
                </c:pt>
                <c:pt idx="126">
                  <c:v>66.84893928861031</c:v>
                </c:pt>
                <c:pt idx="127">
                  <c:v>64.571798031898012</c:v>
                </c:pt>
                <c:pt idx="128">
                  <c:v>62.248921898624673</c:v>
                </c:pt>
                <c:pt idx="129">
                  <c:v>59.881754872165274</c:v>
                </c:pt>
                <c:pt idx="130">
                  <c:v>57.471768468707353</c:v>
                </c:pt>
                <c:pt idx="131">
                  <c:v>55.020460822503807</c:v>
                </c:pt>
                <c:pt idx="132">
                  <c:v>52.529355754578582</c:v>
                </c:pt>
                <c:pt idx="133">
                  <c:v>50.000001825464786</c:v>
                </c:pt>
                <c:pt idx="134">
                  <c:v>47.433971372563768</c:v>
                </c:pt>
                <c:pt idx="135">
                  <c:v>44.832859532723496</c:v>
                </c:pt>
                <c:pt idx="136">
                  <c:v>42.198283250644259</c:v>
                </c:pt>
                <c:pt idx="137">
                  <c:v>39.531880273727573</c:v>
                </c:pt>
                <c:pt idx="138">
                  <c:v>36.835308133993479</c:v>
                </c:pt>
                <c:pt idx="139">
                  <c:v>34.110243117699014</c:v>
                </c:pt>
                <c:pt idx="140">
                  <c:v>31.358379223298492</c:v>
                </c:pt>
                <c:pt idx="141">
                  <c:v>28.581427108392873</c:v>
                </c:pt>
                <c:pt idx="142">
                  <c:v>25.781113026323638</c:v>
                </c:pt>
                <c:pt idx="143">
                  <c:v>22.959177753071529</c:v>
                </c:pt>
                <c:pt idx="144">
                  <c:v>20.117375505127672</c:v>
                </c:pt>
                <c:pt idx="145">
                  <c:v>17.257472849009325</c:v>
                </c:pt>
                <c:pt idx="146">
                  <c:v>14.381247603098693</c:v>
                </c:pt>
                <c:pt idx="147">
                  <c:v>11.4904877324871</c:v>
                </c:pt>
                <c:pt idx="148">
                  <c:v>8.5869902375114009</c:v>
                </c:pt>
                <c:pt idx="149">
                  <c:v>5.6725600366741151</c:v>
                </c:pt>
                <c:pt idx="150">
                  <c:v>2.7490088446409864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1.9499106062863438</c:v>
                </c:pt>
                <c:pt idx="156">
                  <c:v>0.4353759783197173</c:v>
                </c:pt>
                <c:pt idx="157">
                  <c:v>-1.8969752270526943</c:v>
                </c:pt>
                <c:pt idx="158">
                  <c:v>-4.3589076120530557</c:v>
                </c:pt>
                <c:pt idx="159">
                  <c:v>-6.8839803504483132</c:v>
                </c:pt>
                <c:pt idx="160">
                  <c:v>-9.445701924974987</c:v>
                </c:pt>
                <c:pt idx="161">
                  <c:v>-12.029847191518842</c:v>
                </c:pt>
                <c:pt idx="162">
                  <c:v>-14.627414945166993</c:v>
                </c:pt>
                <c:pt idx="163">
                  <c:v>-17.232056846141056</c:v>
                </c:pt>
                <c:pt idx="164">
                  <c:v>-19.838932677723623</c:v>
                </c:pt>
                <c:pt idx="165">
                  <c:v>-22.444130304605075</c:v>
                </c:pt>
                <c:pt idx="166">
                  <c:v>-25.044343452319694</c:v>
                </c:pt>
                <c:pt idx="167">
                  <c:v>-27.636679898033758</c:v>
                </c:pt>
                <c:pt idx="168">
                  <c:v>-30.218540957437643</c:v>
                </c:pt>
                <c:pt idx="169">
                  <c:v>-32.78754241013354</c:v>
                </c:pt>
                <c:pt idx="170">
                  <c:v>-35.341460734846422</c:v>
                </c:pt>
                <c:pt idx="171">
                  <c:v>-37.87819545249797</c:v>
                </c:pt>
                <c:pt idx="172">
                  <c:v>-40.395742083457577</c:v>
                </c:pt>
                <c:pt idx="173">
                  <c:v>-42.892172311294814</c:v>
                </c:pt>
                <c:pt idx="174">
                  <c:v>-45.365619169152751</c:v>
                </c:pt>
                <c:pt idx="175">
                  <c:v>-47.814265809250514</c:v>
                </c:pt>
                <c:pt idx="176">
                  <c:v>-50.2363368832779</c:v>
                </c:pt>
                <c:pt idx="177">
                  <c:v>-52.630091862955695</c:v>
                </c:pt>
                <c:pt idx="178">
                  <c:v>-54.993819829410697</c:v>
                </c:pt>
                <c:pt idx="179">
                  <c:v>-57.325835394749546</c:v>
                </c:pt>
                <c:pt idx="180">
                  <c:v>-59.624475512051248</c:v>
                </c:pt>
                <c:pt idx="181">
                  <c:v>-61.888096995078456</c:v>
                </c:pt>
                <c:pt idx="182">
                  <c:v>-64.115074615332276</c:v>
                </c:pt>
                <c:pt idx="183">
                  <c:v>-66.30379967749289</c:v>
                </c:pt>
                <c:pt idx="184">
                  <c:v>-68.452678998667324</c:v>
                </c:pt>
                <c:pt idx="185">
                  <c:v>-70.560134234811926</c:v>
                </c:pt>
                <c:pt idx="186">
                  <c:v>-72.62460151099414</c:v>
                </c:pt>
                <c:pt idx="187">
                  <c:v>-74.644531322041644</c:v>
                </c:pt>
                <c:pt idx="188">
                  <c:v>-76.618388677470904</c:v>
                </c:pt>
                <c:pt idx="189">
                  <c:v>-78.544653470010275</c:v>
                </c:pt>
                <c:pt idx="190">
                  <c:v>-80.421821050989195</c:v>
                </c:pt>
                <c:pt idx="191">
                  <c:v>-82.248402998682764</c:v>
                </c:pt>
                <c:pt idx="192">
                  <c:v>-84.022928067629167</c:v>
                </c:pt>
                <c:pt idx="193">
                  <c:v>-85.743943308162585</c:v>
                </c:pt>
                <c:pt idx="194">
                  <c:v>-87.410015346074147</c:v>
                </c:pt>
                <c:pt idx="195">
                  <c:v>-89.019731812542062</c:v>
                </c:pt>
                <c:pt idx="196">
                  <c:v>-90.571702914357161</c:v>
                </c:pt>
                <c:pt idx="197">
                  <c:v>-92.064563134086512</c:v>
                </c:pt>
                <c:pt idx="198">
                  <c:v>-93.496973049239003</c:v>
                </c:pt>
                <c:pt idx="199">
                  <c:v>-94.867621258778129</c:v>
                </c:pt>
                <c:pt idx="200">
                  <c:v>-96.175226404524849</c:v>
                </c:pt>
                <c:pt idx="201">
                  <c:v>-97.418539274155421</c:v>
                </c:pt>
                <c:pt idx="202">
                  <c:v>-98.596344971669311</c:v>
                </c:pt>
                <c:pt idx="203">
                  <c:v>-99.707465140420894</c:v>
                </c:pt>
                <c:pt idx="204">
                  <c:v>-100.75076022311241</c:v>
                </c:pt>
                <c:pt idx="205">
                  <c:v>-101.72513174256733</c:v>
                </c:pt>
                <c:pt idx="206">
                  <c:v>-102.62952458666661</c:v>
                </c:pt>
                <c:pt idx="207">
                  <c:v>-103.46292928056559</c:v>
                </c:pt>
                <c:pt idx="208">
                  <c:v>-104.22438422922602</c:v>
                </c:pt>
                <c:pt idx="209">
                  <c:v>-104.91297791341526</c:v>
                </c:pt>
                <c:pt idx="210">
                  <c:v>-105.527851022645</c:v>
                </c:pt>
                <c:pt idx="211">
                  <c:v>-106.06819850905003</c:v>
                </c:pt>
                <c:pt idx="212">
                  <c:v>-106.53327154693659</c:v>
                </c:pt>
                <c:pt idx="213">
                  <c:v>-106.92237938365012</c:v>
                </c:pt>
                <c:pt idx="214">
                  <c:v>-107.23489106851224</c:v>
                </c:pt>
                <c:pt idx="215">
                  <c:v>-107.47023704783025</c:v>
                </c:pt>
                <c:pt idx="216">
                  <c:v>-107.62791061537467</c:v>
                </c:pt>
                <c:pt idx="217">
                  <c:v>-107.70746920921601</c:v>
                </c:pt>
                <c:pt idx="218">
                  <c:v>-107.70853554738908</c:v>
                </c:pt>
              </c:numCache>
            </c:numRef>
          </c:xVal>
          <c:yVal>
            <c:numRef>
              <c:f>'5LeverTailRectangle'!$BA$6:$BA$224</c:f>
              <c:numCache>
                <c:formatCode>General</c:formatCode>
                <c:ptCount val="219"/>
                <c:pt idx="13">
                  <c:v>0</c:v>
                </c:pt>
                <c:pt idx="14">
                  <c:v>-0.95781742073864162</c:v>
                </c:pt>
                <c:pt idx="15">
                  <c:v>80</c:v>
                </c:pt>
                <c:pt idx="16">
                  <c:v>60.231230629828971</c:v>
                </c:pt>
                <c:pt idx="17">
                  <c:v>28.018401076871921</c:v>
                </c:pt>
                <c:pt idx="18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'5LeverTailRectangle'!$BB$5</c:f>
              <c:strCache>
                <c:ptCount val="1"/>
                <c:pt idx="0">
                  <c:v>R1</c:v>
                </c:pt>
              </c:strCache>
            </c:strRef>
          </c:tx>
          <c:xVal>
            <c:numRef>
              <c:f>'5LeverTailRectangle'!$AY$6:$AY$224</c:f>
              <c:numCache>
                <c:formatCode>General</c:formatCode>
                <c:ptCount val="219"/>
                <c:pt idx="0">
                  <c:v>-62.915103558236275</c:v>
                </c:pt>
                <c:pt idx="1">
                  <c:v>-52.255284346750535</c:v>
                </c:pt>
                <c:pt idx="2">
                  <c:v>-41.617893203520786</c:v>
                </c:pt>
                <c:pt idx="3">
                  <c:v>-31.075616629919871</c:v>
                </c:pt>
                <c:pt idx="4">
                  <c:v>-20.582425716540314</c:v>
                </c:pt>
                <c:pt idx="5">
                  <c:v>-9.9424261892741228</c:v>
                </c:pt>
                <c:pt idx="6">
                  <c:v>1.1408666100856948</c:v>
                </c:pt>
                <c:pt idx="7">
                  <c:v>12.906193769447022</c:v>
                </c:pt>
                <c:pt idx="8">
                  <c:v>25.425910442131688</c:v>
                </c:pt>
                <c:pt idx="9">
                  <c:v>38.668580764638349</c:v>
                </c:pt>
                <c:pt idx="10">
                  <c:v>52.763341810937938</c:v>
                </c:pt>
                <c:pt idx="11">
                  <c:v>50.151091411687077</c:v>
                </c:pt>
                <c:pt idx="12">
                  <c:v>-61.466610306763862</c:v>
                </c:pt>
                <c:pt idx="13">
                  <c:v>-9</c:v>
                </c:pt>
                <c:pt idx="14">
                  <c:v>-40.985662190871238</c:v>
                </c:pt>
                <c:pt idx="15">
                  <c:v>-70</c:v>
                </c:pt>
                <c:pt idx="16">
                  <c:v>-62.915103558236275</c:v>
                </c:pt>
                <c:pt idx="17">
                  <c:v>-6.4586286938894535</c:v>
                </c:pt>
                <c:pt idx="18">
                  <c:v>9</c:v>
                </c:pt>
                <c:pt idx="19">
                  <c:v>-9</c:v>
                </c:pt>
                <c:pt idx="20">
                  <c:v>-40.664497800972853</c:v>
                </c:pt>
                <c:pt idx="21">
                  <c:v>-56</c:v>
                </c:pt>
                <c:pt idx="22">
                  <c:v>-52.255284346750535</c:v>
                </c:pt>
                <c:pt idx="23">
                  <c:v>6.677652173205086</c:v>
                </c:pt>
                <c:pt idx="24">
                  <c:v>9</c:v>
                </c:pt>
                <c:pt idx="25">
                  <c:v>-9</c:v>
                </c:pt>
                <c:pt idx="26">
                  <c:v>-40.435181690601752</c:v>
                </c:pt>
                <c:pt idx="27">
                  <c:v>-42</c:v>
                </c:pt>
                <c:pt idx="28">
                  <c:v>-41.617893203520786</c:v>
                </c:pt>
                <c:pt idx="29">
                  <c:v>17.029172929078673</c:v>
                </c:pt>
                <c:pt idx="30">
                  <c:v>9</c:v>
                </c:pt>
                <c:pt idx="31">
                  <c:v>-9</c:v>
                </c:pt>
                <c:pt idx="32">
                  <c:v>-40.595382389189616</c:v>
                </c:pt>
                <c:pt idx="33">
                  <c:v>-28</c:v>
                </c:pt>
                <c:pt idx="34">
                  <c:v>-31.075616629919871</c:v>
                </c:pt>
                <c:pt idx="35">
                  <c:v>25.581924896199304</c:v>
                </c:pt>
                <c:pt idx="36">
                  <c:v>9</c:v>
                </c:pt>
                <c:pt idx="37">
                  <c:v>-9</c:v>
                </c:pt>
                <c:pt idx="38">
                  <c:v>-40.956600553448808</c:v>
                </c:pt>
                <c:pt idx="39">
                  <c:v>-14</c:v>
                </c:pt>
                <c:pt idx="40">
                  <c:v>-20.582425716540314</c:v>
                </c:pt>
                <c:pt idx="41">
                  <c:v>32.165600148691183</c:v>
                </c:pt>
                <c:pt idx="42">
                  <c:v>9</c:v>
                </c:pt>
                <c:pt idx="43">
                  <c:v>-9</c:v>
                </c:pt>
                <c:pt idx="44">
                  <c:v>-40.71660248941339</c:v>
                </c:pt>
                <c:pt idx="45">
                  <c:v>0</c:v>
                </c:pt>
                <c:pt idx="46">
                  <c:v>-9.9424261892741228</c:v>
                </c:pt>
                <c:pt idx="47">
                  <c:v>36.623816105831878</c:v>
                </c:pt>
                <c:pt idx="48">
                  <c:v>9</c:v>
                </c:pt>
                <c:pt idx="49">
                  <c:v>-9</c:v>
                </c:pt>
                <c:pt idx="50">
                  <c:v>-38.661212930139619</c:v>
                </c:pt>
                <c:pt idx="51">
                  <c:v>14</c:v>
                </c:pt>
                <c:pt idx="52">
                  <c:v>1.1408666100856948</c:v>
                </c:pt>
                <c:pt idx="53">
                  <c:v>39.165215516381885</c:v>
                </c:pt>
                <c:pt idx="54">
                  <c:v>9</c:v>
                </c:pt>
                <c:pt idx="55">
                  <c:v>-9</c:v>
                </c:pt>
                <c:pt idx="56">
                  <c:v>-33.812730277526853</c:v>
                </c:pt>
                <c:pt idx="57">
                  <c:v>28</c:v>
                </c:pt>
                <c:pt idx="58">
                  <c:v>12.906193769447022</c:v>
                </c:pt>
                <c:pt idx="59">
                  <c:v>40.33871401481656</c:v>
                </c:pt>
                <c:pt idx="60">
                  <c:v>9</c:v>
                </c:pt>
                <c:pt idx="61">
                  <c:v>-9</c:v>
                </c:pt>
                <c:pt idx="62">
                  <c:v>-25.874842951302725</c:v>
                </c:pt>
                <c:pt idx="63">
                  <c:v>42</c:v>
                </c:pt>
                <c:pt idx="64">
                  <c:v>25.425910442131688</c:v>
                </c:pt>
                <c:pt idx="65">
                  <c:v>40.756751843001304</c:v>
                </c:pt>
                <c:pt idx="66">
                  <c:v>9</c:v>
                </c:pt>
                <c:pt idx="67">
                  <c:v>-9</c:v>
                </c:pt>
                <c:pt idx="68">
                  <c:v>-14.976288297232923</c:v>
                </c:pt>
                <c:pt idx="69">
                  <c:v>56</c:v>
                </c:pt>
                <c:pt idx="70">
                  <c:v>38.668580764638349</c:v>
                </c:pt>
                <c:pt idx="71">
                  <c:v>40.841808347238583</c:v>
                </c:pt>
                <c:pt idx="72">
                  <c:v>9</c:v>
                </c:pt>
                <c:pt idx="73">
                  <c:v>-9</c:v>
                </c:pt>
                <c:pt idx="74">
                  <c:v>-0.58821925048155776</c:v>
                </c:pt>
                <c:pt idx="75">
                  <c:v>70</c:v>
                </c:pt>
                <c:pt idx="76">
                  <c:v>52.763341810937938</c:v>
                </c:pt>
                <c:pt idx="77">
                  <c:v>40.732715016655298</c:v>
                </c:pt>
                <c:pt idx="78">
                  <c:v>9</c:v>
                </c:pt>
                <c:pt idx="79">
                  <c:v>-9</c:v>
                </c:pt>
                <c:pt idx="80">
                  <c:v>-11.286006599795854</c:v>
                </c:pt>
                <c:pt idx="81">
                  <c:v>70</c:v>
                </c:pt>
                <c:pt idx="82">
                  <c:v>50.151091411687077</c:v>
                </c:pt>
                <c:pt idx="83">
                  <c:v>39.083477722548608</c:v>
                </c:pt>
                <c:pt idx="84">
                  <c:v>9</c:v>
                </c:pt>
                <c:pt idx="85">
                  <c:v>-9</c:v>
                </c:pt>
                <c:pt idx="86">
                  <c:v>-35.05373744672503</c:v>
                </c:pt>
                <c:pt idx="87">
                  <c:v>-70</c:v>
                </c:pt>
                <c:pt idx="88">
                  <c:v>-61.466610306763862</c:v>
                </c:pt>
                <c:pt idx="89">
                  <c:v>2.8488307653754443</c:v>
                </c:pt>
                <c:pt idx="90">
                  <c:v>9</c:v>
                </c:pt>
                <c:pt idx="91">
                  <c:v>109</c:v>
                </c:pt>
                <c:pt idx="92">
                  <c:v>108.96332347734752</c:v>
                </c:pt>
                <c:pt idx="93">
                  <c:v>108.8533167088361</c:v>
                </c:pt>
                <c:pt idx="94">
                  <c:v>108.67004807863076</c:v>
                </c:pt>
                <c:pt idx="95">
                  <c:v>108.41363151310553</c:v>
                </c:pt>
                <c:pt idx="96">
                  <c:v>108.08422641002265</c:v>
                </c:pt>
                <c:pt idx="97">
                  <c:v>107.6820375394453</c:v>
                </c:pt>
                <c:pt idx="98">
                  <c:v>107.20731491644504</c:v>
                </c:pt>
                <c:pt idx="99">
                  <c:v>106.66035364568347</c:v>
                </c:pt>
                <c:pt idx="100">
                  <c:v>106.04149373796464</c:v>
                </c:pt>
                <c:pt idx="101">
                  <c:v>105.351119898872</c:v>
                </c:pt>
                <c:pt idx="102">
                  <c:v>104.58966128962159</c:v>
                </c:pt>
                <c:pt idx="103">
                  <c:v>103.75759126028008</c:v>
                </c:pt>
                <c:pt idx="104">
                  <c:v>102.85542705551322</c:v>
                </c:pt>
                <c:pt idx="105">
                  <c:v>101.88372949304798</c:v>
                </c:pt>
                <c:pt idx="106">
                  <c:v>100.84310261504811</c:v>
                </c:pt>
                <c:pt idx="107">
                  <c:v>99.734193312619794</c:v>
                </c:pt>
                <c:pt idx="108">
                  <c:v>98.557690923680809</c:v>
                </c:pt>
                <c:pt idx="109">
                  <c:v>97.314326804443354</c:v>
                </c:pt>
                <c:pt idx="110">
                  <c:v>96.004873874776649</c:v>
                </c:pt>
                <c:pt idx="111">
                  <c:v>94.630146137732154</c:v>
                </c:pt>
                <c:pt idx="112">
                  <c:v>93.190998173530048</c:v>
                </c:pt>
                <c:pt idx="113">
                  <c:v>91.688324608321324</c:v>
                </c:pt>
                <c:pt idx="114">
                  <c:v>90.123059558056042</c:v>
                </c:pt>
                <c:pt idx="115">
                  <c:v>88.496176047803246</c:v>
                </c:pt>
                <c:pt idx="116">
                  <c:v>86.808685406883541</c:v>
                </c:pt>
                <c:pt idx="117">
                  <c:v>85.061636640190457</c:v>
                </c:pt>
                <c:pt idx="118">
                  <c:v>83.256115776091235</c:v>
                </c:pt>
                <c:pt idx="119">
                  <c:v>81.393245191312488</c:v>
                </c:pt>
                <c:pt idx="120">
                  <c:v>79.474182913230521</c:v>
                </c:pt>
                <c:pt idx="121">
                  <c:v>77.500121899999812</c:v>
                </c:pt>
                <c:pt idx="122">
                  <c:v>75.472289298967283</c:v>
                </c:pt>
                <c:pt idx="123">
                  <c:v>73.391945683833413</c:v>
                </c:pt>
                <c:pt idx="124">
                  <c:v>71.260384271034184</c:v>
                </c:pt>
                <c:pt idx="125">
                  <c:v>69.078930115831355</c:v>
                </c:pt>
                <c:pt idx="126">
                  <c:v>66.84893928861031</c:v>
                </c:pt>
                <c:pt idx="127">
                  <c:v>64.571798031898012</c:v>
                </c:pt>
                <c:pt idx="128">
                  <c:v>62.248921898624673</c:v>
                </c:pt>
                <c:pt idx="129">
                  <c:v>59.881754872165274</c:v>
                </c:pt>
                <c:pt idx="130">
                  <c:v>57.471768468707353</c:v>
                </c:pt>
                <c:pt idx="131">
                  <c:v>55.020460822503807</c:v>
                </c:pt>
                <c:pt idx="132">
                  <c:v>52.529355754578582</c:v>
                </c:pt>
                <c:pt idx="133">
                  <c:v>50.000001825464786</c:v>
                </c:pt>
                <c:pt idx="134">
                  <c:v>47.433971372563768</c:v>
                </c:pt>
                <c:pt idx="135">
                  <c:v>44.832859532723496</c:v>
                </c:pt>
                <c:pt idx="136">
                  <c:v>42.198283250644259</c:v>
                </c:pt>
                <c:pt idx="137">
                  <c:v>39.531880273727573</c:v>
                </c:pt>
                <c:pt idx="138">
                  <c:v>36.835308133993479</c:v>
                </c:pt>
                <c:pt idx="139">
                  <c:v>34.110243117699014</c:v>
                </c:pt>
                <c:pt idx="140">
                  <c:v>31.358379223298492</c:v>
                </c:pt>
                <c:pt idx="141">
                  <c:v>28.581427108392873</c:v>
                </c:pt>
                <c:pt idx="142">
                  <c:v>25.781113026323638</c:v>
                </c:pt>
                <c:pt idx="143">
                  <c:v>22.959177753071529</c:v>
                </c:pt>
                <c:pt idx="144">
                  <c:v>20.117375505127672</c:v>
                </c:pt>
                <c:pt idx="145">
                  <c:v>17.257472849009325</c:v>
                </c:pt>
                <c:pt idx="146">
                  <c:v>14.381247603098693</c:v>
                </c:pt>
                <c:pt idx="147">
                  <c:v>11.4904877324871</c:v>
                </c:pt>
                <c:pt idx="148">
                  <c:v>8.5869902375114009</c:v>
                </c:pt>
                <c:pt idx="149">
                  <c:v>5.6725600366741151</c:v>
                </c:pt>
                <c:pt idx="150">
                  <c:v>2.7490088446409864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1.9499106062863438</c:v>
                </c:pt>
                <c:pt idx="156">
                  <c:v>0.4353759783197173</c:v>
                </c:pt>
                <c:pt idx="157">
                  <c:v>-1.8969752270526943</c:v>
                </c:pt>
                <c:pt idx="158">
                  <c:v>-4.3589076120530557</c:v>
                </c:pt>
                <c:pt idx="159">
                  <c:v>-6.8839803504483132</c:v>
                </c:pt>
                <c:pt idx="160">
                  <c:v>-9.445701924974987</c:v>
                </c:pt>
                <c:pt idx="161">
                  <c:v>-12.029847191518842</c:v>
                </c:pt>
                <c:pt idx="162">
                  <c:v>-14.627414945166993</c:v>
                </c:pt>
                <c:pt idx="163">
                  <c:v>-17.232056846141056</c:v>
                </c:pt>
                <c:pt idx="164">
                  <c:v>-19.838932677723623</c:v>
                </c:pt>
                <c:pt idx="165">
                  <c:v>-22.444130304605075</c:v>
                </c:pt>
                <c:pt idx="166">
                  <c:v>-25.044343452319694</c:v>
                </c:pt>
                <c:pt idx="167">
                  <c:v>-27.636679898033758</c:v>
                </c:pt>
                <c:pt idx="168">
                  <c:v>-30.218540957437643</c:v>
                </c:pt>
                <c:pt idx="169">
                  <c:v>-32.78754241013354</c:v>
                </c:pt>
                <c:pt idx="170">
                  <c:v>-35.341460734846422</c:v>
                </c:pt>
                <c:pt idx="171">
                  <c:v>-37.87819545249797</c:v>
                </c:pt>
                <c:pt idx="172">
                  <c:v>-40.395742083457577</c:v>
                </c:pt>
                <c:pt idx="173">
                  <c:v>-42.892172311294814</c:v>
                </c:pt>
                <c:pt idx="174">
                  <c:v>-45.365619169152751</c:v>
                </c:pt>
                <c:pt idx="175">
                  <c:v>-47.814265809250514</c:v>
                </c:pt>
                <c:pt idx="176">
                  <c:v>-50.2363368832779</c:v>
                </c:pt>
                <c:pt idx="177">
                  <c:v>-52.630091862955695</c:v>
                </c:pt>
                <c:pt idx="178">
                  <c:v>-54.993819829410697</c:v>
                </c:pt>
                <c:pt idx="179">
                  <c:v>-57.325835394749546</c:v>
                </c:pt>
                <c:pt idx="180">
                  <c:v>-59.624475512051248</c:v>
                </c:pt>
                <c:pt idx="181">
                  <c:v>-61.888096995078456</c:v>
                </c:pt>
                <c:pt idx="182">
                  <c:v>-64.115074615332276</c:v>
                </c:pt>
                <c:pt idx="183">
                  <c:v>-66.30379967749289</c:v>
                </c:pt>
                <c:pt idx="184">
                  <c:v>-68.452678998667324</c:v>
                </c:pt>
                <c:pt idx="185">
                  <c:v>-70.560134234811926</c:v>
                </c:pt>
                <c:pt idx="186">
                  <c:v>-72.62460151099414</c:v>
                </c:pt>
                <c:pt idx="187">
                  <c:v>-74.644531322041644</c:v>
                </c:pt>
                <c:pt idx="188">
                  <c:v>-76.618388677470904</c:v>
                </c:pt>
                <c:pt idx="189">
                  <c:v>-78.544653470010275</c:v>
                </c:pt>
                <c:pt idx="190">
                  <c:v>-80.421821050989195</c:v>
                </c:pt>
                <c:pt idx="191">
                  <c:v>-82.248402998682764</c:v>
                </c:pt>
                <c:pt idx="192">
                  <c:v>-84.022928067629167</c:v>
                </c:pt>
                <c:pt idx="193">
                  <c:v>-85.743943308162585</c:v>
                </c:pt>
                <c:pt idx="194">
                  <c:v>-87.410015346074147</c:v>
                </c:pt>
                <c:pt idx="195">
                  <c:v>-89.019731812542062</c:v>
                </c:pt>
                <c:pt idx="196">
                  <c:v>-90.571702914357161</c:v>
                </c:pt>
                <c:pt idx="197">
                  <c:v>-92.064563134086512</c:v>
                </c:pt>
                <c:pt idx="198">
                  <c:v>-93.496973049239003</c:v>
                </c:pt>
                <c:pt idx="199">
                  <c:v>-94.867621258778129</c:v>
                </c:pt>
                <c:pt idx="200">
                  <c:v>-96.175226404524849</c:v>
                </c:pt>
                <c:pt idx="201">
                  <c:v>-97.418539274155421</c:v>
                </c:pt>
                <c:pt idx="202">
                  <c:v>-98.596344971669311</c:v>
                </c:pt>
                <c:pt idx="203">
                  <c:v>-99.707465140420894</c:v>
                </c:pt>
                <c:pt idx="204">
                  <c:v>-100.75076022311241</c:v>
                </c:pt>
                <c:pt idx="205">
                  <c:v>-101.72513174256733</c:v>
                </c:pt>
                <c:pt idx="206">
                  <c:v>-102.62952458666661</c:v>
                </c:pt>
                <c:pt idx="207">
                  <c:v>-103.46292928056559</c:v>
                </c:pt>
                <c:pt idx="208">
                  <c:v>-104.22438422922602</c:v>
                </c:pt>
                <c:pt idx="209">
                  <c:v>-104.91297791341526</c:v>
                </c:pt>
                <c:pt idx="210">
                  <c:v>-105.527851022645</c:v>
                </c:pt>
                <c:pt idx="211">
                  <c:v>-106.06819850905003</c:v>
                </c:pt>
                <c:pt idx="212">
                  <c:v>-106.53327154693659</c:v>
                </c:pt>
                <c:pt idx="213">
                  <c:v>-106.92237938365012</c:v>
                </c:pt>
                <c:pt idx="214">
                  <c:v>-107.23489106851224</c:v>
                </c:pt>
                <c:pt idx="215">
                  <c:v>-107.47023704783025</c:v>
                </c:pt>
                <c:pt idx="216">
                  <c:v>-107.62791061537467</c:v>
                </c:pt>
                <c:pt idx="217">
                  <c:v>-107.70746920921601</c:v>
                </c:pt>
                <c:pt idx="218">
                  <c:v>-107.70853554738908</c:v>
                </c:pt>
              </c:numCache>
            </c:numRef>
          </c:xVal>
          <c:yVal>
            <c:numRef>
              <c:f>'5LeverTailRectangle'!$BB$6:$BB$224</c:f>
              <c:numCache>
                <c:formatCode>General</c:formatCode>
                <c:ptCount val="219"/>
                <c:pt idx="19">
                  <c:v>0</c:v>
                </c:pt>
                <c:pt idx="20">
                  <c:v>-4.621642458280987</c:v>
                </c:pt>
                <c:pt idx="21">
                  <c:v>80</c:v>
                </c:pt>
                <c:pt idx="22">
                  <c:v>59.336575678801104</c:v>
                </c:pt>
                <c:pt idx="23">
                  <c:v>31.915618442564778</c:v>
                </c:pt>
                <c:pt idx="24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'5LeverTailRectangle'!$BC$5</c:f>
              <c:strCache>
                <c:ptCount val="1"/>
                <c:pt idx="0">
                  <c:v>R2</c:v>
                </c:pt>
              </c:strCache>
            </c:strRef>
          </c:tx>
          <c:xVal>
            <c:numRef>
              <c:f>'5LeverTailRectangle'!$AY$6:$AY$224</c:f>
              <c:numCache>
                <c:formatCode>General</c:formatCode>
                <c:ptCount val="219"/>
                <c:pt idx="0">
                  <c:v>-62.915103558236275</c:v>
                </c:pt>
                <c:pt idx="1">
                  <c:v>-52.255284346750535</c:v>
                </c:pt>
                <c:pt idx="2">
                  <c:v>-41.617893203520786</c:v>
                </c:pt>
                <c:pt idx="3">
                  <c:v>-31.075616629919871</c:v>
                </c:pt>
                <c:pt idx="4">
                  <c:v>-20.582425716540314</c:v>
                </c:pt>
                <c:pt idx="5">
                  <c:v>-9.9424261892741228</c:v>
                </c:pt>
                <c:pt idx="6">
                  <c:v>1.1408666100856948</c:v>
                </c:pt>
                <c:pt idx="7">
                  <c:v>12.906193769447022</c:v>
                </c:pt>
                <c:pt idx="8">
                  <c:v>25.425910442131688</c:v>
                </c:pt>
                <c:pt idx="9">
                  <c:v>38.668580764638349</c:v>
                </c:pt>
                <c:pt idx="10">
                  <c:v>52.763341810937938</c:v>
                </c:pt>
                <c:pt idx="11">
                  <c:v>50.151091411687077</c:v>
                </c:pt>
                <c:pt idx="12">
                  <c:v>-61.466610306763862</c:v>
                </c:pt>
                <c:pt idx="13">
                  <c:v>-9</c:v>
                </c:pt>
                <c:pt idx="14">
                  <c:v>-40.985662190871238</c:v>
                </c:pt>
                <c:pt idx="15">
                  <c:v>-70</c:v>
                </c:pt>
                <c:pt idx="16">
                  <c:v>-62.915103558236275</c:v>
                </c:pt>
                <c:pt idx="17">
                  <c:v>-6.4586286938894535</c:v>
                </c:pt>
                <c:pt idx="18">
                  <c:v>9</c:v>
                </c:pt>
                <c:pt idx="19">
                  <c:v>-9</c:v>
                </c:pt>
                <c:pt idx="20">
                  <c:v>-40.664497800972853</c:v>
                </c:pt>
                <c:pt idx="21">
                  <c:v>-56</c:v>
                </c:pt>
                <c:pt idx="22">
                  <c:v>-52.255284346750535</c:v>
                </c:pt>
                <c:pt idx="23">
                  <c:v>6.677652173205086</c:v>
                </c:pt>
                <c:pt idx="24">
                  <c:v>9</c:v>
                </c:pt>
                <c:pt idx="25">
                  <c:v>-9</c:v>
                </c:pt>
                <c:pt idx="26">
                  <c:v>-40.435181690601752</c:v>
                </c:pt>
                <c:pt idx="27">
                  <c:v>-42</c:v>
                </c:pt>
                <c:pt idx="28">
                  <c:v>-41.617893203520786</c:v>
                </c:pt>
                <c:pt idx="29">
                  <c:v>17.029172929078673</c:v>
                </c:pt>
                <c:pt idx="30">
                  <c:v>9</c:v>
                </c:pt>
                <c:pt idx="31">
                  <c:v>-9</c:v>
                </c:pt>
                <c:pt idx="32">
                  <c:v>-40.595382389189616</c:v>
                </c:pt>
                <c:pt idx="33">
                  <c:v>-28</c:v>
                </c:pt>
                <c:pt idx="34">
                  <c:v>-31.075616629919871</c:v>
                </c:pt>
                <c:pt idx="35">
                  <c:v>25.581924896199304</c:v>
                </c:pt>
                <c:pt idx="36">
                  <c:v>9</c:v>
                </c:pt>
                <c:pt idx="37">
                  <c:v>-9</c:v>
                </c:pt>
                <c:pt idx="38">
                  <c:v>-40.956600553448808</c:v>
                </c:pt>
                <c:pt idx="39">
                  <c:v>-14</c:v>
                </c:pt>
                <c:pt idx="40">
                  <c:v>-20.582425716540314</c:v>
                </c:pt>
                <c:pt idx="41">
                  <c:v>32.165600148691183</c:v>
                </c:pt>
                <c:pt idx="42">
                  <c:v>9</c:v>
                </c:pt>
                <c:pt idx="43">
                  <c:v>-9</c:v>
                </c:pt>
                <c:pt idx="44">
                  <c:v>-40.71660248941339</c:v>
                </c:pt>
                <c:pt idx="45">
                  <c:v>0</c:v>
                </c:pt>
                <c:pt idx="46">
                  <c:v>-9.9424261892741228</c:v>
                </c:pt>
                <c:pt idx="47">
                  <c:v>36.623816105831878</c:v>
                </c:pt>
                <c:pt idx="48">
                  <c:v>9</c:v>
                </c:pt>
                <c:pt idx="49">
                  <c:v>-9</c:v>
                </c:pt>
                <c:pt idx="50">
                  <c:v>-38.661212930139619</c:v>
                </c:pt>
                <c:pt idx="51">
                  <c:v>14</c:v>
                </c:pt>
                <c:pt idx="52">
                  <c:v>1.1408666100856948</c:v>
                </c:pt>
                <c:pt idx="53">
                  <c:v>39.165215516381885</c:v>
                </c:pt>
                <c:pt idx="54">
                  <c:v>9</c:v>
                </c:pt>
                <c:pt idx="55">
                  <c:v>-9</c:v>
                </c:pt>
                <c:pt idx="56">
                  <c:v>-33.812730277526853</c:v>
                </c:pt>
                <c:pt idx="57">
                  <c:v>28</c:v>
                </c:pt>
                <c:pt idx="58">
                  <c:v>12.906193769447022</c:v>
                </c:pt>
                <c:pt idx="59">
                  <c:v>40.33871401481656</c:v>
                </c:pt>
                <c:pt idx="60">
                  <c:v>9</c:v>
                </c:pt>
                <c:pt idx="61">
                  <c:v>-9</c:v>
                </c:pt>
                <c:pt idx="62">
                  <c:v>-25.874842951302725</c:v>
                </c:pt>
                <c:pt idx="63">
                  <c:v>42</c:v>
                </c:pt>
                <c:pt idx="64">
                  <c:v>25.425910442131688</c:v>
                </c:pt>
                <c:pt idx="65">
                  <c:v>40.756751843001304</c:v>
                </c:pt>
                <c:pt idx="66">
                  <c:v>9</c:v>
                </c:pt>
                <c:pt idx="67">
                  <c:v>-9</c:v>
                </c:pt>
                <c:pt idx="68">
                  <c:v>-14.976288297232923</c:v>
                </c:pt>
                <c:pt idx="69">
                  <c:v>56</c:v>
                </c:pt>
                <c:pt idx="70">
                  <c:v>38.668580764638349</c:v>
                </c:pt>
                <c:pt idx="71">
                  <c:v>40.841808347238583</c:v>
                </c:pt>
                <c:pt idx="72">
                  <c:v>9</c:v>
                </c:pt>
                <c:pt idx="73">
                  <c:v>-9</c:v>
                </c:pt>
                <c:pt idx="74">
                  <c:v>-0.58821925048155776</c:v>
                </c:pt>
                <c:pt idx="75">
                  <c:v>70</c:v>
                </c:pt>
                <c:pt idx="76">
                  <c:v>52.763341810937938</c:v>
                </c:pt>
                <c:pt idx="77">
                  <c:v>40.732715016655298</c:v>
                </c:pt>
                <c:pt idx="78">
                  <c:v>9</c:v>
                </c:pt>
                <c:pt idx="79">
                  <c:v>-9</c:v>
                </c:pt>
                <c:pt idx="80">
                  <c:v>-11.286006599795854</c:v>
                </c:pt>
                <c:pt idx="81">
                  <c:v>70</c:v>
                </c:pt>
                <c:pt idx="82">
                  <c:v>50.151091411687077</c:v>
                </c:pt>
                <c:pt idx="83">
                  <c:v>39.083477722548608</c:v>
                </c:pt>
                <c:pt idx="84">
                  <c:v>9</c:v>
                </c:pt>
                <c:pt idx="85">
                  <c:v>-9</c:v>
                </c:pt>
                <c:pt idx="86">
                  <c:v>-35.05373744672503</c:v>
                </c:pt>
                <c:pt idx="87">
                  <c:v>-70</c:v>
                </c:pt>
                <c:pt idx="88">
                  <c:v>-61.466610306763862</c:v>
                </c:pt>
                <c:pt idx="89">
                  <c:v>2.8488307653754443</c:v>
                </c:pt>
                <c:pt idx="90">
                  <c:v>9</c:v>
                </c:pt>
                <c:pt idx="91">
                  <c:v>109</c:v>
                </c:pt>
                <c:pt idx="92">
                  <c:v>108.96332347734752</c:v>
                </c:pt>
                <c:pt idx="93">
                  <c:v>108.8533167088361</c:v>
                </c:pt>
                <c:pt idx="94">
                  <c:v>108.67004807863076</c:v>
                </c:pt>
                <c:pt idx="95">
                  <c:v>108.41363151310553</c:v>
                </c:pt>
                <c:pt idx="96">
                  <c:v>108.08422641002265</c:v>
                </c:pt>
                <c:pt idx="97">
                  <c:v>107.6820375394453</c:v>
                </c:pt>
                <c:pt idx="98">
                  <c:v>107.20731491644504</c:v>
                </c:pt>
                <c:pt idx="99">
                  <c:v>106.66035364568347</c:v>
                </c:pt>
                <c:pt idx="100">
                  <c:v>106.04149373796464</c:v>
                </c:pt>
                <c:pt idx="101">
                  <c:v>105.351119898872</c:v>
                </c:pt>
                <c:pt idx="102">
                  <c:v>104.58966128962159</c:v>
                </c:pt>
                <c:pt idx="103">
                  <c:v>103.75759126028008</c:v>
                </c:pt>
                <c:pt idx="104">
                  <c:v>102.85542705551322</c:v>
                </c:pt>
                <c:pt idx="105">
                  <c:v>101.88372949304798</c:v>
                </c:pt>
                <c:pt idx="106">
                  <c:v>100.84310261504811</c:v>
                </c:pt>
                <c:pt idx="107">
                  <c:v>99.734193312619794</c:v>
                </c:pt>
                <c:pt idx="108">
                  <c:v>98.557690923680809</c:v>
                </c:pt>
                <c:pt idx="109">
                  <c:v>97.314326804443354</c:v>
                </c:pt>
                <c:pt idx="110">
                  <c:v>96.004873874776649</c:v>
                </c:pt>
                <c:pt idx="111">
                  <c:v>94.630146137732154</c:v>
                </c:pt>
                <c:pt idx="112">
                  <c:v>93.190998173530048</c:v>
                </c:pt>
                <c:pt idx="113">
                  <c:v>91.688324608321324</c:v>
                </c:pt>
                <c:pt idx="114">
                  <c:v>90.123059558056042</c:v>
                </c:pt>
                <c:pt idx="115">
                  <c:v>88.496176047803246</c:v>
                </c:pt>
                <c:pt idx="116">
                  <c:v>86.808685406883541</c:v>
                </c:pt>
                <c:pt idx="117">
                  <c:v>85.061636640190457</c:v>
                </c:pt>
                <c:pt idx="118">
                  <c:v>83.256115776091235</c:v>
                </c:pt>
                <c:pt idx="119">
                  <c:v>81.393245191312488</c:v>
                </c:pt>
                <c:pt idx="120">
                  <c:v>79.474182913230521</c:v>
                </c:pt>
                <c:pt idx="121">
                  <c:v>77.500121899999812</c:v>
                </c:pt>
                <c:pt idx="122">
                  <c:v>75.472289298967283</c:v>
                </c:pt>
                <c:pt idx="123">
                  <c:v>73.391945683833413</c:v>
                </c:pt>
                <c:pt idx="124">
                  <c:v>71.260384271034184</c:v>
                </c:pt>
                <c:pt idx="125">
                  <c:v>69.078930115831355</c:v>
                </c:pt>
                <c:pt idx="126">
                  <c:v>66.84893928861031</c:v>
                </c:pt>
                <c:pt idx="127">
                  <c:v>64.571798031898012</c:v>
                </c:pt>
                <c:pt idx="128">
                  <c:v>62.248921898624673</c:v>
                </c:pt>
                <c:pt idx="129">
                  <c:v>59.881754872165274</c:v>
                </c:pt>
                <c:pt idx="130">
                  <c:v>57.471768468707353</c:v>
                </c:pt>
                <c:pt idx="131">
                  <c:v>55.020460822503807</c:v>
                </c:pt>
                <c:pt idx="132">
                  <c:v>52.529355754578582</c:v>
                </c:pt>
                <c:pt idx="133">
                  <c:v>50.000001825464786</c:v>
                </c:pt>
                <c:pt idx="134">
                  <c:v>47.433971372563768</c:v>
                </c:pt>
                <c:pt idx="135">
                  <c:v>44.832859532723496</c:v>
                </c:pt>
                <c:pt idx="136">
                  <c:v>42.198283250644259</c:v>
                </c:pt>
                <c:pt idx="137">
                  <c:v>39.531880273727573</c:v>
                </c:pt>
                <c:pt idx="138">
                  <c:v>36.835308133993479</c:v>
                </c:pt>
                <c:pt idx="139">
                  <c:v>34.110243117699014</c:v>
                </c:pt>
                <c:pt idx="140">
                  <c:v>31.358379223298492</c:v>
                </c:pt>
                <c:pt idx="141">
                  <c:v>28.581427108392873</c:v>
                </c:pt>
                <c:pt idx="142">
                  <c:v>25.781113026323638</c:v>
                </c:pt>
                <c:pt idx="143">
                  <c:v>22.959177753071529</c:v>
                </c:pt>
                <c:pt idx="144">
                  <c:v>20.117375505127672</c:v>
                </c:pt>
                <c:pt idx="145">
                  <c:v>17.257472849009325</c:v>
                </c:pt>
                <c:pt idx="146">
                  <c:v>14.381247603098693</c:v>
                </c:pt>
                <c:pt idx="147">
                  <c:v>11.4904877324871</c:v>
                </c:pt>
                <c:pt idx="148">
                  <c:v>8.5869902375114009</c:v>
                </c:pt>
                <c:pt idx="149">
                  <c:v>5.6725600366741151</c:v>
                </c:pt>
                <c:pt idx="150">
                  <c:v>2.7490088446409864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1.9499106062863438</c:v>
                </c:pt>
                <c:pt idx="156">
                  <c:v>0.4353759783197173</c:v>
                </c:pt>
                <c:pt idx="157">
                  <c:v>-1.8969752270526943</c:v>
                </c:pt>
                <c:pt idx="158">
                  <c:v>-4.3589076120530557</c:v>
                </c:pt>
                <c:pt idx="159">
                  <c:v>-6.8839803504483132</c:v>
                </c:pt>
                <c:pt idx="160">
                  <c:v>-9.445701924974987</c:v>
                </c:pt>
                <c:pt idx="161">
                  <c:v>-12.029847191518842</c:v>
                </c:pt>
                <c:pt idx="162">
                  <c:v>-14.627414945166993</c:v>
                </c:pt>
                <c:pt idx="163">
                  <c:v>-17.232056846141056</c:v>
                </c:pt>
                <c:pt idx="164">
                  <c:v>-19.838932677723623</c:v>
                </c:pt>
                <c:pt idx="165">
                  <c:v>-22.444130304605075</c:v>
                </c:pt>
                <c:pt idx="166">
                  <c:v>-25.044343452319694</c:v>
                </c:pt>
                <c:pt idx="167">
                  <c:v>-27.636679898033758</c:v>
                </c:pt>
                <c:pt idx="168">
                  <c:v>-30.218540957437643</c:v>
                </c:pt>
                <c:pt idx="169">
                  <c:v>-32.78754241013354</c:v>
                </c:pt>
                <c:pt idx="170">
                  <c:v>-35.341460734846422</c:v>
                </c:pt>
                <c:pt idx="171">
                  <c:v>-37.87819545249797</c:v>
                </c:pt>
                <c:pt idx="172">
                  <c:v>-40.395742083457577</c:v>
                </c:pt>
                <c:pt idx="173">
                  <c:v>-42.892172311294814</c:v>
                </c:pt>
                <c:pt idx="174">
                  <c:v>-45.365619169152751</c:v>
                </c:pt>
                <c:pt idx="175">
                  <c:v>-47.814265809250514</c:v>
                </c:pt>
                <c:pt idx="176">
                  <c:v>-50.2363368832779</c:v>
                </c:pt>
                <c:pt idx="177">
                  <c:v>-52.630091862955695</c:v>
                </c:pt>
                <c:pt idx="178">
                  <c:v>-54.993819829410697</c:v>
                </c:pt>
                <c:pt idx="179">
                  <c:v>-57.325835394749546</c:v>
                </c:pt>
                <c:pt idx="180">
                  <c:v>-59.624475512051248</c:v>
                </c:pt>
                <c:pt idx="181">
                  <c:v>-61.888096995078456</c:v>
                </c:pt>
                <c:pt idx="182">
                  <c:v>-64.115074615332276</c:v>
                </c:pt>
                <c:pt idx="183">
                  <c:v>-66.30379967749289</c:v>
                </c:pt>
                <c:pt idx="184">
                  <c:v>-68.452678998667324</c:v>
                </c:pt>
                <c:pt idx="185">
                  <c:v>-70.560134234811926</c:v>
                </c:pt>
                <c:pt idx="186">
                  <c:v>-72.62460151099414</c:v>
                </c:pt>
                <c:pt idx="187">
                  <c:v>-74.644531322041644</c:v>
                </c:pt>
                <c:pt idx="188">
                  <c:v>-76.618388677470904</c:v>
                </c:pt>
                <c:pt idx="189">
                  <c:v>-78.544653470010275</c:v>
                </c:pt>
                <c:pt idx="190">
                  <c:v>-80.421821050989195</c:v>
                </c:pt>
                <c:pt idx="191">
                  <c:v>-82.248402998682764</c:v>
                </c:pt>
                <c:pt idx="192">
                  <c:v>-84.022928067629167</c:v>
                </c:pt>
                <c:pt idx="193">
                  <c:v>-85.743943308162585</c:v>
                </c:pt>
                <c:pt idx="194">
                  <c:v>-87.410015346074147</c:v>
                </c:pt>
                <c:pt idx="195">
                  <c:v>-89.019731812542062</c:v>
                </c:pt>
                <c:pt idx="196">
                  <c:v>-90.571702914357161</c:v>
                </c:pt>
                <c:pt idx="197">
                  <c:v>-92.064563134086512</c:v>
                </c:pt>
                <c:pt idx="198">
                  <c:v>-93.496973049239003</c:v>
                </c:pt>
                <c:pt idx="199">
                  <c:v>-94.867621258778129</c:v>
                </c:pt>
                <c:pt idx="200">
                  <c:v>-96.175226404524849</c:v>
                </c:pt>
                <c:pt idx="201">
                  <c:v>-97.418539274155421</c:v>
                </c:pt>
                <c:pt idx="202">
                  <c:v>-98.596344971669311</c:v>
                </c:pt>
                <c:pt idx="203">
                  <c:v>-99.707465140420894</c:v>
                </c:pt>
                <c:pt idx="204">
                  <c:v>-100.75076022311241</c:v>
                </c:pt>
                <c:pt idx="205">
                  <c:v>-101.72513174256733</c:v>
                </c:pt>
                <c:pt idx="206">
                  <c:v>-102.62952458666661</c:v>
                </c:pt>
                <c:pt idx="207">
                  <c:v>-103.46292928056559</c:v>
                </c:pt>
                <c:pt idx="208">
                  <c:v>-104.22438422922602</c:v>
                </c:pt>
                <c:pt idx="209">
                  <c:v>-104.91297791341526</c:v>
                </c:pt>
                <c:pt idx="210">
                  <c:v>-105.527851022645</c:v>
                </c:pt>
                <c:pt idx="211">
                  <c:v>-106.06819850905003</c:v>
                </c:pt>
                <c:pt idx="212">
                  <c:v>-106.53327154693659</c:v>
                </c:pt>
                <c:pt idx="213">
                  <c:v>-106.92237938365012</c:v>
                </c:pt>
                <c:pt idx="214">
                  <c:v>-107.23489106851224</c:v>
                </c:pt>
                <c:pt idx="215">
                  <c:v>-107.47023704783025</c:v>
                </c:pt>
                <c:pt idx="216">
                  <c:v>-107.62791061537467</c:v>
                </c:pt>
                <c:pt idx="217">
                  <c:v>-107.70746920921601</c:v>
                </c:pt>
                <c:pt idx="218">
                  <c:v>-107.70853554738908</c:v>
                </c:pt>
              </c:numCache>
            </c:numRef>
          </c:xVal>
          <c:yVal>
            <c:numRef>
              <c:f>'5LeverTailRectangle'!$BC$6:$BC$224</c:f>
              <c:numCache>
                <c:formatCode>General</c:formatCode>
                <c:ptCount val="219"/>
                <c:pt idx="25">
                  <c:v>0</c:v>
                </c:pt>
                <c:pt idx="26">
                  <c:v>-5.9857624475797673</c:v>
                </c:pt>
                <c:pt idx="27">
                  <c:v>80</c:v>
                </c:pt>
                <c:pt idx="28">
                  <c:v>59.003476611646683</c:v>
                </c:pt>
                <c:pt idx="29">
                  <c:v>30.97631969868193</c:v>
                </c:pt>
                <c:pt idx="3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'5LeverTailRectangle'!$BD$5</c:f>
              <c:strCache>
                <c:ptCount val="1"/>
                <c:pt idx="0">
                  <c:v>R3</c:v>
                </c:pt>
              </c:strCache>
            </c:strRef>
          </c:tx>
          <c:xVal>
            <c:numRef>
              <c:f>'5LeverTailRectangle'!$AY$6:$AY$224</c:f>
              <c:numCache>
                <c:formatCode>General</c:formatCode>
                <c:ptCount val="219"/>
                <c:pt idx="0">
                  <c:v>-62.915103558236275</c:v>
                </c:pt>
                <c:pt idx="1">
                  <c:v>-52.255284346750535</c:v>
                </c:pt>
                <c:pt idx="2">
                  <c:v>-41.617893203520786</c:v>
                </c:pt>
                <c:pt idx="3">
                  <c:v>-31.075616629919871</c:v>
                </c:pt>
                <c:pt idx="4">
                  <c:v>-20.582425716540314</c:v>
                </c:pt>
                <c:pt idx="5">
                  <c:v>-9.9424261892741228</c:v>
                </c:pt>
                <c:pt idx="6">
                  <c:v>1.1408666100856948</c:v>
                </c:pt>
                <c:pt idx="7">
                  <c:v>12.906193769447022</c:v>
                </c:pt>
                <c:pt idx="8">
                  <c:v>25.425910442131688</c:v>
                </c:pt>
                <c:pt idx="9">
                  <c:v>38.668580764638349</c:v>
                </c:pt>
                <c:pt idx="10">
                  <c:v>52.763341810937938</c:v>
                </c:pt>
                <c:pt idx="11">
                  <c:v>50.151091411687077</c:v>
                </c:pt>
                <c:pt idx="12">
                  <c:v>-61.466610306763862</c:v>
                </c:pt>
                <c:pt idx="13">
                  <c:v>-9</c:v>
                </c:pt>
                <c:pt idx="14">
                  <c:v>-40.985662190871238</c:v>
                </c:pt>
                <c:pt idx="15">
                  <c:v>-70</c:v>
                </c:pt>
                <c:pt idx="16">
                  <c:v>-62.915103558236275</c:v>
                </c:pt>
                <c:pt idx="17">
                  <c:v>-6.4586286938894535</c:v>
                </c:pt>
                <c:pt idx="18">
                  <c:v>9</c:v>
                </c:pt>
                <c:pt idx="19">
                  <c:v>-9</c:v>
                </c:pt>
                <c:pt idx="20">
                  <c:v>-40.664497800972853</c:v>
                </c:pt>
                <c:pt idx="21">
                  <c:v>-56</c:v>
                </c:pt>
                <c:pt idx="22">
                  <c:v>-52.255284346750535</c:v>
                </c:pt>
                <c:pt idx="23">
                  <c:v>6.677652173205086</c:v>
                </c:pt>
                <c:pt idx="24">
                  <c:v>9</c:v>
                </c:pt>
                <c:pt idx="25">
                  <c:v>-9</c:v>
                </c:pt>
                <c:pt idx="26">
                  <c:v>-40.435181690601752</c:v>
                </c:pt>
                <c:pt idx="27">
                  <c:v>-42</c:v>
                </c:pt>
                <c:pt idx="28">
                  <c:v>-41.617893203520786</c:v>
                </c:pt>
                <c:pt idx="29">
                  <c:v>17.029172929078673</c:v>
                </c:pt>
                <c:pt idx="30">
                  <c:v>9</c:v>
                </c:pt>
                <c:pt idx="31">
                  <c:v>-9</c:v>
                </c:pt>
                <c:pt idx="32">
                  <c:v>-40.595382389189616</c:v>
                </c:pt>
                <c:pt idx="33">
                  <c:v>-28</c:v>
                </c:pt>
                <c:pt idx="34">
                  <c:v>-31.075616629919871</c:v>
                </c:pt>
                <c:pt idx="35">
                  <c:v>25.581924896199304</c:v>
                </c:pt>
                <c:pt idx="36">
                  <c:v>9</c:v>
                </c:pt>
                <c:pt idx="37">
                  <c:v>-9</c:v>
                </c:pt>
                <c:pt idx="38">
                  <c:v>-40.956600553448808</c:v>
                </c:pt>
                <c:pt idx="39">
                  <c:v>-14</c:v>
                </c:pt>
                <c:pt idx="40">
                  <c:v>-20.582425716540314</c:v>
                </c:pt>
                <c:pt idx="41">
                  <c:v>32.165600148691183</c:v>
                </c:pt>
                <c:pt idx="42">
                  <c:v>9</c:v>
                </c:pt>
                <c:pt idx="43">
                  <c:v>-9</c:v>
                </c:pt>
                <c:pt idx="44">
                  <c:v>-40.71660248941339</c:v>
                </c:pt>
                <c:pt idx="45">
                  <c:v>0</c:v>
                </c:pt>
                <c:pt idx="46">
                  <c:v>-9.9424261892741228</c:v>
                </c:pt>
                <c:pt idx="47">
                  <c:v>36.623816105831878</c:v>
                </c:pt>
                <c:pt idx="48">
                  <c:v>9</c:v>
                </c:pt>
                <c:pt idx="49">
                  <c:v>-9</c:v>
                </c:pt>
                <c:pt idx="50">
                  <c:v>-38.661212930139619</c:v>
                </c:pt>
                <c:pt idx="51">
                  <c:v>14</c:v>
                </c:pt>
                <c:pt idx="52">
                  <c:v>1.1408666100856948</c:v>
                </c:pt>
                <c:pt idx="53">
                  <c:v>39.165215516381885</c:v>
                </c:pt>
                <c:pt idx="54">
                  <c:v>9</c:v>
                </c:pt>
                <c:pt idx="55">
                  <c:v>-9</c:v>
                </c:pt>
                <c:pt idx="56">
                  <c:v>-33.812730277526853</c:v>
                </c:pt>
                <c:pt idx="57">
                  <c:v>28</c:v>
                </c:pt>
                <c:pt idx="58">
                  <c:v>12.906193769447022</c:v>
                </c:pt>
                <c:pt idx="59">
                  <c:v>40.33871401481656</c:v>
                </c:pt>
                <c:pt idx="60">
                  <c:v>9</c:v>
                </c:pt>
                <c:pt idx="61">
                  <c:v>-9</c:v>
                </c:pt>
                <c:pt idx="62">
                  <c:v>-25.874842951302725</c:v>
                </c:pt>
                <c:pt idx="63">
                  <c:v>42</c:v>
                </c:pt>
                <c:pt idx="64">
                  <c:v>25.425910442131688</c:v>
                </c:pt>
                <c:pt idx="65">
                  <c:v>40.756751843001304</c:v>
                </c:pt>
                <c:pt idx="66">
                  <c:v>9</c:v>
                </c:pt>
                <c:pt idx="67">
                  <c:v>-9</c:v>
                </c:pt>
                <c:pt idx="68">
                  <c:v>-14.976288297232923</c:v>
                </c:pt>
                <c:pt idx="69">
                  <c:v>56</c:v>
                </c:pt>
                <c:pt idx="70">
                  <c:v>38.668580764638349</c:v>
                </c:pt>
                <c:pt idx="71">
                  <c:v>40.841808347238583</c:v>
                </c:pt>
                <c:pt idx="72">
                  <c:v>9</c:v>
                </c:pt>
                <c:pt idx="73">
                  <c:v>-9</c:v>
                </c:pt>
                <c:pt idx="74">
                  <c:v>-0.58821925048155776</c:v>
                </c:pt>
                <c:pt idx="75">
                  <c:v>70</c:v>
                </c:pt>
                <c:pt idx="76">
                  <c:v>52.763341810937938</c:v>
                </c:pt>
                <c:pt idx="77">
                  <c:v>40.732715016655298</c:v>
                </c:pt>
                <c:pt idx="78">
                  <c:v>9</c:v>
                </c:pt>
                <c:pt idx="79">
                  <c:v>-9</c:v>
                </c:pt>
                <c:pt idx="80">
                  <c:v>-11.286006599795854</c:v>
                </c:pt>
                <c:pt idx="81">
                  <c:v>70</c:v>
                </c:pt>
                <c:pt idx="82">
                  <c:v>50.151091411687077</c:v>
                </c:pt>
                <c:pt idx="83">
                  <c:v>39.083477722548608</c:v>
                </c:pt>
                <c:pt idx="84">
                  <c:v>9</c:v>
                </c:pt>
                <c:pt idx="85">
                  <c:v>-9</c:v>
                </c:pt>
                <c:pt idx="86">
                  <c:v>-35.05373744672503</c:v>
                </c:pt>
                <c:pt idx="87">
                  <c:v>-70</c:v>
                </c:pt>
                <c:pt idx="88">
                  <c:v>-61.466610306763862</c:v>
                </c:pt>
                <c:pt idx="89">
                  <c:v>2.8488307653754443</c:v>
                </c:pt>
                <c:pt idx="90">
                  <c:v>9</c:v>
                </c:pt>
                <c:pt idx="91">
                  <c:v>109</c:v>
                </c:pt>
                <c:pt idx="92">
                  <c:v>108.96332347734752</c:v>
                </c:pt>
                <c:pt idx="93">
                  <c:v>108.8533167088361</c:v>
                </c:pt>
                <c:pt idx="94">
                  <c:v>108.67004807863076</c:v>
                </c:pt>
                <c:pt idx="95">
                  <c:v>108.41363151310553</c:v>
                </c:pt>
                <c:pt idx="96">
                  <c:v>108.08422641002265</c:v>
                </c:pt>
                <c:pt idx="97">
                  <c:v>107.6820375394453</c:v>
                </c:pt>
                <c:pt idx="98">
                  <c:v>107.20731491644504</c:v>
                </c:pt>
                <c:pt idx="99">
                  <c:v>106.66035364568347</c:v>
                </c:pt>
                <c:pt idx="100">
                  <c:v>106.04149373796464</c:v>
                </c:pt>
                <c:pt idx="101">
                  <c:v>105.351119898872</c:v>
                </c:pt>
                <c:pt idx="102">
                  <c:v>104.58966128962159</c:v>
                </c:pt>
                <c:pt idx="103">
                  <c:v>103.75759126028008</c:v>
                </c:pt>
                <c:pt idx="104">
                  <c:v>102.85542705551322</c:v>
                </c:pt>
                <c:pt idx="105">
                  <c:v>101.88372949304798</c:v>
                </c:pt>
                <c:pt idx="106">
                  <c:v>100.84310261504811</c:v>
                </c:pt>
                <c:pt idx="107">
                  <c:v>99.734193312619794</c:v>
                </c:pt>
                <c:pt idx="108">
                  <c:v>98.557690923680809</c:v>
                </c:pt>
                <c:pt idx="109">
                  <c:v>97.314326804443354</c:v>
                </c:pt>
                <c:pt idx="110">
                  <c:v>96.004873874776649</c:v>
                </c:pt>
                <c:pt idx="111">
                  <c:v>94.630146137732154</c:v>
                </c:pt>
                <c:pt idx="112">
                  <c:v>93.190998173530048</c:v>
                </c:pt>
                <c:pt idx="113">
                  <c:v>91.688324608321324</c:v>
                </c:pt>
                <c:pt idx="114">
                  <c:v>90.123059558056042</c:v>
                </c:pt>
                <c:pt idx="115">
                  <c:v>88.496176047803246</c:v>
                </c:pt>
                <c:pt idx="116">
                  <c:v>86.808685406883541</c:v>
                </c:pt>
                <c:pt idx="117">
                  <c:v>85.061636640190457</c:v>
                </c:pt>
                <c:pt idx="118">
                  <c:v>83.256115776091235</c:v>
                </c:pt>
                <c:pt idx="119">
                  <c:v>81.393245191312488</c:v>
                </c:pt>
                <c:pt idx="120">
                  <c:v>79.474182913230521</c:v>
                </c:pt>
                <c:pt idx="121">
                  <c:v>77.500121899999812</c:v>
                </c:pt>
                <c:pt idx="122">
                  <c:v>75.472289298967283</c:v>
                </c:pt>
                <c:pt idx="123">
                  <c:v>73.391945683833413</c:v>
                </c:pt>
                <c:pt idx="124">
                  <c:v>71.260384271034184</c:v>
                </c:pt>
                <c:pt idx="125">
                  <c:v>69.078930115831355</c:v>
                </c:pt>
                <c:pt idx="126">
                  <c:v>66.84893928861031</c:v>
                </c:pt>
                <c:pt idx="127">
                  <c:v>64.571798031898012</c:v>
                </c:pt>
                <c:pt idx="128">
                  <c:v>62.248921898624673</c:v>
                </c:pt>
                <c:pt idx="129">
                  <c:v>59.881754872165274</c:v>
                </c:pt>
                <c:pt idx="130">
                  <c:v>57.471768468707353</c:v>
                </c:pt>
                <c:pt idx="131">
                  <c:v>55.020460822503807</c:v>
                </c:pt>
                <c:pt idx="132">
                  <c:v>52.529355754578582</c:v>
                </c:pt>
                <c:pt idx="133">
                  <c:v>50.000001825464786</c:v>
                </c:pt>
                <c:pt idx="134">
                  <c:v>47.433971372563768</c:v>
                </c:pt>
                <c:pt idx="135">
                  <c:v>44.832859532723496</c:v>
                </c:pt>
                <c:pt idx="136">
                  <c:v>42.198283250644259</c:v>
                </c:pt>
                <c:pt idx="137">
                  <c:v>39.531880273727573</c:v>
                </c:pt>
                <c:pt idx="138">
                  <c:v>36.835308133993479</c:v>
                </c:pt>
                <c:pt idx="139">
                  <c:v>34.110243117699014</c:v>
                </c:pt>
                <c:pt idx="140">
                  <c:v>31.358379223298492</c:v>
                </c:pt>
                <c:pt idx="141">
                  <c:v>28.581427108392873</c:v>
                </c:pt>
                <c:pt idx="142">
                  <c:v>25.781113026323638</c:v>
                </c:pt>
                <c:pt idx="143">
                  <c:v>22.959177753071529</c:v>
                </c:pt>
                <c:pt idx="144">
                  <c:v>20.117375505127672</c:v>
                </c:pt>
                <c:pt idx="145">
                  <c:v>17.257472849009325</c:v>
                </c:pt>
                <c:pt idx="146">
                  <c:v>14.381247603098693</c:v>
                </c:pt>
                <c:pt idx="147">
                  <c:v>11.4904877324871</c:v>
                </c:pt>
                <c:pt idx="148">
                  <c:v>8.5869902375114009</c:v>
                </c:pt>
                <c:pt idx="149">
                  <c:v>5.6725600366741151</c:v>
                </c:pt>
                <c:pt idx="150">
                  <c:v>2.7490088446409864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1.9499106062863438</c:v>
                </c:pt>
                <c:pt idx="156">
                  <c:v>0.4353759783197173</c:v>
                </c:pt>
                <c:pt idx="157">
                  <c:v>-1.8969752270526943</c:v>
                </c:pt>
                <c:pt idx="158">
                  <c:v>-4.3589076120530557</c:v>
                </c:pt>
                <c:pt idx="159">
                  <c:v>-6.8839803504483132</c:v>
                </c:pt>
                <c:pt idx="160">
                  <c:v>-9.445701924974987</c:v>
                </c:pt>
                <c:pt idx="161">
                  <c:v>-12.029847191518842</c:v>
                </c:pt>
                <c:pt idx="162">
                  <c:v>-14.627414945166993</c:v>
                </c:pt>
                <c:pt idx="163">
                  <c:v>-17.232056846141056</c:v>
                </c:pt>
                <c:pt idx="164">
                  <c:v>-19.838932677723623</c:v>
                </c:pt>
                <c:pt idx="165">
                  <c:v>-22.444130304605075</c:v>
                </c:pt>
                <c:pt idx="166">
                  <c:v>-25.044343452319694</c:v>
                </c:pt>
                <c:pt idx="167">
                  <c:v>-27.636679898033758</c:v>
                </c:pt>
                <c:pt idx="168">
                  <c:v>-30.218540957437643</c:v>
                </c:pt>
                <c:pt idx="169">
                  <c:v>-32.78754241013354</c:v>
                </c:pt>
                <c:pt idx="170">
                  <c:v>-35.341460734846422</c:v>
                </c:pt>
                <c:pt idx="171">
                  <c:v>-37.87819545249797</c:v>
                </c:pt>
                <c:pt idx="172">
                  <c:v>-40.395742083457577</c:v>
                </c:pt>
                <c:pt idx="173">
                  <c:v>-42.892172311294814</c:v>
                </c:pt>
                <c:pt idx="174">
                  <c:v>-45.365619169152751</c:v>
                </c:pt>
                <c:pt idx="175">
                  <c:v>-47.814265809250514</c:v>
                </c:pt>
                <c:pt idx="176">
                  <c:v>-50.2363368832779</c:v>
                </c:pt>
                <c:pt idx="177">
                  <c:v>-52.630091862955695</c:v>
                </c:pt>
                <c:pt idx="178">
                  <c:v>-54.993819829410697</c:v>
                </c:pt>
                <c:pt idx="179">
                  <c:v>-57.325835394749546</c:v>
                </c:pt>
                <c:pt idx="180">
                  <c:v>-59.624475512051248</c:v>
                </c:pt>
                <c:pt idx="181">
                  <c:v>-61.888096995078456</c:v>
                </c:pt>
                <c:pt idx="182">
                  <c:v>-64.115074615332276</c:v>
                </c:pt>
                <c:pt idx="183">
                  <c:v>-66.30379967749289</c:v>
                </c:pt>
                <c:pt idx="184">
                  <c:v>-68.452678998667324</c:v>
                </c:pt>
                <c:pt idx="185">
                  <c:v>-70.560134234811926</c:v>
                </c:pt>
                <c:pt idx="186">
                  <c:v>-72.62460151099414</c:v>
                </c:pt>
                <c:pt idx="187">
                  <c:v>-74.644531322041644</c:v>
                </c:pt>
                <c:pt idx="188">
                  <c:v>-76.618388677470904</c:v>
                </c:pt>
                <c:pt idx="189">
                  <c:v>-78.544653470010275</c:v>
                </c:pt>
                <c:pt idx="190">
                  <c:v>-80.421821050989195</c:v>
                </c:pt>
                <c:pt idx="191">
                  <c:v>-82.248402998682764</c:v>
                </c:pt>
                <c:pt idx="192">
                  <c:v>-84.022928067629167</c:v>
                </c:pt>
                <c:pt idx="193">
                  <c:v>-85.743943308162585</c:v>
                </c:pt>
                <c:pt idx="194">
                  <c:v>-87.410015346074147</c:v>
                </c:pt>
                <c:pt idx="195">
                  <c:v>-89.019731812542062</c:v>
                </c:pt>
                <c:pt idx="196">
                  <c:v>-90.571702914357161</c:v>
                </c:pt>
                <c:pt idx="197">
                  <c:v>-92.064563134086512</c:v>
                </c:pt>
                <c:pt idx="198">
                  <c:v>-93.496973049239003</c:v>
                </c:pt>
                <c:pt idx="199">
                  <c:v>-94.867621258778129</c:v>
                </c:pt>
                <c:pt idx="200">
                  <c:v>-96.175226404524849</c:v>
                </c:pt>
                <c:pt idx="201">
                  <c:v>-97.418539274155421</c:v>
                </c:pt>
                <c:pt idx="202">
                  <c:v>-98.596344971669311</c:v>
                </c:pt>
                <c:pt idx="203">
                  <c:v>-99.707465140420894</c:v>
                </c:pt>
                <c:pt idx="204">
                  <c:v>-100.75076022311241</c:v>
                </c:pt>
                <c:pt idx="205">
                  <c:v>-101.72513174256733</c:v>
                </c:pt>
                <c:pt idx="206">
                  <c:v>-102.62952458666661</c:v>
                </c:pt>
                <c:pt idx="207">
                  <c:v>-103.46292928056559</c:v>
                </c:pt>
                <c:pt idx="208">
                  <c:v>-104.22438422922602</c:v>
                </c:pt>
                <c:pt idx="209">
                  <c:v>-104.91297791341526</c:v>
                </c:pt>
                <c:pt idx="210">
                  <c:v>-105.527851022645</c:v>
                </c:pt>
                <c:pt idx="211">
                  <c:v>-106.06819850905003</c:v>
                </c:pt>
                <c:pt idx="212">
                  <c:v>-106.53327154693659</c:v>
                </c:pt>
                <c:pt idx="213">
                  <c:v>-106.92237938365012</c:v>
                </c:pt>
                <c:pt idx="214">
                  <c:v>-107.23489106851224</c:v>
                </c:pt>
                <c:pt idx="215">
                  <c:v>-107.47023704783025</c:v>
                </c:pt>
                <c:pt idx="216">
                  <c:v>-107.62791061537467</c:v>
                </c:pt>
                <c:pt idx="217">
                  <c:v>-107.70746920921601</c:v>
                </c:pt>
                <c:pt idx="218">
                  <c:v>-107.70853554738908</c:v>
                </c:pt>
              </c:numCache>
            </c:numRef>
          </c:xVal>
          <c:yVal>
            <c:numRef>
              <c:f>'5LeverTailRectangle'!$BD$6:$BD$224</c:f>
              <c:numCache>
                <c:formatCode>General</c:formatCode>
                <c:ptCount val="219"/>
                <c:pt idx="31">
                  <c:v>0</c:v>
                </c:pt>
                <c:pt idx="32">
                  <c:v>-5.0726533176323665</c:v>
                </c:pt>
                <c:pt idx="33">
                  <c:v>80</c:v>
                </c:pt>
                <c:pt idx="34">
                  <c:v>59.22644512012225</c:v>
                </c:pt>
                <c:pt idx="35">
                  <c:v>27.368590879634372</c:v>
                </c:pt>
                <c:pt idx="36">
                  <c:v>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'5LeverTailRectangle'!$BE$5</c:f>
              <c:strCache>
                <c:ptCount val="1"/>
                <c:pt idx="0">
                  <c:v>R4</c:v>
                </c:pt>
              </c:strCache>
            </c:strRef>
          </c:tx>
          <c:xVal>
            <c:numRef>
              <c:f>'5LeverTailRectangle'!$AY$6:$AY$224</c:f>
              <c:numCache>
                <c:formatCode>General</c:formatCode>
                <c:ptCount val="219"/>
                <c:pt idx="0">
                  <c:v>-62.915103558236275</c:v>
                </c:pt>
                <c:pt idx="1">
                  <c:v>-52.255284346750535</c:v>
                </c:pt>
                <c:pt idx="2">
                  <c:v>-41.617893203520786</c:v>
                </c:pt>
                <c:pt idx="3">
                  <c:v>-31.075616629919871</c:v>
                </c:pt>
                <c:pt idx="4">
                  <c:v>-20.582425716540314</c:v>
                </c:pt>
                <c:pt idx="5">
                  <c:v>-9.9424261892741228</c:v>
                </c:pt>
                <c:pt idx="6">
                  <c:v>1.1408666100856948</c:v>
                </c:pt>
                <c:pt idx="7">
                  <c:v>12.906193769447022</c:v>
                </c:pt>
                <c:pt idx="8">
                  <c:v>25.425910442131688</c:v>
                </c:pt>
                <c:pt idx="9">
                  <c:v>38.668580764638349</c:v>
                </c:pt>
                <c:pt idx="10">
                  <c:v>52.763341810937938</c:v>
                </c:pt>
                <c:pt idx="11">
                  <c:v>50.151091411687077</c:v>
                </c:pt>
                <c:pt idx="12">
                  <c:v>-61.466610306763862</c:v>
                </c:pt>
                <c:pt idx="13">
                  <c:v>-9</c:v>
                </c:pt>
                <c:pt idx="14">
                  <c:v>-40.985662190871238</c:v>
                </c:pt>
                <c:pt idx="15">
                  <c:v>-70</c:v>
                </c:pt>
                <c:pt idx="16">
                  <c:v>-62.915103558236275</c:v>
                </c:pt>
                <c:pt idx="17">
                  <c:v>-6.4586286938894535</c:v>
                </c:pt>
                <c:pt idx="18">
                  <c:v>9</c:v>
                </c:pt>
                <c:pt idx="19">
                  <c:v>-9</c:v>
                </c:pt>
                <c:pt idx="20">
                  <c:v>-40.664497800972853</c:v>
                </c:pt>
                <c:pt idx="21">
                  <c:v>-56</c:v>
                </c:pt>
                <c:pt idx="22">
                  <c:v>-52.255284346750535</c:v>
                </c:pt>
                <c:pt idx="23">
                  <c:v>6.677652173205086</c:v>
                </c:pt>
                <c:pt idx="24">
                  <c:v>9</c:v>
                </c:pt>
                <c:pt idx="25">
                  <c:v>-9</c:v>
                </c:pt>
                <c:pt idx="26">
                  <c:v>-40.435181690601752</c:v>
                </c:pt>
                <c:pt idx="27">
                  <c:v>-42</c:v>
                </c:pt>
                <c:pt idx="28">
                  <c:v>-41.617893203520786</c:v>
                </c:pt>
                <c:pt idx="29">
                  <c:v>17.029172929078673</c:v>
                </c:pt>
                <c:pt idx="30">
                  <c:v>9</c:v>
                </c:pt>
                <c:pt idx="31">
                  <c:v>-9</c:v>
                </c:pt>
                <c:pt idx="32">
                  <c:v>-40.595382389189616</c:v>
                </c:pt>
                <c:pt idx="33">
                  <c:v>-28</c:v>
                </c:pt>
                <c:pt idx="34">
                  <c:v>-31.075616629919871</c:v>
                </c:pt>
                <c:pt idx="35">
                  <c:v>25.581924896199304</c:v>
                </c:pt>
                <c:pt idx="36">
                  <c:v>9</c:v>
                </c:pt>
                <c:pt idx="37">
                  <c:v>-9</c:v>
                </c:pt>
                <c:pt idx="38">
                  <c:v>-40.956600553448808</c:v>
                </c:pt>
                <c:pt idx="39">
                  <c:v>-14</c:v>
                </c:pt>
                <c:pt idx="40">
                  <c:v>-20.582425716540314</c:v>
                </c:pt>
                <c:pt idx="41">
                  <c:v>32.165600148691183</c:v>
                </c:pt>
                <c:pt idx="42">
                  <c:v>9</c:v>
                </c:pt>
                <c:pt idx="43">
                  <c:v>-9</c:v>
                </c:pt>
                <c:pt idx="44">
                  <c:v>-40.71660248941339</c:v>
                </c:pt>
                <c:pt idx="45">
                  <c:v>0</c:v>
                </c:pt>
                <c:pt idx="46">
                  <c:v>-9.9424261892741228</c:v>
                </c:pt>
                <c:pt idx="47">
                  <c:v>36.623816105831878</c:v>
                </c:pt>
                <c:pt idx="48">
                  <c:v>9</c:v>
                </c:pt>
                <c:pt idx="49">
                  <c:v>-9</c:v>
                </c:pt>
                <c:pt idx="50">
                  <c:v>-38.661212930139619</c:v>
                </c:pt>
                <c:pt idx="51">
                  <c:v>14</c:v>
                </c:pt>
                <c:pt idx="52">
                  <c:v>1.1408666100856948</c:v>
                </c:pt>
                <c:pt idx="53">
                  <c:v>39.165215516381885</c:v>
                </c:pt>
                <c:pt idx="54">
                  <c:v>9</c:v>
                </c:pt>
                <c:pt idx="55">
                  <c:v>-9</c:v>
                </c:pt>
                <c:pt idx="56">
                  <c:v>-33.812730277526853</c:v>
                </c:pt>
                <c:pt idx="57">
                  <c:v>28</c:v>
                </c:pt>
                <c:pt idx="58">
                  <c:v>12.906193769447022</c:v>
                </c:pt>
                <c:pt idx="59">
                  <c:v>40.33871401481656</c:v>
                </c:pt>
                <c:pt idx="60">
                  <c:v>9</c:v>
                </c:pt>
                <c:pt idx="61">
                  <c:v>-9</c:v>
                </c:pt>
                <c:pt idx="62">
                  <c:v>-25.874842951302725</c:v>
                </c:pt>
                <c:pt idx="63">
                  <c:v>42</c:v>
                </c:pt>
                <c:pt idx="64">
                  <c:v>25.425910442131688</c:v>
                </c:pt>
                <c:pt idx="65">
                  <c:v>40.756751843001304</c:v>
                </c:pt>
                <c:pt idx="66">
                  <c:v>9</c:v>
                </c:pt>
                <c:pt idx="67">
                  <c:v>-9</c:v>
                </c:pt>
                <c:pt idx="68">
                  <c:v>-14.976288297232923</c:v>
                </c:pt>
                <c:pt idx="69">
                  <c:v>56</c:v>
                </c:pt>
                <c:pt idx="70">
                  <c:v>38.668580764638349</c:v>
                </c:pt>
                <c:pt idx="71">
                  <c:v>40.841808347238583</c:v>
                </c:pt>
                <c:pt idx="72">
                  <c:v>9</c:v>
                </c:pt>
                <c:pt idx="73">
                  <c:v>-9</c:v>
                </c:pt>
                <c:pt idx="74">
                  <c:v>-0.58821925048155776</c:v>
                </c:pt>
                <c:pt idx="75">
                  <c:v>70</c:v>
                </c:pt>
                <c:pt idx="76">
                  <c:v>52.763341810937938</c:v>
                </c:pt>
                <c:pt idx="77">
                  <c:v>40.732715016655298</c:v>
                </c:pt>
                <c:pt idx="78">
                  <c:v>9</c:v>
                </c:pt>
                <c:pt idx="79">
                  <c:v>-9</c:v>
                </c:pt>
                <c:pt idx="80">
                  <c:v>-11.286006599795854</c:v>
                </c:pt>
                <c:pt idx="81">
                  <c:v>70</c:v>
                </c:pt>
                <c:pt idx="82">
                  <c:v>50.151091411687077</c:v>
                </c:pt>
                <c:pt idx="83">
                  <c:v>39.083477722548608</c:v>
                </c:pt>
                <c:pt idx="84">
                  <c:v>9</c:v>
                </c:pt>
                <c:pt idx="85">
                  <c:v>-9</c:v>
                </c:pt>
                <c:pt idx="86">
                  <c:v>-35.05373744672503</c:v>
                </c:pt>
                <c:pt idx="87">
                  <c:v>-70</c:v>
                </c:pt>
                <c:pt idx="88">
                  <c:v>-61.466610306763862</c:v>
                </c:pt>
                <c:pt idx="89">
                  <c:v>2.8488307653754443</c:v>
                </c:pt>
                <c:pt idx="90">
                  <c:v>9</c:v>
                </c:pt>
                <c:pt idx="91">
                  <c:v>109</c:v>
                </c:pt>
                <c:pt idx="92">
                  <c:v>108.96332347734752</c:v>
                </c:pt>
                <c:pt idx="93">
                  <c:v>108.8533167088361</c:v>
                </c:pt>
                <c:pt idx="94">
                  <c:v>108.67004807863076</c:v>
                </c:pt>
                <c:pt idx="95">
                  <c:v>108.41363151310553</c:v>
                </c:pt>
                <c:pt idx="96">
                  <c:v>108.08422641002265</c:v>
                </c:pt>
                <c:pt idx="97">
                  <c:v>107.6820375394453</c:v>
                </c:pt>
                <c:pt idx="98">
                  <c:v>107.20731491644504</c:v>
                </c:pt>
                <c:pt idx="99">
                  <c:v>106.66035364568347</c:v>
                </c:pt>
                <c:pt idx="100">
                  <c:v>106.04149373796464</c:v>
                </c:pt>
                <c:pt idx="101">
                  <c:v>105.351119898872</c:v>
                </c:pt>
                <c:pt idx="102">
                  <c:v>104.58966128962159</c:v>
                </c:pt>
                <c:pt idx="103">
                  <c:v>103.75759126028008</c:v>
                </c:pt>
                <c:pt idx="104">
                  <c:v>102.85542705551322</c:v>
                </c:pt>
                <c:pt idx="105">
                  <c:v>101.88372949304798</c:v>
                </c:pt>
                <c:pt idx="106">
                  <c:v>100.84310261504811</c:v>
                </c:pt>
                <c:pt idx="107">
                  <c:v>99.734193312619794</c:v>
                </c:pt>
                <c:pt idx="108">
                  <c:v>98.557690923680809</c:v>
                </c:pt>
                <c:pt idx="109">
                  <c:v>97.314326804443354</c:v>
                </c:pt>
                <c:pt idx="110">
                  <c:v>96.004873874776649</c:v>
                </c:pt>
                <c:pt idx="111">
                  <c:v>94.630146137732154</c:v>
                </c:pt>
                <c:pt idx="112">
                  <c:v>93.190998173530048</c:v>
                </c:pt>
                <c:pt idx="113">
                  <c:v>91.688324608321324</c:v>
                </c:pt>
                <c:pt idx="114">
                  <c:v>90.123059558056042</c:v>
                </c:pt>
                <c:pt idx="115">
                  <c:v>88.496176047803246</c:v>
                </c:pt>
                <c:pt idx="116">
                  <c:v>86.808685406883541</c:v>
                </c:pt>
                <c:pt idx="117">
                  <c:v>85.061636640190457</c:v>
                </c:pt>
                <c:pt idx="118">
                  <c:v>83.256115776091235</c:v>
                </c:pt>
                <c:pt idx="119">
                  <c:v>81.393245191312488</c:v>
                </c:pt>
                <c:pt idx="120">
                  <c:v>79.474182913230521</c:v>
                </c:pt>
                <c:pt idx="121">
                  <c:v>77.500121899999812</c:v>
                </c:pt>
                <c:pt idx="122">
                  <c:v>75.472289298967283</c:v>
                </c:pt>
                <c:pt idx="123">
                  <c:v>73.391945683833413</c:v>
                </c:pt>
                <c:pt idx="124">
                  <c:v>71.260384271034184</c:v>
                </c:pt>
                <c:pt idx="125">
                  <c:v>69.078930115831355</c:v>
                </c:pt>
                <c:pt idx="126">
                  <c:v>66.84893928861031</c:v>
                </c:pt>
                <c:pt idx="127">
                  <c:v>64.571798031898012</c:v>
                </c:pt>
                <c:pt idx="128">
                  <c:v>62.248921898624673</c:v>
                </c:pt>
                <c:pt idx="129">
                  <c:v>59.881754872165274</c:v>
                </c:pt>
                <c:pt idx="130">
                  <c:v>57.471768468707353</c:v>
                </c:pt>
                <c:pt idx="131">
                  <c:v>55.020460822503807</c:v>
                </c:pt>
                <c:pt idx="132">
                  <c:v>52.529355754578582</c:v>
                </c:pt>
                <c:pt idx="133">
                  <c:v>50.000001825464786</c:v>
                </c:pt>
                <c:pt idx="134">
                  <c:v>47.433971372563768</c:v>
                </c:pt>
                <c:pt idx="135">
                  <c:v>44.832859532723496</c:v>
                </c:pt>
                <c:pt idx="136">
                  <c:v>42.198283250644259</c:v>
                </c:pt>
                <c:pt idx="137">
                  <c:v>39.531880273727573</c:v>
                </c:pt>
                <c:pt idx="138">
                  <c:v>36.835308133993479</c:v>
                </c:pt>
                <c:pt idx="139">
                  <c:v>34.110243117699014</c:v>
                </c:pt>
                <c:pt idx="140">
                  <c:v>31.358379223298492</c:v>
                </c:pt>
                <c:pt idx="141">
                  <c:v>28.581427108392873</c:v>
                </c:pt>
                <c:pt idx="142">
                  <c:v>25.781113026323638</c:v>
                </c:pt>
                <c:pt idx="143">
                  <c:v>22.959177753071529</c:v>
                </c:pt>
                <c:pt idx="144">
                  <c:v>20.117375505127672</c:v>
                </c:pt>
                <c:pt idx="145">
                  <c:v>17.257472849009325</c:v>
                </c:pt>
                <c:pt idx="146">
                  <c:v>14.381247603098693</c:v>
                </c:pt>
                <c:pt idx="147">
                  <c:v>11.4904877324871</c:v>
                </c:pt>
                <c:pt idx="148">
                  <c:v>8.5869902375114009</c:v>
                </c:pt>
                <c:pt idx="149">
                  <c:v>5.6725600366741151</c:v>
                </c:pt>
                <c:pt idx="150">
                  <c:v>2.7490088446409864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1.9499106062863438</c:v>
                </c:pt>
                <c:pt idx="156">
                  <c:v>0.4353759783197173</c:v>
                </c:pt>
                <c:pt idx="157">
                  <c:v>-1.8969752270526943</c:v>
                </c:pt>
                <c:pt idx="158">
                  <c:v>-4.3589076120530557</c:v>
                </c:pt>
                <c:pt idx="159">
                  <c:v>-6.8839803504483132</c:v>
                </c:pt>
                <c:pt idx="160">
                  <c:v>-9.445701924974987</c:v>
                </c:pt>
                <c:pt idx="161">
                  <c:v>-12.029847191518842</c:v>
                </c:pt>
                <c:pt idx="162">
                  <c:v>-14.627414945166993</c:v>
                </c:pt>
                <c:pt idx="163">
                  <c:v>-17.232056846141056</c:v>
                </c:pt>
                <c:pt idx="164">
                  <c:v>-19.838932677723623</c:v>
                </c:pt>
                <c:pt idx="165">
                  <c:v>-22.444130304605075</c:v>
                </c:pt>
                <c:pt idx="166">
                  <c:v>-25.044343452319694</c:v>
                </c:pt>
                <c:pt idx="167">
                  <c:v>-27.636679898033758</c:v>
                </c:pt>
                <c:pt idx="168">
                  <c:v>-30.218540957437643</c:v>
                </c:pt>
                <c:pt idx="169">
                  <c:v>-32.78754241013354</c:v>
                </c:pt>
                <c:pt idx="170">
                  <c:v>-35.341460734846422</c:v>
                </c:pt>
                <c:pt idx="171">
                  <c:v>-37.87819545249797</c:v>
                </c:pt>
                <c:pt idx="172">
                  <c:v>-40.395742083457577</c:v>
                </c:pt>
                <c:pt idx="173">
                  <c:v>-42.892172311294814</c:v>
                </c:pt>
                <c:pt idx="174">
                  <c:v>-45.365619169152751</c:v>
                </c:pt>
                <c:pt idx="175">
                  <c:v>-47.814265809250514</c:v>
                </c:pt>
                <c:pt idx="176">
                  <c:v>-50.2363368832779</c:v>
                </c:pt>
                <c:pt idx="177">
                  <c:v>-52.630091862955695</c:v>
                </c:pt>
                <c:pt idx="178">
                  <c:v>-54.993819829410697</c:v>
                </c:pt>
                <c:pt idx="179">
                  <c:v>-57.325835394749546</c:v>
                </c:pt>
                <c:pt idx="180">
                  <c:v>-59.624475512051248</c:v>
                </c:pt>
                <c:pt idx="181">
                  <c:v>-61.888096995078456</c:v>
                </c:pt>
                <c:pt idx="182">
                  <c:v>-64.115074615332276</c:v>
                </c:pt>
                <c:pt idx="183">
                  <c:v>-66.30379967749289</c:v>
                </c:pt>
                <c:pt idx="184">
                  <c:v>-68.452678998667324</c:v>
                </c:pt>
                <c:pt idx="185">
                  <c:v>-70.560134234811926</c:v>
                </c:pt>
                <c:pt idx="186">
                  <c:v>-72.62460151099414</c:v>
                </c:pt>
                <c:pt idx="187">
                  <c:v>-74.644531322041644</c:v>
                </c:pt>
                <c:pt idx="188">
                  <c:v>-76.618388677470904</c:v>
                </c:pt>
                <c:pt idx="189">
                  <c:v>-78.544653470010275</c:v>
                </c:pt>
                <c:pt idx="190">
                  <c:v>-80.421821050989195</c:v>
                </c:pt>
                <c:pt idx="191">
                  <c:v>-82.248402998682764</c:v>
                </c:pt>
                <c:pt idx="192">
                  <c:v>-84.022928067629167</c:v>
                </c:pt>
                <c:pt idx="193">
                  <c:v>-85.743943308162585</c:v>
                </c:pt>
                <c:pt idx="194">
                  <c:v>-87.410015346074147</c:v>
                </c:pt>
                <c:pt idx="195">
                  <c:v>-89.019731812542062</c:v>
                </c:pt>
                <c:pt idx="196">
                  <c:v>-90.571702914357161</c:v>
                </c:pt>
                <c:pt idx="197">
                  <c:v>-92.064563134086512</c:v>
                </c:pt>
                <c:pt idx="198">
                  <c:v>-93.496973049239003</c:v>
                </c:pt>
                <c:pt idx="199">
                  <c:v>-94.867621258778129</c:v>
                </c:pt>
                <c:pt idx="200">
                  <c:v>-96.175226404524849</c:v>
                </c:pt>
                <c:pt idx="201">
                  <c:v>-97.418539274155421</c:v>
                </c:pt>
                <c:pt idx="202">
                  <c:v>-98.596344971669311</c:v>
                </c:pt>
                <c:pt idx="203">
                  <c:v>-99.707465140420894</c:v>
                </c:pt>
                <c:pt idx="204">
                  <c:v>-100.75076022311241</c:v>
                </c:pt>
                <c:pt idx="205">
                  <c:v>-101.72513174256733</c:v>
                </c:pt>
                <c:pt idx="206">
                  <c:v>-102.62952458666661</c:v>
                </c:pt>
                <c:pt idx="207">
                  <c:v>-103.46292928056559</c:v>
                </c:pt>
                <c:pt idx="208">
                  <c:v>-104.22438422922602</c:v>
                </c:pt>
                <c:pt idx="209">
                  <c:v>-104.91297791341526</c:v>
                </c:pt>
                <c:pt idx="210">
                  <c:v>-105.527851022645</c:v>
                </c:pt>
                <c:pt idx="211">
                  <c:v>-106.06819850905003</c:v>
                </c:pt>
                <c:pt idx="212">
                  <c:v>-106.53327154693659</c:v>
                </c:pt>
                <c:pt idx="213">
                  <c:v>-106.92237938365012</c:v>
                </c:pt>
                <c:pt idx="214">
                  <c:v>-107.23489106851224</c:v>
                </c:pt>
                <c:pt idx="215">
                  <c:v>-107.47023704783025</c:v>
                </c:pt>
                <c:pt idx="216">
                  <c:v>-107.62791061537467</c:v>
                </c:pt>
                <c:pt idx="217">
                  <c:v>-107.70746920921601</c:v>
                </c:pt>
                <c:pt idx="218">
                  <c:v>-107.70853554738908</c:v>
                </c:pt>
              </c:numCache>
            </c:numRef>
          </c:xVal>
          <c:yVal>
            <c:numRef>
              <c:f>'5LeverTailRectangle'!$BE$6:$BE$224</c:f>
              <c:numCache>
                <c:formatCode>General</c:formatCode>
                <c:ptCount val="219"/>
                <c:pt idx="37">
                  <c:v>0</c:v>
                </c:pt>
                <c:pt idx="38">
                  <c:v>-1.6660375347858742</c:v>
                </c:pt>
                <c:pt idx="39">
                  <c:v>80</c:v>
                </c:pt>
                <c:pt idx="40">
                  <c:v>60.058293160119753</c:v>
                </c:pt>
                <c:pt idx="41">
                  <c:v>22.076117633111103</c:v>
                </c:pt>
                <c:pt idx="42">
                  <c:v>0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'5LeverTailRectangle'!$BF$5</c:f>
              <c:strCache>
                <c:ptCount val="1"/>
                <c:pt idx="0">
                  <c:v>R5</c:v>
                </c:pt>
              </c:strCache>
            </c:strRef>
          </c:tx>
          <c:xVal>
            <c:numRef>
              <c:f>'5LeverTailRectangle'!$AY$6:$AY$224</c:f>
              <c:numCache>
                <c:formatCode>General</c:formatCode>
                <c:ptCount val="219"/>
                <c:pt idx="0">
                  <c:v>-62.915103558236275</c:v>
                </c:pt>
                <c:pt idx="1">
                  <c:v>-52.255284346750535</c:v>
                </c:pt>
                <c:pt idx="2">
                  <c:v>-41.617893203520786</c:v>
                </c:pt>
                <c:pt idx="3">
                  <c:v>-31.075616629919871</c:v>
                </c:pt>
                <c:pt idx="4">
                  <c:v>-20.582425716540314</c:v>
                </c:pt>
                <c:pt idx="5">
                  <c:v>-9.9424261892741228</c:v>
                </c:pt>
                <c:pt idx="6">
                  <c:v>1.1408666100856948</c:v>
                </c:pt>
                <c:pt idx="7">
                  <c:v>12.906193769447022</c:v>
                </c:pt>
                <c:pt idx="8">
                  <c:v>25.425910442131688</c:v>
                </c:pt>
                <c:pt idx="9">
                  <c:v>38.668580764638349</c:v>
                </c:pt>
                <c:pt idx="10">
                  <c:v>52.763341810937938</c:v>
                </c:pt>
                <c:pt idx="11">
                  <c:v>50.151091411687077</c:v>
                </c:pt>
                <c:pt idx="12">
                  <c:v>-61.466610306763862</c:v>
                </c:pt>
                <c:pt idx="13">
                  <c:v>-9</c:v>
                </c:pt>
                <c:pt idx="14">
                  <c:v>-40.985662190871238</c:v>
                </c:pt>
                <c:pt idx="15">
                  <c:v>-70</c:v>
                </c:pt>
                <c:pt idx="16">
                  <c:v>-62.915103558236275</c:v>
                </c:pt>
                <c:pt idx="17">
                  <c:v>-6.4586286938894535</c:v>
                </c:pt>
                <c:pt idx="18">
                  <c:v>9</c:v>
                </c:pt>
                <c:pt idx="19">
                  <c:v>-9</c:v>
                </c:pt>
                <c:pt idx="20">
                  <c:v>-40.664497800972853</c:v>
                </c:pt>
                <c:pt idx="21">
                  <c:v>-56</c:v>
                </c:pt>
                <c:pt idx="22">
                  <c:v>-52.255284346750535</c:v>
                </c:pt>
                <c:pt idx="23">
                  <c:v>6.677652173205086</c:v>
                </c:pt>
                <c:pt idx="24">
                  <c:v>9</c:v>
                </c:pt>
                <c:pt idx="25">
                  <c:v>-9</c:v>
                </c:pt>
                <c:pt idx="26">
                  <c:v>-40.435181690601752</c:v>
                </c:pt>
                <c:pt idx="27">
                  <c:v>-42</c:v>
                </c:pt>
                <c:pt idx="28">
                  <c:v>-41.617893203520786</c:v>
                </c:pt>
                <c:pt idx="29">
                  <c:v>17.029172929078673</c:v>
                </c:pt>
                <c:pt idx="30">
                  <c:v>9</c:v>
                </c:pt>
                <c:pt idx="31">
                  <c:v>-9</c:v>
                </c:pt>
                <c:pt idx="32">
                  <c:v>-40.595382389189616</c:v>
                </c:pt>
                <c:pt idx="33">
                  <c:v>-28</c:v>
                </c:pt>
                <c:pt idx="34">
                  <c:v>-31.075616629919871</c:v>
                </c:pt>
                <c:pt idx="35">
                  <c:v>25.581924896199304</c:v>
                </c:pt>
                <c:pt idx="36">
                  <c:v>9</c:v>
                </c:pt>
                <c:pt idx="37">
                  <c:v>-9</c:v>
                </c:pt>
                <c:pt idx="38">
                  <c:v>-40.956600553448808</c:v>
                </c:pt>
                <c:pt idx="39">
                  <c:v>-14</c:v>
                </c:pt>
                <c:pt idx="40">
                  <c:v>-20.582425716540314</c:v>
                </c:pt>
                <c:pt idx="41">
                  <c:v>32.165600148691183</c:v>
                </c:pt>
                <c:pt idx="42">
                  <c:v>9</c:v>
                </c:pt>
                <c:pt idx="43">
                  <c:v>-9</c:v>
                </c:pt>
                <c:pt idx="44">
                  <c:v>-40.71660248941339</c:v>
                </c:pt>
                <c:pt idx="45">
                  <c:v>0</c:v>
                </c:pt>
                <c:pt idx="46">
                  <c:v>-9.9424261892741228</c:v>
                </c:pt>
                <c:pt idx="47">
                  <c:v>36.623816105831878</c:v>
                </c:pt>
                <c:pt idx="48">
                  <c:v>9</c:v>
                </c:pt>
                <c:pt idx="49">
                  <c:v>-9</c:v>
                </c:pt>
                <c:pt idx="50">
                  <c:v>-38.661212930139619</c:v>
                </c:pt>
                <c:pt idx="51">
                  <c:v>14</c:v>
                </c:pt>
                <c:pt idx="52">
                  <c:v>1.1408666100856948</c:v>
                </c:pt>
                <c:pt idx="53">
                  <c:v>39.165215516381885</c:v>
                </c:pt>
                <c:pt idx="54">
                  <c:v>9</c:v>
                </c:pt>
                <c:pt idx="55">
                  <c:v>-9</c:v>
                </c:pt>
                <c:pt idx="56">
                  <c:v>-33.812730277526853</c:v>
                </c:pt>
                <c:pt idx="57">
                  <c:v>28</c:v>
                </c:pt>
                <c:pt idx="58">
                  <c:v>12.906193769447022</c:v>
                </c:pt>
                <c:pt idx="59">
                  <c:v>40.33871401481656</c:v>
                </c:pt>
                <c:pt idx="60">
                  <c:v>9</c:v>
                </c:pt>
                <c:pt idx="61">
                  <c:v>-9</c:v>
                </c:pt>
                <c:pt idx="62">
                  <c:v>-25.874842951302725</c:v>
                </c:pt>
                <c:pt idx="63">
                  <c:v>42</c:v>
                </c:pt>
                <c:pt idx="64">
                  <c:v>25.425910442131688</c:v>
                </c:pt>
                <c:pt idx="65">
                  <c:v>40.756751843001304</c:v>
                </c:pt>
                <c:pt idx="66">
                  <c:v>9</c:v>
                </c:pt>
                <c:pt idx="67">
                  <c:v>-9</c:v>
                </c:pt>
                <c:pt idx="68">
                  <c:v>-14.976288297232923</c:v>
                </c:pt>
                <c:pt idx="69">
                  <c:v>56</c:v>
                </c:pt>
                <c:pt idx="70">
                  <c:v>38.668580764638349</c:v>
                </c:pt>
                <c:pt idx="71">
                  <c:v>40.841808347238583</c:v>
                </c:pt>
                <c:pt idx="72">
                  <c:v>9</c:v>
                </c:pt>
                <c:pt idx="73">
                  <c:v>-9</c:v>
                </c:pt>
                <c:pt idx="74">
                  <c:v>-0.58821925048155776</c:v>
                </c:pt>
                <c:pt idx="75">
                  <c:v>70</c:v>
                </c:pt>
                <c:pt idx="76">
                  <c:v>52.763341810937938</c:v>
                </c:pt>
                <c:pt idx="77">
                  <c:v>40.732715016655298</c:v>
                </c:pt>
                <c:pt idx="78">
                  <c:v>9</c:v>
                </c:pt>
                <c:pt idx="79">
                  <c:v>-9</c:v>
                </c:pt>
                <c:pt idx="80">
                  <c:v>-11.286006599795854</c:v>
                </c:pt>
                <c:pt idx="81">
                  <c:v>70</c:v>
                </c:pt>
                <c:pt idx="82">
                  <c:v>50.151091411687077</c:v>
                </c:pt>
                <c:pt idx="83">
                  <c:v>39.083477722548608</c:v>
                </c:pt>
                <c:pt idx="84">
                  <c:v>9</c:v>
                </c:pt>
                <c:pt idx="85">
                  <c:v>-9</c:v>
                </c:pt>
                <c:pt idx="86">
                  <c:v>-35.05373744672503</c:v>
                </c:pt>
                <c:pt idx="87">
                  <c:v>-70</c:v>
                </c:pt>
                <c:pt idx="88">
                  <c:v>-61.466610306763862</c:v>
                </c:pt>
                <c:pt idx="89">
                  <c:v>2.8488307653754443</c:v>
                </c:pt>
                <c:pt idx="90">
                  <c:v>9</c:v>
                </c:pt>
                <c:pt idx="91">
                  <c:v>109</c:v>
                </c:pt>
                <c:pt idx="92">
                  <c:v>108.96332347734752</c:v>
                </c:pt>
                <c:pt idx="93">
                  <c:v>108.8533167088361</c:v>
                </c:pt>
                <c:pt idx="94">
                  <c:v>108.67004807863076</c:v>
                </c:pt>
                <c:pt idx="95">
                  <c:v>108.41363151310553</c:v>
                </c:pt>
                <c:pt idx="96">
                  <c:v>108.08422641002265</c:v>
                </c:pt>
                <c:pt idx="97">
                  <c:v>107.6820375394453</c:v>
                </c:pt>
                <c:pt idx="98">
                  <c:v>107.20731491644504</c:v>
                </c:pt>
                <c:pt idx="99">
                  <c:v>106.66035364568347</c:v>
                </c:pt>
                <c:pt idx="100">
                  <c:v>106.04149373796464</c:v>
                </c:pt>
                <c:pt idx="101">
                  <c:v>105.351119898872</c:v>
                </c:pt>
                <c:pt idx="102">
                  <c:v>104.58966128962159</c:v>
                </c:pt>
                <c:pt idx="103">
                  <c:v>103.75759126028008</c:v>
                </c:pt>
                <c:pt idx="104">
                  <c:v>102.85542705551322</c:v>
                </c:pt>
                <c:pt idx="105">
                  <c:v>101.88372949304798</c:v>
                </c:pt>
                <c:pt idx="106">
                  <c:v>100.84310261504811</c:v>
                </c:pt>
                <c:pt idx="107">
                  <c:v>99.734193312619794</c:v>
                </c:pt>
                <c:pt idx="108">
                  <c:v>98.557690923680809</c:v>
                </c:pt>
                <c:pt idx="109">
                  <c:v>97.314326804443354</c:v>
                </c:pt>
                <c:pt idx="110">
                  <c:v>96.004873874776649</c:v>
                </c:pt>
                <c:pt idx="111">
                  <c:v>94.630146137732154</c:v>
                </c:pt>
                <c:pt idx="112">
                  <c:v>93.190998173530048</c:v>
                </c:pt>
                <c:pt idx="113">
                  <c:v>91.688324608321324</c:v>
                </c:pt>
                <c:pt idx="114">
                  <c:v>90.123059558056042</c:v>
                </c:pt>
                <c:pt idx="115">
                  <c:v>88.496176047803246</c:v>
                </c:pt>
                <c:pt idx="116">
                  <c:v>86.808685406883541</c:v>
                </c:pt>
                <c:pt idx="117">
                  <c:v>85.061636640190457</c:v>
                </c:pt>
                <c:pt idx="118">
                  <c:v>83.256115776091235</c:v>
                </c:pt>
                <c:pt idx="119">
                  <c:v>81.393245191312488</c:v>
                </c:pt>
                <c:pt idx="120">
                  <c:v>79.474182913230521</c:v>
                </c:pt>
                <c:pt idx="121">
                  <c:v>77.500121899999812</c:v>
                </c:pt>
                <c:pt idx="122">
                  <c:v>75.472289298967283</c:v>
                </c:pt>
                <c:pt idx="123">
                  <c:v>73.391945683833413</c:v>
                </c:pt>
                <c:pt idx="124">
                  <c:v>71.260384271034184</c:v>
                </c:pt>
                <c:pt idx="125">
                  <c:v>69.078930115831355</c:v>
                </c:pt>
                <c:pt idx="126">
                  <c:v>66.84893928861031</c:v>
                </c:pt>
                <c:pt idx="127">
                  <c:v>64.571798031898012</c:v>
                </c:pt>
                <c:pt idx="128">
                  <c:v>62.248921898624673</c:v>
                </c:pt>
                <c:pt idx="129">
                  <c:v>59.881754872165274</c:v>
                </c:pt>
                <c:pt idx="130">
                  <c:v>57.471768468707353</c:v>
                </c:pt>
                <c:pt idx="131">
                  <c:v>55.020460822503807</c:v>
                </c:pt>
                <c:pt idx="132">
                  <c:v>52.529355754578582</c:v>
                </c:pt>
                <c:pt idx="133">
                  <c:v>50.000001825464786</c:v>
                </c:pt>
                <c:pt idx="134">
                  <c:v>47.433971372563768</c:v>
                </c:pt>
                <c:pt idx="135">
                  <c:v>44.832859532723496</c:v>
                </c:pt>
                <c:pt idx="136">
                  <c:v>42.198283250644259</c:v>
                </c:pt>
                <c:pt idx="137">
                  <c:v>39.531880273727573</c:v>
                </c:pt>
                <c:pt idx="138">
                  <c:v>36.835308133993479</c:v>
                </c:pt>
                <c:pt idx="139">
                  <c:v>34.110243117699014</c:v>
                </c:pt>
                <c:pt idx="140">
                  <c:v>31.358379223298492</c:v>
                </c:pt>
                <c:pt idx="141">
                  <c:v>28.581427108392873</c:v>
                </c:pt>
                <c:pt idx="142">
                  <c:v>25.781113026323638</c:v>
                </c:pt>
                <c:pt idx="143">
                  <c:v>22.959177753071529</c:v>
                </c:pt>
                <c:pt idx="144">
                  <c:v>20.117375505127672</c:v>
                </c:pt>
                <c:pt idx="145">
                  <c:v>17.257472849009325</c:v>
                </c:pt>
                <c:pt idx="146">
                  <c:v>14.381247603098693</c:v>
                </c:pt>
                <c:pt idx="147">
                  <c:v>11.4904877324871</c:v>
                </c:pt>
                <c:pt idx="148">
                  <c:v>8.5869902375114009</c:v>
                </c:pt>
                <c:pt idx="149">
                  <c:v>5.6725600366741151</c:v>
                </c:pt>
                <c:pt idx="150">
                  <c:v>2.7490088446409864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1.9499106062863438</c:v>
                </c:pt>
                <c:pt idx="156">
                  <c:v>0.4353759783197173</c:v>
                </c:pt>
                <c:pt idx="157">
                  <c:v>-1.8969752270526943</c:v>
                </c:pt>
                <c:pt idx="158">
                  <c:v>-4.3589076120530557</c:v>
                </c:pt>
                <c:pt idx="159">
                  <c:v>-6.8839803504483132</c:v>
                </c:pt>
                <c:pt idx="160">
                  <c:v>-9.445701924974987</c:v>
                </c:pt>
                <c:pt idx="161">
                  <c:v>-12.029847191518842</c:v>
                </c:pt>
                <c:pt idx="162">
                  <c:v>-14.627414945166993</c:v>
                </c:pt>
                <c:pt idx="163">
                  <c:v>-17.232056846141056</c:v>
                </c:pt>
                <c:pt idx="164">
                  <c:v>-19.838932677723623</c:v>
                </c:pt>
                <c:pt idx="165">
                  <c:v>-22.444130304605075</c:v>
                </c:pt>
                <c:pt idx="166">
                  <c:v>-25.044343452319694</c:v>
                </c:pt>
                <c:pt idx="167">
                  <c:v>-27.636679898033758</c:v>
                </c:pt>
                <c:pt idx="168">
                  <c:v>-30.218540957437643</c:v>
                </c:pt>
                <c:pt idx="169">
                  <c:v>-32.78754241013354</c:v>
                </c:pt>
                <c:pt idx="170">
                  <c:v>-35.341460734846422</c:v>
                </c:pt>
                <c:pt idx="171">
                  <c:v>-37.87819545249797</c:v>
                </c:pt>
                <c:pt idx="172">
                  <c:v>-40.395742083457577</c:v>
                </c:pt>
                <c:pt idx="173">
                  <c:v>-42.892172311294814</c:v>
                </c:pt>
                <c:pt idx="174">
                  <c:v>-45.365619169152751</c:v>
                </c:pt>
                <c:pt idx="175">
                  <c:v>-47.814265809250514</c:v>
                </c:pt>
                <c:pt idx="176">
                  <c:v>-50.2363368832779</c:v>
                </c:pt>
                <c:pt idx="177">
                  <c:v>-52.630091862955695</c:v>
                </c:pt>
                <c:pt idx="178">
                  <c:v>-54.993819829410697</c:v>
                </c:pt>
                <c:pt idx="179">
                  <c:v>-57.325835394749546</c:v>
                </c:pt>
                <c:pt idx="180">
                  <c:v>-59.624475512051248</c:v>
                </c:pt>
                <c:pt idx="181">
                  <c:v>-61.888096995078456</c:v>
                </c:pt>
                <c:pt idx="182">
                  <c:v>-64.115074615332276</c:v>
                </c:pt>
                <c:pt idx="183">
                  <c:v>-66.30379967749289</c:v>
                </c:pt>
                <c:pt idx="184">
                  <c:v>-68.452678998667324</c:v>
                </c:pt>
                <c:pt idx="185">
                  <c:v>-70.560134234811926</c:v>
                </c:pt>
                <c:pt idx="186">
                  <c:v>-72.62460151099414</c:v>
                </c:pt>
                <c:pt idx="187">
                  <c:v>-74.644531322041644</c:v>
                </c:pt>
                <c:pt idx="188">
                  <c:v>-76.618388677470904</c:v>
                </c:pt>
                <c:pt idx="189">
                  <c:v>-78.544653470010275</c:v>
                </c:pt>
                <c:pt idx="190">
                  <c:v>-80.421821050989195</c:v>
                </c:pt>
                <c:pt idx="191">
                  <c:v>-82.248402998682764</c:v>
                </c:pt>
                <c:pt idx="192">
                  <c:v>-84.022928067629167</c:v>
                </c:pt>
                <c:pt idx="193">
                  <c:v>-85.743943308162585</c:v>
                </c:pt>
                <c:pt idx="194">
                  <c:v>-87.410015346074147</c:v>
                </c:pt>
                <c:pt idx="195">
                  <c:v>-89.019731812542062</c:v>
                </c:pt>
                <c:pt idx="196">
                  <c:v>-90.571702914357161</c:v>
                </c:pt>
                <c:pt idx="197">
                  <c:v>-92.064563134086512</c:v>
                </c:pt>
                <c:pt idx="198">
                  <c:v>-93.496973049239003</c:v>
                </c:pt>
                <c:pt idx="199">
                  <c:v>-94.867621258778129</c:v>
                </c:pt>
                <c:pt idx="200">
                  <c:v>-96.175226404524849</c:v>
                </c:pt>
                <c:pt idx="201">
                  <c:v>-97.418539274155421</c:v>
                </c:pt>
                <c:pt idx="202">
                  <c:v>-98.596344971669311</c:v>
                </c:pt>
                <c:pt idx="203">
                  <c:v>-99.707465140420894</c:v>
                </c:pt>
                <c:pt idx="204">
                  <c:v>-100.75076022311241</c:v>
                </c:pt>
                <c:pt idx="205">
                  <c:v>-101.72513174256733</c:v>
                </c:pt>
                <c:pt idx="206">
                  <c:v>-102.62952458666661</c:v>
                </c:pt>
                <c:pt idx="207">
                  <c:v>-103.46292928056559</c:v>
                </c:pt>
                <c:pt idx="208">
                  <c:v>-104.22438422922602</c:v>
                </c:pt>
                <c:pt idx="209">
                  <c:v>-104.91297791341526</c:v>
                </c:pt>
                <c:pt idx="210">
                  <c:v>-105.527851022645</c:v>
                </c:pt>
                <c:pt idx="211">
                  <c:v>-106.06819850905003</c:v>
                </c:pt>
                <c:pt idx="212">
                  <c:v>-106.53327154693659</c:v>
                </c:pt>
                <c:pt idx="213">
                  <c:v>-106.92237938365012</c:v>
                </c:pt>
                <c:pt idx="214">
                  <c:v>-107.23489106851224</c:v>
                </c:pt>
                <c:pt idx="215">
                  <c:v>-107.47023704783025</c:v>
                </c:pt>
                <c:pt idx="216">
                  <c:v>-107.62791061537467</c:v>
                </c:pt>
                <c:pt idx="217">
                  <c:v>-107.70746920921601</c:v>
                </c:pt>
                <c:pt idx="218">
                  <c:v>-107.70853554738908</c:v>
                </c:pt>
              </c:numCache>
            </c:numRef>
          </c:xVal>
          <c:yVal>
            <c:numRef>
              <c:f>'5LeverTailRectangle'!$BF$6:$BF$224</c:f>
              <c:numCache>
                <c:formatCode>General</c:formatCode>
                <c:ptCount val="219"/>
                <c:pt idx="43">
                  <c:v>0</c:v>
                </c:pt>
                <c:pt idx="44">
                  <c:v>4.2493677798628635</c:v>
                </c:pt>
                <c:pt idx="45">
                  <c:v>80</c:v>
                </c:pt>
                <c:pt idx="46">
                  <c:v>61.502752597417626</c:v>
                </c:pt>
                <c:pt idx="47">
                  <c:v>16.153166369204001</c:v>
                </c:pt>
                <c:pt idx="48">
                  <c:v>0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'5LeverTailRectangle'!$BG$5</c:f>
              <c:strCache>
                <c:ptCount val="1"/>
                <c:pt idx="0">
                  <c:v>R6</c:v>
                </c:pt>
              </c:strCache>
            </c:strRef>
          </c:tx>
          <c:xVal>
            <c:numRef>
              <c:f>'5LeverTailRectangle'!$AY$6:$AY$224</c:f>
              <c:numCache>
                <c:formatCode>General</c:formatCode>
                <c:ptCount val="219"/>
                <c:pt idx="0">
                  <c:v>-62.915103558236275</c:v>
                </c:pt>
                <c:pt idx="1">
                  <c:v>-52.255284346750535</c:v>
                </c:pt>
                <c:pt idx="2">
                  <c:v>-41.617893203520786</c:v>
                </c:pt>
                <c:pt idx="3">
                  <c:v>-31.075616629919871</c:v>
                </c:pt>
                <c:pt idx="4">
                  <c:v>-20.582425716540314</c:v>
                </c:pt>
                <c:pt idx="5">
                  <c:v>-9.9424261892741228</c:v>
                </c:pt>
                <c:pt idx="6">
                  <c:v>1.1408666100856948</c:v>
                </c:pt>
                <c:pt idx="7">
                  <c:v>12.906193769447022</c:v>
                </c:pt>
                <c:pt idx="8">
                  <c:v>25.425910442131688</c:v>
                </c:pt>
                <c:pt idx="9">
                  <c:v>38.668580764638349</c:v>
                </c:pt>
                <c:pt idx="10">
                  <c:v>52.763341810937938</c:v>
                </c:pt>
                <c:pt idx="11">
                  <c:v>50.151091411687077</c:v>
                </c:pt>
                <c:pt idx="12">
                  <c:v>-61.466610306763862</c:v>
                </c:pt>
                <c:pt idx="13">
                  <c:v>-9</c:v>
                </c:pt>
                <c:pt idx="14">
                  <c:v>-40.985662190871238</c:v>
                </c:pt>
                <c:pt idx="15">
                  <c:v>-70</c:v>
                </c:pt>
                <c:pt idx="16">
                  <c:v>-62.915103558236275</c:v>
                </c:pt>
                <c:pt idx="17">
                  <c:v>-6.4586286938894535</c:v>
                </c:pt>
                <c:pt idx="18">
                  <c:v>9</c:v>
                </c:pt>
                <c:pt idx="19">
                  <c:v>-9</c:v>
                </c:pt>
                <c:pt idx="20">
                  <c:v>-40.664497800972853</c:v>
                </c:pt>
                <c:pt idx="21">
                  <c:v>-56</c:v>
                </c:pt>
                <c:pt idx="22">
                  <c:v>-52.255284346750535</c:v>
                </c:pt>
                <c:pt idx="23">
                  <c:v>6.677652173205086</c:v>
                </c:pt>
                <c:pt idx="24">
                  <c:v>9</c:v>
                </c:pt>
                <c:pt idx="25">
                  <c:v>-9</c:v>
                </c:pt>
                <c:pt idx="26">
                  <c:v>-40.435181690601752</c:v>
                </c:pt>
                <c:pt idx="27">
                  <c:v>-42</c:v>
                </c:pt>
                <c:pt idx="28">
                  <c:v>-41.617893203520786</c:v>
                </c:pt>
                <c:pt idx="29">
                  <c:v>17.029172929078673</c:v>
                </c:pt>
                <c:pt idx="30">
                  <c:v>9</c:v>
                </c:pt>
                <c:pt idx="31">
                  <c:v>-9</c:v>
                </c:pt>
                <c:pt idx="32">
                  <c:v>-40.595382389189616</c:v>
                </c:pt>
                <c:pt idx="33">
                  <c:v>-28</c:v>
                </c:pt>
                <c:pt idx="34">
                  <c:v>-31.075616629919871</c:v>
                </c:pt>
                <c:pt idx="35">
                  <c:v>25.581924896199304</c:v>
                </c:pt>
                <c:pt idx="36">
                  <c:v>9</c:v>
                </c:pt>
                <c:pt idx="37">
                  <c:v>-9</c:v>
                </c:pt>
                <c:pt idx="38">
                  <c:v>-40.956600553448808</c:v>
                </c:pt>
                <c:pt idx="39">
                  <c:v>-14</c:v>
                </c:pt>
                <c:pt idx="40">
                  <c:v>-20.582425716540314</c:v>
                </c:pt>
                <c:pt idx="41">
                  <c:v>32.165600148691183</c:v>
                </c:pt>
                <c:pt idx="42">
                  <c:v>9</c:v>
                </c:pt>
                <c:pt idx="43">
                  <c:v>-9</c:v>
                </c:pt>
                <c:pt idx="44">
                  <c:v>-40.71660248941339</c:v>
                </c:pt>
                <c:pt idx="45">
                  <c:v>0</c:v>
                </c:pt>
                <c:pt idx="46">
                  <c:v>-9.9424261892741228</c:v>
                </c:pt>
                <c:pt idx="47">
                  <c:v>36.623816105831878</c:v>
                </c:pt>
                <c:pt idx="48">
                  <c:v>9</c:v>
                </c:pt>
                <c:pt idx="49">
                  <c:v>-9</c:v>
                </c:pt>
                <c:pt idx="50">
                  <c:v>-38.661212930139619</c:v>
                </c:pt>
                <c:pt idx="51">
                  <c:v>14</c:v>
                </c:pt>
                <c:pt idx="52">
                  <c:v>1.1408666100856948</c:v>
                </c:pt>
                <c:pt idx="53">
                  <c:v>39.165215516381885</c:v>
                </c:pt>
                <c:pt idx="54">
                  <c:v>9</c:v>
                </c:pt>
                <c:pt idx="55">
                  <c:v>-9</c:v>
                </c:pt>
                <c:pt idx="56">
                  <c:v>-33.812730277526853</c:v>
                </c:pt>
                <c:pt idx="57">
                  <c:v>28</c:v>
                </c:pt>
                <c:pt idx="58">
                  <c:v>12.906193769447022</c:v>
                </c:pt>
                <c:pt idx="59">
                  <c:v>40.33871401481656</c:v>
                </c:pt>
                <c:pt idx="60">
                  <c:v>9</c:v>
                </c:pt>
                <c:pt idx="61">
                  <c:v>-9</c:v>
                </c:pt>
                <c:pt idx="62">
                  <c:v>-25.874842951302725</c:v>
                </c:pt>
                <c:pt idx="63">
                  <c:v>42</c:v>
                </c:pt>
                <c:pt idx="64">
                  <c:v>25.425910442131688</c:v>
                </c:pt>
                <c:pt idx="65">
                  <c:v>40.756751843001304</c:v>
                </c:pt>
                <c:pt idx="66">
                  <c:v>9</c:v>
                </c:pt>
                <c:pt idx="67">
                  <c:v>-9</c:v>
                </c:pt>
                <c:pt idx="68">
                  <c:v>-14.976288297232923</c:v>
                </c:pt>
                <c:pt idx="69">
                  <c:v>56</c:v>
                </c:pt>
                <c:pt idx="70">
                  <c:v>38.668580764638349</c:v>
                </c:pt>
                <c:pt idx="71">
                  <c:v>40.841808347238583</c:v>
                </c:pt>
                <c:pt idx="72">
                  <c:v>9</c:v>
                </c:pt>
                <c:pt idx="73">
                  <c:v>-9</c:v>
                </c:pt>
                <c:pt idx="74">
                  <c:v>-0.58821925048155776</c:v>
                </c:pt>
                <c:pt idx="75">
                  <c:v>70</c:v>
                </c:pt>
                <c:pt idx="76">
                  <c:v>52.763341810937938</c:v>
                </c:pt>
                <c:pt idx="77">
                  <c:v>40.732715016655298</c:v>
                </c:pt>
                <c:pt idx="78">
                  <c:v>9</c:v>
                </c:pt>
                <c:pt idx="79">
                  <c:v>-9</c:v>
                </c:pt>
                <c:pt idx="80">
                  <c:v>-11.286006599795854</c:v>
                </c:pt>
                <c:pt idx="81">
                  <c:v>70</c:v>
                </c:pt>
                <c:pt idx="82">
                  <c:v>50.151091411687077</c:v>
                </c:pt>
                <c:pt idx="83">
                  <c:v>39.083477722548608</c:v>
                </c:pt>
                <c:pt idx="84">
                  <c:v>9</c:v>
                </c:pt>
                <c:pt idx="85">
                  <c:v>-9</c:v>
                </c:pt>
                <c:pt idx="86">
                  <c:v>-35.05373744672503</c:v>
                </c:pt>
                <c:pt idx="87">
                  <c:v>-70</c:v>
                </c:pt>
                <c:pt idx="88">
                  <c:v>-61.466610306763862</c:v>
                </c:pt>
                <c:pt idx="89">
                  <c:v>2.8488307653754443</c:v>
                </c:pt>
                <c:pt idx="90">
                  <c:v>9</c:v>
                </c:pt>
                <c:pt idx="91">
                  <c:v>109</c:v>
                </c:pt>
                <c:pt idx="92">
                  <c:v>108.96332347734752</c:v>
                </c:pt>
                <c:pt idx="93">
                  <c:v>108.8533167088361</c:v>
                </c:pt>
                <c:pt idx="94">
                  <c:v>108.67004807863076</c:v>
                </c:pt>
                <c:pt idx="95">
                  <c:v>108.41363151310553</c:v>
                </c:pt>
                <c:pt idx="96">
                  <c:v>108.08422641002265</c:v>
                </c:pt>
                <c:pt idx="97">
                  <c:v>107.6820375394453</c:v>
                </c:pt>
                <c:pt idx="98">
                  <c:v>107.20731491644504</c:v>
                </c:pt>
                <c:pt idx="99">
                  <c:v>106.66035364568347</c:v>
                </c:pt>
                <c:pt idx="100">
                  <c:v>106.04149373796464</c:v>
                </c:pt>
                <c:pt idx="101">
                  <c:v>105.351119898872</c:v>
                </c:pt>
                <c:pt idx="102">
                  <c:v>104.58966128962159</c:v>
                </c:pt>
                <c:pt idx="103">
                  <c:v>103.75759126028008</c:v>
                </c:pt>
                <c:pt idx="104">
                  <c:v>102.85542705551322</c:v>
                </c:pt>
                <c:pt idx="105">
                  <c:v>101.88372949304798</c:v>
                </c:pt>
                <c:pt idx="106">
                  <c:v>100.84310261504811</c:v>
                </c:pt>
                <c:pt idx="107">
                  <c:v>99.734193312619794</c:v>
                </c:pt>
                <c:pt idx="108">
                  <c:v>98.557690923680809</c:v>
                </c:pt>
                <c:pt idx="109">
                  <c:v>97.314326804443354</c:v>
                </c:pt>
                <c:pt idx="110">
                  <c:v>96.004873874776649</c:v>
                </c:pt>
                <c:pt idx="111">
                  <c:v>94.630146137732154</c:v>
                </c:pt>
                <c:pt idx="112">
                  <c:v>93.190998173530048</c:v>
                </c:pt>
                <c:pt idx="113">
                  <c:v>91.688324608321324</c:v>
                </c:pt>
                <c:pt idx="114">
                  <c:v>90.123059558056042</c:v>
                </c:pt>
                <c:pt idx="115">
                  <c:v>88.496176047803246</c:v>
                </c:pt>
                <c:pt idx="116">
                  <c:v>86.808685406883541</c:v>
                </c:pt>
                <c:pt idx="117">
                  <c:v>85.061636640190457</c:v>
                </c:pt>
                <c:pt idx="118">
                  <c:v>83.256115776091235</c:v>
                </c:pt>
                <c:pt idx="119">
                  <c:v>81.393245191312488</c:v>
                </c:pt>
                <c:pt idx="120">
                  <c:v>79.474182913230521</c:v>
                </c:pt>
                <c:pt idx="121">
                  <c:v>77.500121899999812</c:v>
                </c:pt>
                <c:pt idx="122">
                  <c:v>75.472289298967283</c:v>
                </c:pt>
                <c:pt idx="123">
                  <c:v>73.391945683833413</c:v>
                </c:pt>
                <c:pt idx="124">
                  <c:v>71.260384271034184</c:v>
                </c:pt>
                <c:pt idx="125">
                  <c:v>69.078930115831355</c:v>
                </c:pt>
                <c:pt idx="126">
                  <c:v>66.84893928861031</c:v>
                </c:pt>
                <c:pt idx="127">
                  <c:v>64.571798031898012</c:v>
                </c:pt>
                <c:pt idx="128">
                  <c:v>62.248921898624673</c:v>
                </c:pt>
                <c:pt idx="129">
                  <c:v>59.881754872165274</c:v>
                </c:pt>
                <c:pt idx="130">
                  <c:v>57.471768468707353</c:v>
                </c:pt>
                <c:pt idx="131">
                  <c:v>55.020460822503807</c:v>
                </c:pt>
                <c:pt idx="132">
                  <c:v>52.529355754578582</c:v>
                </c:pt>
                <c:pt idx="133">
                  <c:v>50.000001825464786</c:v>
                </c:pt>
                <c:pt idx="134">
                  <c:v>47.433971372563768</c:v>
                </c:pt>
                <c:pt idx="135">
                  <c:v>44.832859532723496</c:v>
                </c:pt>
                <c:pt idx="136">
                  <c:v>42.198283250644259</c:v>
                </c:pt>
                <c:pt idx="137">
                  <c:v>39.531880273727573</c:v>
                </c:pt>
                <c:pt idx="138">
                  <c:v>36.835308133993479</c:v>
                </c:pt>
                <c:pt idx="139">
                  <c:v>34.110243117699014</c:v>
                </c:pt>
                <c:pt idx="140">
                  <c:v>31.358379223298492</c:v>
                </c:pt>
                <c:pt idx="141">
                  <c:v>28.581427108392873</c:v>
                </c:pt>
                <c:pt idx="142">
                  <c:v>25.781113026323638</c:v>
                </c:pt>
                <c:pt idx="143">
                  <c:v>22.959177753071529</c:v>
                </c:pt>
                <c:pt idx="144">
                  <c:v>20.117375505127672</c:v>
                </c:pt>
                <c:pt idx="145">
                  <c:v>17.257472849009325</c:v>
                </c:pt>
                <c:pt idx="146">
                  <c:v>14.381247603098693</c:v>
                </c:pt>
                <c:pt idx="147">
                  <c:v>11.4904877324871</c:v>
                </c:pt>
                <c:pt idx="148">
                  <c:v>8.5869902375114009</c:v>
                </c:pt>
                <c:pt idx="149">
                  <c:v>5.6725600366741151</c:v>
                </c:pt>
                <c:pt idx="150">
                  <c:v>2.7490088446409864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1.9499106062863438</c:v>
                </c:pt>
                <c:pt idx="156">
                  <c:v>0.4353759783197173</c:v>
                </c:pt>
                <c:pt idx="157">
                  <c:v>-1.8969752270526943</c:v>
                </c:pt>
                <c:pt idx="158">
                  <c:v>-4.3589076120530557</c:v>
                </c:pt>
                <c:pt idx="159">
                  <c:v>-6.8839803504483132</c:v>
                </c:pt>
                <c:pt idx="160">
                  <c:v>-9.445701924974987</c:v>
                </c:pt>
                <c:pt idx="161">
                  <c:v>-12.029847191518842</c:v>
                </c:pt>
                <c:pt idx="162">
                  <c:v>-14.627414945166993</c:v>
                </c:pt>
                <c:pt idx="163">
                  <c:v>-17.232056846141056</c:v>
                </c:pt>
                <c:pt idx="164">
                  <c:v>-19.838932677723623</c:v>
                </c:pt>
                <c:pt idx="165">
                  <c:v>-22.444130304605075</c:v>
                </c:pt>
                <c:pt idx="166">
                  <c:v>-25.044343452319694</c:v>
                </c:pt>
                <c:pt idx="167">
                  <c:v>-27.636679898033758</c:v>
                </c:pt>
                <c:pt idx="168">
                  <c:v>-30.218540957437643</c:v>
                </c:pt>
                <c:pt idx="169">
                  <c:v>-32.78754241013354</c:v>
                </c:pt>
                <c:pt idx="170">
                  <c:v>-35.341460734846422</c:v>
                </c:pt>
                <c:pt idx="171">
                  <c:v>-37.87819545249797</c:v>
                </c:pt>
                <c:pt idx="172">
                  <c:v>-40.395742083457577</c:v>
                </c:pt>
                <c:pt idx="173">
                  <c:v>-42.892172311294814</c:v>
                </c:pt>
                <c:pt idx="174">
                  <c:v>-45.365619169152751</c:v>
                </c:pt>
                <c:pt idx="175">
                  <c:v>-47.814265809250514</c:v>
                </c:pt>
                <c:pt idx="176">
                  <c:v>-50.2363368832779</c:v>
                </c:pt>
                <c:pt idx="177">
                  <c:v>-52.630091862955695</c:v>
                </c:pt>
                <c:pt idx="178">
                  <c:v>-54.993819829410697</c:v>
                </c:pt>
                <c:pt idx="179">
                  <c:v>-57.325835394749546</c:v>
                </c:pt>
                <c:pt idx="180">
                  <c:v>-59.624475512051248</c:v>
                </c:pt>
                <c:pt idx="181">
                  <c:v>-61.888096995078456</c:v>
                </c:pt>
                <c:pt idx="182">
                  <c:v>-64.115074615332276</c:v>
                </c:pt>
                <c:pt idx="183">
                  <c:v>-66.30379967749289</c:v>
                </c:pt>
                <c:pt idx="184">
                  <c:v>-68.452678998667324</c:v>
                </c:pt>
                <c:pt idx="185">
                  <c:v>-70.560134234811926</c:v>
                </c:pt>
                <c:pt idx="186">
                  <c:v>-72.62460151099414</c:v>
                </c:pt>
                <c:pt idx="187">
                  <c:v>-74.644531322041644</c:v>
                </c:pt>
                <c:pt idx="188">
                  <c:v>-76.618388677470904</c:v>
                </c:pt>
                <c:pt idx="189">
                  <c:v>-78.544653470010275</c:v>
                </c:pt>
                <c:pt idx="190">
                  <c:v>-80.421821050989195</c:v>
                </c:pt>
                <c:pt idx="191">
                  <c:v>-82.248402998682764</c:v>
                </c:pt>
                <c:pt idx="192">
                  <c:v>-84.022928067629167</c:v>
                </c:pt>
                <c:pt idx="193">
                  <c:v>-85.743943308162585</c:v>
                </c:pt>
                <c:pt idx="194">
                  <c:v>-87.410015346074147</c:v>
                </c:pt>
                <c:pt idx="195">
                  <c:v>-89.019731812542062</c:v>
                </c:pt>
                <c:pt idx="196">
                  <c:v>-90.571702914357161</c:v>
                </c:pt>
                <c:pt idx="197">
                  <c:v>-92.064563134086512</c:v>
                </c:pt>
                <c:pt idx="198">
                  <c:v>-93.496973049239003</c:v>
                </c:pt>
                <c:pt idx="199">
                  <c:v>-94.867621258778129</c:v>
                </c:pt>
                <c:pt idx="200">
                  <c:v>-96.175226404524849</c:v>
                </c:pt>
                <c:pt idx="201">
                  <c:v>-97.418539274155421</c:v>
                </c:pt>
                <c:pt idx="202">
                  <c:v>-98.596344971669311</c:v>
                </c:pt>
                <c:pt idx="203">
                  <c:v>-99.707465140420894</c:v>
                </c:pt>
                <c:pt idx="204">
                  <c:v>-100.75076022311241</c:v>
                </c:pt>
                <c:pt idx="205">
                  <c:v>-101.72513174256733</c:v>
                </c:pt>
                <c:pt idx="206">
                  <c:v>-102.62952458666661</c:v>
                </c:pt>
                <c:pt idx="207">
                  <c:v>-103.46292928056559</c:v>
                </c:pt>
                <c:pt idx="208">
                  <c:v>-104.22438422922602</c:v>
                </c:pt>
                <c:pt idx="209">
                  <c:v>-104.91297791341526</c:v>
                </c:pt>
                <c:pt idx="210">
                  <c:v>-105.527851022645</c:v>
                </c:pt>
                <c:pt idx="211">
                  <c:v>-106.06819850905003</c:v>
                </c:pt>
                <c:pt idx="212">
                  <c:v>-106.53327154693659</c:v>
                </c:pt>
                <c:pt idx="213">
                  <c:v>-106.92237938365012</c:v>
                </c:pt>
                <c:pt idx="214">
                  <c:v>-107.23489106851224</c:v>
                </c:pt>
                <c:pt idx="215">
                  <c:v>-107.47023704783025</c:v>
                </c:pt>
                <c:pt idx="216">
                  <c:v>-107.62791061537467</c:v>
                </c:pt>
                <c:pt idx="217">
                  <c:v>-107.70746920921601</c:v>
                </c:pt>
                <c:pt idx="218">
                  <c:v>-107.70853554738908</c:v>
                </c:pt>
              </c:numCache>
            </c:numRef>
          </c:xVal>
          <c:yVal>
            <c:numRef>
              <c:f>'5LeverTailRectangle'!$BG$6:$BG$224</c:f>
              <c:numCache>
                <c:formatCode>General</c:formatCode>
                <c:ptCount val="219"/>
                <c:pt idx="49">
                  <c:v>0</c:v>
                </c:pt>
                <c:pt idx="50">
                  <c:v>12.008848717213409</c:v>
                </c:pt>
                <c:pt idx="51">
                  <c:v>80</c:v>
                </c:pt>
                <c:pt idx="52">
                  <c:v>63.397509570491003</c:v>
                </c:pt>
                <c:pt idx="53">
                  <c:v>10.67987700538885</c:v>
                </c:pt>
                <c:pt idx="54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'5LeverTailRectangle'!$BH$5</c:f>
              <c:strCache>
                <c:ptCount val="1"/>
                <c:pt idx="0">
                  <c:v>R7</c:v>
                </c:pt>
              </c:strCache>
            </c:strRef>
          </c:tx>
          <c:xVal>
            <c:numRef>
              <c:f>'5LeverTailRectangle'!$AY$6:$AY$224</c:f>
              <c:numCache>
                <c:formatCode>General</c:formatCode>
                <c:ptCount val="219"/>
                <c:pt idx="0">
                  <c:v>-62.915103558236275</c:v>
                </c:pt>
                <c:pt idx="1">
                  <c:v>-52.255284346750535</c:v>
                </c:pt>
                <c:pt idx="2">
                  <c:v>-41.617893203520786</c:v>
                </c:pt>
                <c:pt idx="3">
                  <c:v>-31.075616629919871</c:v>
                </c:pt>
                <c:pt idx="4">
                  <c:v>-20.582425716540314</c:v>
                </c:pt>
                <c:pt idx="5">
                  <c:v>-9.9424261892741228</c:v>
                </c:pt>
                <c:pt idx="6">
                  <c:v>1.1408666100856948</c:v>
                </c:pt>
                <c:pt idx="7">
                  <c:v>12.906193769447022</c:v>
                </c:pt>
                <c:pt idx="8">
                  <c:v>25.425910442131688</c:v>
                </c:pt>
                <c:pt idx="9">
                  <c:v>38.668580764638349</c:v>
                </c:pt>
                <c:pt idx="10">
                  <c:v>52.763341810937938</c:v>
                </c:pt>
                <c:pt idx="11">
                  <c:v>50.151091411687077</c:v>
                </c:pt>
                <c:pt idx="12">
                  <c:v>-61.466610306763862</c:v>
                </c:pt>
                <c:pt idx="13">
                  <c:v>-9</c:v>
                </c:pt>
                <c:pt idx="14">
                  <c:v>-40.985662190871238</c:v>
                </c:pt>
                <c:pt idx="15">
                  <c:v>-70</c:v>
                </c:pt>
                <c:pt idx="16">
                  <c:v>-62.915103558236275</c:v>
                </c:pt>
                <c:pt idx="17">
                  <c:v>-6.4586286938894535</c:v>
                </c:pt>
                <c:pt idx="18">
                  <c:v>9</c:v>
                </c:pt>
                <c:pt idx="19">
                  <c:v>-9</c:v>
                </c:pt>
                <c:pt idx="20">
                  <c:v>-40.664497800972853</c:v>
                </c:pt>
                <c:pt idx="21">
                  <c:v>-56</c:v>
                </c:pt>
                <c:pt idx="22">
                  <c:v>-52.255284346750535</c:v>
                </c:pt>
                <c:pt idx="23">
                  <c:v>6.677652173205086</c:v>
                </c:pt>
                <c:pt idx="24">
                  <c:v>9</c:v>
                </c:pt>
                <c:pt idx="25">
                  <c:v>-9</c:v>
                </c:pt>
                <c:pt idx="26">
                  <c:v>-40.435181690601752</c:v>
                </c:pt>
                <c:pt idx="27">
                  <c:v>-42</c:v>
                </c:pt>
                <c:pt idx="28">
                  <c:v>-41.617893203520786</c:v>
                </c:pt>
                <c:pt idx="29">
                  <c:v>17.029172929078673</c:v>
                </c:pt>
                <c:pt idx="30">
                  <c:v>9</c:v>
                </c:pt>
                <c:pt idx="31">
                  <c:v>-9</c:v>
                </c:pt>
                <c:pt idx="32">
                  <c:v>-40.595382389189616</c:v>
                </c:pt>
                <c:pt idx="33">
                  <c:v>-28</c:v>
                </c:pt>
                <c:pt idx="34">
                  <c:v>-31.075616629919871</c:v>
                </c:pt>
                <c:pt idx="35">
                  <c:v>25.581924896199304</c:v>
                </c:pt>
                <c:pt idx="36">
                  <c:v>9</c:v>
                </c:pt>
                <c:pt idx="37">
                  <c:v>-9</c:v>
                </c:pt>
                <c:pt idx="38">
                  <c:v>-40.956600553448808</c:v>
                </c:pt>
                <c:pt idx="39">
                  <c:v>-14</c:v>
                </c:pt>
                <c:pt idx="40">
                  <c:v>-20.582425716540314</c:v>
                </c:pt>
                <c:pt idx="41">
                  <c:v>32.165600148691183</c:v>
                </c:pt>
                <c:pt idx="42">
                  <c:v>9</c:v>
                </c:pt>
                <c:pt idx="43">
                  <c:v>-9</c:v>
                </c:pt>
                <c:pt idx="44">
                  <c:v>-40.71660248941339</c:v>
                </c:pt>
                <c:pt idx="45">
                  <c:v>0</c:v>
                </c:pt>
                <c:pt idx="46">
                  <c:v>-9.9424261892741228</c:v>
                </c:pt>
                <c:pt idx="47">
                  <c:v>36.623816105831878</c:v>
                </c:pt>
                <c:pt idx="48">
                  <c:v>9</c:v>
                </c:pt>
                <c:pt idx="49">
                  <c:v>-9</c:v>
                </c:pt>
                <c:pt idx="50">
                  <c:v>-38.661212930139619</c:v>
                </c:pt>
                <c:pt idx="51">
                  <c:v>14</c:v>
                </c:pt>
                <c:pt idx="52">
                  <c:v>1.1408666100856948</c:v>
                </c:pt>
                <c:pt idx="53">
                  <c:v>39.165215516381885</c:v>
                </c:pt>
                <c:pt idx="54">
                  <c:v>9</c:v>
                </c:pt>
                <c:pt idx="55">
                  <c:v>-9</c:v>
                </c:pt>
                <c:pt idx="56">
                  <c:v>-33.812730277526853</c:v>
                </c:pt>
                <c:pt idx="57">
                  <c:v>28</c:v>
                </c:pt>
                <c:pt idx="58">
                  <c:v>12.906193769447022</c:v>
                </c:pt>
                <c:pt idx="59">
                  <c:v>40.33871401481656</c:v>
                </c:pt>
                <c:pt idx="60">
                  <c:v>9</c:v>
                </c:pt>
                <c:pt idx="61">
                  <c:v>-9</c:v>
                </c:pt>
                <c:pt idx="62">
                  <c:v>-25.874842951302725</c:v>
                </c:pt>
                <c:pt idx="63">
                  <c:v>42</c:v>
                </c:pt>
                <c:pt idx="64">
                  <c:v>25.425910442131688</c:v>
                </c:pt>
                <c:pt idx="65">
                  <c:v>40.756751843001304</c:v>
                </c:pt>
                <c:pt idx="66">
                  <c:v>9</c:v>
                </c:pt>
                <c:pt idx="67">
                  <c:v>-9</c:v>
                </c:pt>
                <c:pt idx="68">
                  <c:v>-14.976288297232923</c:v>
                </c:pt>
                <c:pt idx="69">
                  <c:v>56</c:v>
                </c:pt>
                <c:pt idx="70">
                  <c:v>38.668580764638349</c:v>
                </c:pt>
                <c:pt idx="71">
                  <c:v>40.841808347238583</c:v>
                </c:pt>
                <c:pt idx="72">
                  <c:v>9</c:v>
                </c:pt>
                <c:pt idx="73">
                  <c:v>-9</c:v>
                </c:pt>
                <c:pt idx="74">
                  <c:v>-0.58821925048155776</c:v>
                </c:pt>
                <c:pt idx="75">
                  <c:v>70</c:v>
                </c:pt>
                <c:pt idx="76">
                  <c:v>52.763341810937938</c:v>
                </c:pt>
                <c:pt idx="77">
                  <c:v>40.732715016655298</c:v>
                </c:pt>
                <c:pt idx="78">
                  <c:v>9</c:v>
                </c:pt>
                <c:pt idx="79">
                  <c:v>-9</c:v>
                </c:pt>
                <c:pt idx="80">
                  <c:v>-11.286006599795854</c:v>
                </c:pt>
                <c:pt idx="81">
                  <c:v>70</c:v>
                </c:pt>
                <c:pt idx="82">
                  <c:v>50.151091411687077</c:v>
                </c:pt>
                <c:pt idx="83">
                  <c:v>39.083477722548608</c:v>
                </c:pt>
                <c:pt idx="84">
                  <c:v>9</c:v>
                </c:pt>
                <c:pt idx="85">
                  <c:v>-9</c:v>
                </c:pt>
                <c:pt idx="86">
                  <c:v>-35.05373744672503</c:v>
                </c:pt>
                <c:pt idx="87">
                  <c:v>-70</c:v>
                </c:pt>
                <c:pt idx="88">
                  <c:v>-61.466610306763862</c:v>
                </c:pt>
                <c:pt idx="89">
                  <c:v>2.8488307653754443</c:v>
                </c:pt>
                <c:pt idx="90">
                  <c:v>9</c:v>
                </c:pt>
                <c:pt idx="91">
                  <c:v>109</c:v>
                </c:pt>
                <c:pt idx="92">
                  <c:v>108.96332347734752</c:v>
                </c:pt>
                <c:pt idx="93">
                  <c:v>108.8533167088361</c:v>
                </c:pt>
                <c:pt idx="94">
                  <c:v>108.67004807863076</c:v>
                </c:pt>
                <c:pt idx="95">
                  <c:v>108.41363151310553</c:v>
                </c:pt>
                <c:pt idx="96">
                  <c:v>108.08422641002265</c:v>
                </c:pt>
                <c:pt idx="97">
                  <c:v>107.6820375394453</c:v>
                </c:pt>
                <c:pt idx="98">
                  <c:v>107.20731491644504</c:v>
                </c:pt>
                <c:pt idx="99">
                  <c:v>106.66035364568347</c:v>
                </c:pt>
                <c:pt idx="100">
                  <c:v>106.04149373796464</c:v>
                </c:pt>
                <c:pt idx="101">
                  <c:v>105.351119898872</c:v>
                </c:pt>
                <c:pt idx="102">
                  <c:v>104.58966128962159</c:v>
                </c:pt>
                <c:pt idx="103">
                  <c:v>103.75759126028008</c:v>
                </c:pt>
                <c:pt idx="104">
                  <c:v>102.85542705551322</c:v>
                </c:pt>
                <c:pt idx="105">
                  <c:v>101.88372949304798</c:v>
                </c:pt>
                <c:pt idx="106">
                  <c:v>100.84310261504811</c:v>
                </c:pt>
                <c:pt idx="107">
                  <c:v>99.734193312619794</c:v>
                </c:pt>
                <c:pt idx="108">
                  <c:v>98.557690923680809</c:v>
                </c:pt>
                <c:pt idx="109">
                  <c:v>97.314326804443354</c:v>
                </c:pt>
                <c:pt idx="110">
                  <c:v>96.004873874776649</c:v>
                </c:pt>
                <c:pt idx="111">
                  <c:v>94.630146137732154</c:v>
                </c:pt>
                <c:pt idx="112">
                  <c:v>93.190998173530048</c:v>
                </c:pt>
                <c:pt idx="113">
                  <c:v>91.688324608321324</c:v>
                </c:pt>
                <c:pt idx="114">
                  <c:v>90.123059558056042</c:v>
                </c:pt>
                <c:pt idx="115">
                  <c:v>88.496176047803246</c:v>
                </c:pt>
                <c:pt idx="116">
                  <c:v>86.808685406883541</c:v>
                </c:pt>
                <c:pt idx="117">
                  <c:v>85.061636640190457</c:v>
                </c:pt>
                <c:pt idx="118">
                  <c:v>83.256115776091235</c:v>
                </c:pt>
                <c:pt idx="119">
                  <c:v>81.393245191312488</c:v>
                </c:pt>
                <c:pt idx="120">
                  <c:v>79.474182913230521</c:v>
                </c:pt>
                <c:pt idx="121">
                  <c:v>77.500121899999812</c:v>
                </c:pt>
                <c:pt idx="122">
                  <c:v>75.472289298967283</c:v>
                </c:pt>
                <c:pt idx="123">
                  <c:v>73.391945683833413</c:v>
                </c:pt>
                <c:pt idx="124">
                  <c:v>71.260384271034184</c:v>
                </c:pt>
                <c:pt idx="125">
                  <c:v>69.078930115831355</c:v>
                </c:pt>
                <c:pt idx="126">
                  <c:v>66.84893928861031</c:v>
                </c:pt>
                <c:pt idx="127">
                  <c:v>64.571798031898012</c:v>
                </c:pt>
                <c:pt idx="128">
                  <c:v>62.248921898624673</c:v>
                </c:pt>
                <c:pt idx="129">
                  <c:v>59.881754872165274</c:v>
                </c:pt>
                <c:pt idx="130">
                  <c:v>57.471768468707353</c:v>
                </c:pt>
                <c:pt idx="131">
                  <c:v>55.020460822503807</c:v>
                </c:pt>
                <c:pt idx="132">
                  <c:v>52.529355754578582</c:v>
                </c:pt>
                <c:pt idx="133">
                  <c:v>50.000001825464786</c:v>
                </c:pt>
                <c:pt idx="134">
                  <c:v>47.433971372563768</c:v>
                </c:pt>
                <c:pt idx="135">
                  <c:v>44.832859532723496</c:v>
                </c:pt>
                <c:pt idx="136">
                  <c:v>42.198283250644259</c:v>
                </c:pt>
                <c:pt idx="137">
                  <c:v>39.531880273727573</c:v>
                </c:pt>
                <c:pt idx="138">
                  <c:v>36.835308133993479</c:v>
                </c:pt>
                <c:pt idx="139">
                  <c:v>34.110243117699014</c:v>
                </c:pt>
                <c:pt idx="140">
                  <c:v>31.358379223298492</c:v>
                </c:pt>
                <c:pt idx="141">
                  <c:v>28.581427108392873</c:v>
                </c:pt>
                <c:pt idx="142">
                  <c:v>25.781113026323638</c:v>
                </c:pt>
                <c:pt idx="143">
                  <c:v>22.959177753071529</c:v>
                </c:pt>
                <c:pt idx="144">
                  <c:v>20.117375505127672</c:v>
                </c:pt>
                <c:pt idx="145">
                  <c:v>17.257472849009325</c:v>
                </c:pt>
                <c:pt idx="146">
                  <c:v>14.381247603098693</c:v>
                </c:pt>
                <c:pt idx="147">
                  <c:v>11.4904877324871</c:v>
                </c:pt>
                <c:pt idx="148">
                  <c:v>8.5869902375114009</c:v>
                </c:pt>
                <c:pt idx="149">
                  <c:v>5.6725600366741151</c:v>
                </c:pt>
                <c:pt idx="150">
                  <c:v>2.7490088446409864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1.9499106062863438</c:v>
                </c:pt>
                <c:pt idx="156">
                  <c:v>0.4353759783197173</c:v>
                </c:pt>
                <c:pt idx="157">
                  <c:v>-1.8969752270526943</c:v>
                </c:pt>
                <c:pt idx="158">
                  <c:v>-4.3589076120530557</c:v>
                </c:pt>
                <c:pt idx="159">
                  <c:v>-6.8839803504483132</c:v>
                </c:pt>
                <c:pt idx="160">
                  <c:v>-9.445701924974987</c:v>
                </c:pt>
                <c:pt idx="161">
                  <c:v>-12.029847191518842</c:v>
                </c:pt>
                <c:pt idx="162">
                  <c:v>-14.627414945166993</c:v>
                </c:pt>
                <c:pt idx="163">
                  <c:v>-17.232056846141056</c:v>
                </c:pt>
                <c:pt idx="164">
                  <c:v>-19.838932677723623</c:v>
                </c:pt>
                <c:pt idx="165">
                  <c:v>-22.444130304605075</c:v>
                </c:pt>
                <c:pt idx="166">
                  <c:v>-25.044343452319694</c:v>
                </c:pt>
                <c:pt idx="167">
                  <c:v>-27.636679898033758</c:v>
                </c:pt>
                <c:pt idx="168">
                  <c:v>-30.218540957437643</c:v>
                </c:pt>
                <c:pt idx="169">
                  <c:v>-32.78754241013354</c:v>
                </c:pt>
                <c:pt idx="170">
                  <c:v>-35.341460734846422</c:v>
                </c:pt>
                <c:pt idx="171">
                  <c:v>-37.87819545249797</c:v>
                </c:pt>
                <c:pt idx="172">
                  <c:v>-40.395742083457577</c:v>
                </c:pt>
                <c:pt idx="173">
                  <c:v>-42.892172311294814</c:v>
                </c:pt>
                <c:pt idx="174">
                  <c:v>-45.365619169152751</c:v>
                </c:pt>
                <c:pt idx="175">
                  <c:v>-47.814265809250514</c:v>
                </c:pt>
                <c:pt idx="176">
                  <c:v>-50.2363368832779</c:v>
                </c:pt>
                <c:pt idx="177">
                  <c:v>-52.630091862955695</c:v>
                </c:pt>
                <c:pt idx="178">
                  <c:v>-54.993819829410697</c:v>
                </c:pt>
                <c:pt idx="179">
                  <c:v>-57.325835394749546</c:v>
                </c:pt>
                <c:pt idx="180">
                  <c:v>-59.624475512051248</c:v>
                </c:pt>
                <c:pt idx="181">
                  <c:v>-61.888096995078456</c:v>
                </c:pt>
                <c:pt idx="182">
                  <c:v>-64.115074615332276</c:v>
                </c:pt>
                <c:pt idx="183">
                  <c:v>-66.30379967749289</c:v>
                </c:pt>
                <c:pt idx="184">
                  <c:v>-68.452678998667324</c:v>
                </c:pt>
                <c:pt idx="185">
                  <c:v>-70.560134234811926</c:v>
                </c:pt>
                <c:pt idx="186">
                  <c:v>-72.62460151099414</c:v>
                </c:pt>
                <c:pt idx="187">
                  <c:v>-74.644531322041644</c:v>
                </c:pt>
                <c:pt idx="188">
                  <c:v>-76.618388677470904</c:v>
                </c:pt>
                <c:pt idx="189">
                  <c:v>-78.544653470010275</c:v>
                </c:pt>
                <c:pt idx="190">
                  <c:v>-80.421821050989195</c:v>
                </c:pt>
                <c:pt idx="191">
                  <c:v>-82.248402998682764</c:v>
                </c:pt>
                <c:pt idx="192">
                  <c:v>-84.022928067629167</c:v>
                </c:pt>
                <c:pt idx="193">
                  <c:v>-85.743943308162585</c:v>
                </c:pt>
                <c:pt idx="194">
                  <c:v>-87.410015346074147</c:v>
                </c:pt>
                <c:pt idx="195">
                  <c:v>-89.019731812542062</c:v>
                </c:pt>
                <c:pt idx="196">
                  <c:v>-90.571702914357161</c:v>
                </c:pt>
                <c:pt idx="197">
                  <c:v>-92.064563134086512</c:v>
                </c:pt>
                <c:pt idx="198">
                  <c:v>-93.496973049239003</c:v>
                </c:pt>
                <c:pt idx="199">
                  <c:v>-94.867621258778129</c:v>
                </c:pt>
                <c:pt idx="200">
                  <c:v>-96.175226404524849</c:v>
                </c:pt>
                <c:pt idx="201">
                  <c:v>-97.418539274155421</c:v>
                </c:pt>
                <c:pt idx="202">
                  <c:v>-98.596344971669311</c:v>
                </c:pt>
                <c:pt idx="203">
                  <c:v>-99.707465140420894</c:v>
                </c:pt>
                <c:pt idx="204">
                  <c:v>-100.75076022311241</c:v>
                </c:pt>
                <c:pt idx="205">
                  <c:v>-101.72513174256733</c:v>
                </c:pt>
                <c:pt idx="206">
                  <c:v>-102.62952458666661</c:v>
                </c:pt>
                <c:pt idx="207">
                  <c:v>-103.46292928056559</c:v>
                </c:pt>
                <c:pt idx="208">
                  <c:v>-104.22438422922602</c:v>
                </c:pt>
                <c:pt idx="209">
                  <c:v>-104.91297791341526</c:v>
                </c:pt>
                <c:pt idx="210">
                  <c:v>-105.527851022645</c:v>
                </c:pt>
                <c:pt idx="211">
                  <c:v>-106.06819850905003</c:v>
                </c:pt>
                <c:pt idx="212">
                  <c:v>-106.53327154693659</c:v>
                </c:pt>
                <c:pt idx="213">
                  <c:v>-106.92237938365012</c:v>
                </c:pt>
                <c:pt idx="214">
                  <c:v>-107.23489106851224</c:v>
                </c:pt>
                <c:pt idx="215">
                  <c:v>-107.47023704783025</c:v>
                </c:pt>
                <c:pt idx="216">
                  <c:v>-107.62791061537467</c:v>
                </c:pt>
                <c:pt idx="217">
                  <c:v>-107.70746920921601</c:v>
                </c:pt>
                <c:pt idx="218">
                  <c:v>-107.70853554738908</c:v>
                </c:pt>
              </c:numCache>
            </c:numRef>
          </c:xVal>
          <c:yVal>
            <c:numRef>
              <c:f>'5LeverTailRectangle'!$BH$6:$BH$224</c:f>
              <c:numCache>
                <c:formatCode>General</c:formatCode>
                <c:ptCount val="219"/>
                <c:pt idx="55">
                  <c:v>0</c:v>
                </c:pt>
                <c:pt idx="56">
                  <c:v>20.207137753148068</c:v>
                </c:pt>
                <c:pt idx="57">
                  <c:v>80</c:v>
                </c:pt>
                <c:pt idx="58">
                  <c:v>65.399417358334091</c:v>
                </c:pt>
                <c:pt idx="59">
                  <c:v>6.4718624751720384</c:v>
                </c:pt>
                <c:pt idx="60">
                  <c:v>0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'5LeverTailRectangle'!$BI$5</c:f>
              <c:strCache>
                <c:ptCount val="1"/>
                <c:pt idx="0">
                  <c:v>R8</c:v>
                </c:pt>
              </c:strCache>
            </c:strRef>
          </c:tx>
          <c:xVal>
            <c:numRef>
              <c:f>'5LeverTailRectangle'!$AY$6:$AY$224</c:f>
              <c:numCache>
                <c:formatCode>General</c:formatCode>
                <c:ptCount val="219"/>
                <c:pt idx="0">
                  <c:v>-62.915103558236275</c:v>
                </c:pt>
                <c:pt idx="1">
                  <c:v>-52.255284346750535</c:v>
                </c:pt>
                <c:pt idx="2">
                  <c:v>-41.617893203520786</c:v>
                </c:pt>
                <c:pt idx="3">
                  <c:v>-31.075616629919871</c:v>
                </c:pt>
                <c:pt idx="4">
                  <c:v>-20.582425716540314</c:v>
                </c:pt>
                <c:pt idx="5">
                  <c:v>-9.9424261892741228</c:v>
                </c:pt>
                <c:pt idx="6">
                  <c:v>1.1408666100856948</c:v>
                </c:pt>
                <c:pt idx="7">
                  <c:v>12.906193769447022</c:v>
                </c:pt>
                <c:pt idx="8">
                  <c:v>25.425910442131688</c:v>
                </c:pt>
                <c:pt idx="9">
                  <c:v>38.668580764638349</c:v>
                </c:pt>
                <c:pt idx="10">
                  <c:v>52.763341810937938</c:v>
                </c:pt>
                <c:pt idx="11">
                  <c:v>50.151091411687077</c:v>
                </c:pt>
                <c:pt idx="12">
                  <c:v>-61.466610306763862</c:v>
                </c:pt>
                <c:pt idx="13">
                  <c:v>-9</c:v>
                </c:pt>
                <c:pt idx="14">
                  <c:v>-40.985662190871238</c:v>
                </c:pt>
                <c:pt idx="15">
                  <c:v>-70</c:v>
                </c:pt>
                <c:pt idx="16">
                  <c:v>-62.915103558236275</c:v>
                </c:pt>
                <c:pt idx="17">
                  <c:v>-6.4586286938894535</c:v>
                </c:pt>
                <c:pt idx="18">
                  <c:v>9</c:v>
                </c:pt>
                <c:pt idx="19">
                  <c:v>-9</c:v>
                </c:pt>
                <c:pt idx="20">
                  <c:v>-40.664497800972853</c:v>
                </c:pt>
                <c:pt idx="21">
                  <c:v>-56</c:v>
                </c:pt>
                <c:pt idx="22">
                  <c:v>-52.255284346750535</c:v>
                </c:pt>
                <c:pt idx="23">
                  <c:v>6.677652173205086</c:v>
                </c:pt>
                <c:pt idx="24">
                  <c:v>9</c:v>
                </c:pt>
                <c:pt idx="25">
                  <c:v>-9</c:v>
                </c:pt>
                <c:pt idx="26">
                  <c:v>-40.435181690601752</c:v>
                </c:pt>
                <c:pt idx="27">
                  <c:v>-42</c:v>
                </c:pt>
                <c:pt idx="28">
                  <c:v>-41.617893203520786</c:v>
                </c:pt>
                <c:pt idx="29">
                  <c:v>17.029172929078673</c:v>
                </c:pt>
                <c:pt idx="30">
                  <c:v>9</c:v>
                </c:pt>
                <c:pt idx="31">
                  <c:v>-9</c:v>
                </c:pt>
                <c:pt idx="32">
                  <c:v>-40.595382389189616</c:v>
                </c:pt>
                <c:pt idx="33">
                  <c:v>-28</c:v>
                </c:pt>
                <c:pt idx="34">
                  <c:v>-31.075616629919871</c:v>
                </c:pt>
                <c:pt idx="35">
                  <c:v>25.581924896199304</c:v>
                </c:pt>
                <c:pt idx="36">
                  <c:v>9</c:v>
                </c:pt>
                <c:pt idx="37">
                  <c:v>-9</c:v>
                </c:pt>
                <c:pt idx="38">
                  <c:v>-40.956600553448808</c:v>
                </c:pt>
                <c:pt idx="39">
                  <c:v>-14</c:v>
                </c:pt>
                <c:pt idx="40">
                  <c:v>-20.582425716540314</c:v>
                </c:pt>
                <c:pt idx="41">
                  <c:v>32.165600148691183</c:v>
                </c:pt>
                <c:pt idx="42">
                  <c:v>9</c:v>
                </c:pt>
                <c:pt idx="43">
                  <c:v>-9</c:v>
                </c:pt>
                <c:pt idx="44">
                  <c:v>-40.71660248941339</c:v>
                </c:pt>
                <c:pt idx="45">
                  <c:v>0</c:v>
                </c:pt>
                <c:pt idx="46">
                  <c:v>-9.9424261892741228</c:v>
                </c:pt>
                <c:pt idx="47">
                  <c:v>36.623816105831878</c:v>
                </c:pt>
                <c:pt idx="48">
                  <c:v>9</c:v>
                </c:pt>
                <c:pt idx="49">
                  <c:v>-9</c:v>
                </c:pt>
                <c:pt idx="50">
                  <c:v>-38.661212930139619</c:v>
                </c:pt>
                <c:pt idx="51">
                  <c:v>14</c:v>
                </c:pt>
                <c:pt idx="52">
                  <c:v>1.1408666100856948</c:v>
                </c:pt>
                <c:pt idx="53">
                  <c:v>39.165215516381885</c:v>
                </c:pt>
                <c:pt idx="54">
                  <c:v>9</c:v>
                </c:pt>
                <c:pt idx="55">
                  <c:v>-9</c:v>
                </c:pt>
                <c:pt idx="56">
                  <c:v>-33.812730277526853</c:v>
                </c:pt>
                <c:pt idx="57">
                  <c:v>28</c:v>
                </c:pt>
                <c:pt idx="58">
                  <c:v>12.906193769447022</c:v>
                </c:pt>
                <c:pt idx="59">
                  <c:v>40.33871401481656</c:v>
                </c:pt>
                <c:pt idx="60">
                  <c:v>9</c:v>
                </c:pt>
                <c:pt idx="61">
                  <c:v>-9</c:v>
                </c:pt>
                <c:pt idx="62">
                  <c:v>-25.874842951302725</c:v>
                </c:pt>
                <c:pt idx="63">
                  <c:v>42</c:v>
                </c:pt>
                <c:pt idx="64">
                  <c:v>25.425910442131688</c:v>
                </c:pt>
                <c:pt idx="65">
                  <c:v>40.756751843001304</c:v>
                </c:pt>
                <c:pt idx="66">
                  <c:v>9</c:v>
                </c:pt>
                <c:pt idx="67">
                  <c:v>-9</c:v>
                </c:pt>
                <c:pt idx="68">
                  <c:v>-14.976288297232923</c:v>
                </c:pt>
                <c:pt idx="69">
                  <c:v>56</c:v>
                </c:pt>
                <c:pt idx="70">
                  <c:v>38.668580764638349</c:v>
                </c:pt>
                <c:pt idx="71">
                  <c:v>40.841808347238583</c:v>
                </c:pt>
                <c:pt idx="72">
                  <c:v>9</c:v>
                </c:pt>
                <c:pt idx="73">
                  <c:v>-9</c:v>
                </c:pt>
                <c:pt idx="74">
                  <c:v>-0.58821925048155776</c:v>
                </c:pt>
                <c:pt idx="75">
                  <c:v>70</c:v>
                </c:pt>
                <c:pt idx="76">
                  <c:v>52.763341810937938</c:v>
                </c:pt>
                <c:pt idx="77">
                  <c:v>40.732715016655298</c:v>
                </c:pt>
                <c:pt idx="78">
                  <c:v>9</c:v>
                </c:pt>
                <c:pt idx="79">
                  <c:v>-9</c:v>
                </c:pt>
                <c:pt idx="80">
                  <c:v>-11.286006599795854</c:v>
                </c:pt>
                <c:pt idx="81">
                  <c:v>70</c:v>
                </c:pt>
                <c:pt idx="82">
                  <c:v>50.151091411687077</c:v>
                </c:pt>
                <c:pt idx="83">
                  <c:v>39.083477722548608</c:v>
                </c:pt>
                <c:pt idx="84">
                  <c:v>9</c:v>
                </c:pt>
                <c:pt idx="85">
                  <c:v>-9</c:v>
                </c:pt>
                <c:pt idx="86">
                  <c:v>-35.05373744672503</c:v>
                </c:pt>
                <c:pt idx="87">
                  <c:v>-70</c:v>
                </c:pt>
                <c:pt idx="88">
                  <c:v>-61.466610306763862</c:v>
                </c:pt>
                <c:pt idx="89">
                  <c:v>2.8488307653754443</c:v>
                </c:pt>
                <c:pt idx="90">
                  <c:v>9</c:v>
                </c:pt>
                <c:pt idx="91">
                  <c:v>109</c:v>
                </c:pt>
                <c:pt idx="92">
                  <c:v>108.96332347734752</c:v>
                </c:pt>
                <c:pt idx="93">
                  <c:v>108.8533167088361</c:v>
                </c:pt>
                <c:pt idx="94">
                  <c:v>108.67004807863076</c:v>
                </c:pt>
                <c:pt idx="95">
                  <c:v>108.41363151310553</c:v>
                </c:pt>
                <c:pt idx="96">
                  <c:v>108.08422641002265</c:v>
                </c:pt>
                <c:pt idx="97">
                  <c:v>107.6820375394453</c:v>
                </c:pt>
                <c:pt idx="98">
                  <c:v>107.20731491644504</c:v>
                </c:pt>
                <c:pt idx="99">
                  <c:v>106.66035364568347</c:v>
                </c:pt>
                <c:pt idx="100">
                  <c:v>106.04149373796464</c:v>
                </c:pt>
                <c:pt idx="101">
                  <c:v>105.351119898872</c:v>
                </c:pt>
                <c:pt idx="102">
                  <c:v>104.58966128962159</c:v>
                </c:pt>
                <c:pt idx="103">
                  <c:v>103.75759126028008</c:v>
                </c:pt>
                <c:pt idx="104">
                  <c:v>102.85542705551322</c:v>
                </c:pt>
                <c:pt idx="105">
                  <c:v>101.88372949304798</c:v>
                </c:pt>
                <c:pt idx="106">
                  <c:v>100.84310261504811</c:v>
                </c:pt>
                <c:pt idx="107">
                  <c:v>99.734193312619794</c:v>
                </c:pt>
                <c:pt idx="108">
                  <c:v>98.557690923680809</c:v>
                </c:pt>
                <c:pt idx="109">
                  <c:v>97.314326804443354</c:v>
                </c:pt>
                <c:pt idx="110">
                  <c:v>96.004873874776649</c:v>
                </c:pt>
                <c:pt idx="111">
                  <c:v>94.630146137732154</c:v>
                </c:pt>
                <c:pt idx="112">
                  <c:v>93.190998173530048</c:v>
                </c:pt>
                <c:pt idx="113">
                  <c:v>91.688324608321324</c:v>
                </c:pt>
                <c:pt idx="114">
                  <c:v>90.123059558056042</c:v>
                </c:pt>
                <c:pt idx="115">
                  <c:v>88.496176047803246</c:v>
                </c:pt>
                <c:pt idx="116">
                  <c:v>86.808685406883541</c:v>
                </c:pt>
                <c:pt idx="117">
                  <c:v>85.061636640190457</c:v>
                </c:pt>
                <c:pt idx="118">
                  <c:v>83.256115776091235</c:v>
                </c:pt>
                <c:pt idx="119">
                  <c:v>81.393245191312488</c:v>
                </c:pt>
                <c:pt idx="120">
                  <c:v>79.474182913230521</c:v>
                </c:pt>
                <c:pt idx="121">
                  <c:v>77.500121899999812</c:v>
                </c:pt>
                <c:pt idx="122">
                  <c:v>75.472289298967283</c:v>
                </c:pt>
                <c:pt idx="123">
                  <c:v>73.391945683833413</c:v>
                </c:pt>
                <c:pt idx="124">
                  <c:v>71.260384271034184</c:v>
                </c:pt>
                <c:pt idx="125">
                  <c:v>69.078930115831355</c:v>
                </c:pt>
                <c:pt idx="126">
                  <c:v>66.84893928861031</c:v>
                </c:pt>
                <c:pt idx="127">
                  <c:v>64.571798031898012</c:v>
                </c:pt>
                <c:pt idx="128">
                  <c:v>62.248921898624673</c:v>
                </c:pt>
                <c:pt idx="129">
                  <c:v>59.881754872165274</c:v>
                </c:pt>
                <c:pt idx="130">
                  <c:v>57.471768468707353</c:v>
                </c:pt>
                <c:pt idx="131">
                  <c:v>55.020460822503807</c:v>
                </c:pt>
                <c:pt idx="132">
                  <c:v>52.529355754578582</c:v>
                </c:pt>
                <c:pt idx="133">
                  <c:v>50.000001825464786</c:v>
                </c:pt>
                <c:pt idx="134">
                  <c:v>47.433971372563768</c:v>
                </c:pt>
                <c:pt idx="135">
                  <c:v>44.832859532723496</c:v>
                </c:pt>
                <c:pt idx="136">
                  <c:v>42.198283250644259</c:v>
                </c:pt>
                <c:pt idx="137">
                  <c:v>39.531880273727573</c:v>
                </c:pt>
                <c:pt idx="138">
                  <c:v>36.835308133993479</c:v>
                </c:pt>
                <c:pt idx="139">
                  <c:v>34.110243117699014</c:v>
                </c:pt>
                <c:pt idx="140">
                  <c:v>31.358379223298492</c:v>
                </c:pt>
                <c:pt idx="141">
                  <c:v>28.581427108392873</c:v>
                </c:pt>
                <c:pt idx="142">
                  <c:v>25.781113026323638</c:v>
                </c:pt>
                <c:pt idx="143">
                  <c:v>22.959177753071529</c:v>
                </c:pt>
                <c:pt idx="144">
                  <c:v>20.117375505127672</c:v>
                </c:pt>
                <c:pt idx="145">
                  <c:v>17.257472849009325</c:v>
                </c:pt>
                <c:pt idx="146">
                  <c:v>14.381247603098693</c:v>
                </c:pt>
                <c:pt idx="147">
                  <c:v>11.4904877324871</c:v>
                </c:pt>
                <c:pt idx="148">
                  <c:v>8.5869902375114009</c:v>
                </c:pt>
                <c:pt idx="149">
                  <c:v>5.6725600366741151</c:v>
                </c:pt>
                <c:pt idx="150">
                  <c:v>2.7490088446409864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1.9499106062863438</c:v>
                </c:pt>
                <c:pt idx="156">
                  <c:v>0.4353759783197173</c:v>
                </c:pt>
                <c:pt idx="157">
                  <c:v>-1.8969752270526943</c:v>
                </c:pt>
                <c:pt idx="158">
                  <c:v>-4.3589076120530557</c:v>
                </c:pt>
                <c:pt idx="159">
                  <c:v>-6.8839803504483132</c:v>
                </c:pt>
                <c:pt idx="160">
                  <c:v>-9.445701924974987</c:v>
                </c:pt>
                <c:pt idx="161">
                  <c:v>-12.029847191518842</c:v>
                </c:pt>
                <c:pt idx="162">
                  <c:v>-14.627414945166993</c:v>
                </c:pt>
                <c:pt idx="163">
                  <c:v>-17.232056846141056</c:v>
                </c:pt>
                <c:pt idx="164">
                  <c:v>-19.838932677723623</c:v>
                </c:pt>
                <c:pt idx="165">
                  <c:v>-22.444130304605075</c:v>
                </c:pt>
                <c:pt idx="166">
                  <c:v>-25.044343452319694</c:v>
                </c:pt>
                <c:pt idx="167">
                  <c:v>-27.636679898033758</c:v>
                </c:pt>
                <c:pt idx="168">
                  <c:v>-30.218540957437643</c:v>
                </c:pt>
                <c:pt idx="169">
                  <c:v>-32.78754241013354</c:v>
                </c:pt>
                <c:pt idx="170">
                  <c:v>-35.341460734846422</c:v>
                </c:pt>
                <c:pt idx="171">
                  <c:v>-37.87819545249797</c:v>
                </c:pt>
                <c:pt idx="172">
                  <c:v>-40.395742083457577</c:v>
                </c:pt>
                <c:pt idx="173">
                  <c:v>-42.892172311294814</c:v>
                </c:pt>
                <c:pt idx="174">
                  <c:v>-45.365619169152751</c:v>
                </c:pt>
                <c:pt idx="175">
                  <c:v>-47.814265809250514</c:v>
                </c:pt>
                <c:pt idx="176">
                  <c:v>-50.2363368832779</c:v>
                </c:pt>
                <c:pt idx="177">
                  <c:v>-52.630091862955695</c:v>
                </c:pt>
                <c:pt idx="178">
                  <c:v>-54.993819829410697</c:v>
                </c:pt>
                <c:pt idx="179">
                  <c:v>-57.325835394749546</c:v>
                </c:pt>
                <c:pt idx="180">
                  <c:v>-59.624475512051248</c:v>
                </c:pt>
                <c:pt idx="181">
                  <c:v>-61.888096995078456</c:v>
                </c:pt>
                <c:pt idx="182">
                  <c:v>-64.115074615332276</c:v>
                </c:pt>
                <c:pt idx="183">
                  <c:v>-66.30379967749289</c:v>
                </c:pt>
                <c:pt idx="184">
                  <c:v>-68.452678998667324</c:v>
                </c:pt>
                <c:pt idx="185">
                  <c:v>-70.560134234811926</c:v>
                </c:pt>
                <c:pt idx="186">
                  <c:v>-72.62460151099414</c:v>
                </c:pt>
                <c:pt idx="187">
                  <c:v>-74.644531322041644</c:v>
                </c:pt>
                <c:pt idx="188">
                  <c:v>-76.618388677470904</c:v>
                </c:pt>
                <c:pt idx="189">
                  <c:v>-78.544653470010275</c:v>
                </c:pt>
                <c:pt idx="190">
                  <c:v>-80.421821050989195</c:v>
                </c:pt>
                <c:pt idx="191">
                  <c:v>-82.248402998682764</c:v>
                </c:pt>
                <c:pt idx="192">
                  <c:v>-84.022928067629167</c:v>
                </c:pt>
                <c:pt idx="193">
                  <c:v>-85.743943308162585</c:v>
                </c:pt>
                <c:pt idx="194">
                  <c:v>-87.410015346074147</c:v>
                </c:pt>
                <c:pt idx="195">
                  <c:v>-89.019731812542062</c:v>
                </c:pt>
                <c:pt idx="196">
                  <c:v>-90.571702914357161</c:v>
                </c:pt>
                <c:pt idx="197">
                  <c:v>-92.064563134086512</c:v>
                </c:pt>
                <c:pt idx="198">
                  <c:v>-93.496973049239003</c:v>
                </c:pt>
                <c:pt idx="199">
                  <c:v>-94.867621258778129</c:v>
                </c:pt>
                <c:pt idx="200">
                  <c:v>-96.175226404524849</c:v>
                </c:pt>
                <c:pt idx="201">
                  <c:v>-97.418539274155421</c:v>
                </c:pt>
                <c:pt idx="202">
                  <c:v>-98.596344971669311</c:v>
                </c:pt>
                <c:pt idx="203">
                  <c:v>-99.707465140420894</c:v>
                </c:pt>
                <c:pt idx="204">
                  <c:v>-100.75076022311241</c:v>
                </c:pt>
                <c:pt idx="205">
                  <c:v>-101.72513174256733</c:v>
                </c:pt>
                <c:pt idx="206">
                  <c:v>-102.62952458666661</c:v>
                </c:pt>
                <c:pt idx="207">
                  <c:v>-103.46292928056559</c:v>
                </c:pt>
                <c:pt idx="208">
                  <c:v>-104.22438422922602</c:v>
                </c:pt>
                <c:pt idx="209">
                  <c:v>-104.91297791341526</c:v>
                </c:pt>
                <c:pt idx="210">
                  <c:v>-105.527851022645</c:v>
                </c:pt>
                <c:pt idx="211">
                  <c:v>-106.06819850905003</c:v>
                </c:pt>
                <c:pt idx="212">
                  <c:v>-106.53327154693659</c:v>
                </c:pt>
                <c:pt idx="213">
                  <c:v>-106.92237938365012</c:v>
                </c:pt>
                <c:pt idx="214">
                  <c:v>-107.23489106851224</c:v>
                </c:pt>
                <c:pt idx="215">
                  <c:v>-107.47023704783025</c:v>
                </c:pt>
                <c:pt idx="216">
                  <c:v>-107.62791061537467</c:v>
                </c:pt>
                <c:pt idx="217">
                  <c:v>-107.70746920921601</c:v>
                </c:pt>
                <c:pt idx="218">
                  <c:v>-107.70853554738908</c:v>
                </c:pt>
              </c:numCache>
            </c:numRef>
          </c:xVal>
          <c:yVal>
            <c:numRef>
              <c:f>'5LeverTailRectangle'!$BI$6:$BI$224</c:f>
              <c:numCache>
                <c:formatCode>General</c:formatCode>
                <c:ptCount val="219"/>
                <c:pt idx="61">
                  <c:v>0</c:v>
                </c:pt>
                <c:pt idx="62">
                  <c:v>27.188962381247077</c:v>
                </c:pt>
                <c:pt idx="63">
                  <c:v>80</c:v>
                </c:pt>
                <c:pt idx="64">
                  <c:v>67.104281511704798</c:v>
                </c:pt>
                <c:pt idx="65">
                  <c:v>3.9381102551900797</c:v>
                </c:pt>
                <c:pt idx="66">
                  <c:v>0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'5LeverTailRectangle'!$BJ$5</c:f>
              <c:strCache>
                <c:ptCount val="1"/>
                <c:pt idx="0">
                  <c:v>R9</c:v>
                </c:pt>
              </c:strCache>
            </c:strRef>
          </c:tx>
          <c:xVal>
            <c:numRef>
              <c:f>'5LeverTailRectangle'!$AY$6:$AY$224</c:f>
              <c:numCache>
                <c:formatCode>General</c:formatCode>
                <c:ptCount val="219"/>
                <c:pt idx="0">
                  <c:v>-62.915103558236275</c:v>
                </c:pt>
                <c:pt idx="1">
                  <c:v>-52.255284346750535</c:v>
                </c:pt>
                <c:pt idx="2">
                  <c:v>-41.617893203520786</c:v>
                </c:pt>
                <c:pt idx="3">
                  <c:v>-31.075616629919871</c:v>
                </c:pt>
                <c:pt idx="4">
                  <c:v>-20.582425716540314</c:v>
                </c:pt>
                <c:pt idx="5">
                  <c:v>-9.9424261892741228</c:v>
                </c:pt>
                <c:pt idx="6">
                  <c:v>1.1408666100856948</c:v>
                </c:pt>
                <c:pt idx="7">
                  <c:v>12.906193769447022</c:v>
                </c:pt>
                <c:pt idx="8">
                  <c:v>25.425910442131688</c:v>
                </c:pt>
                <c:pt idx="9">
                  <c:v>38.668580764638349</c:v>
                </c:pt>
                <c:pt idx="10">
                  <c:v>52.763341810937938</c:v>
                </c:pt>
                <c:pt idx="11">
                  <c:v>50.151091411687077</c:v>
                </c:pt>
                <c:pt idx="12">
                  <c:v>-61.466610306763862</c:v>
                </c:pt>
                <c:pt idx="13">
                  <c:v>-9</c:v>
                </c:pt>
                <c:pt idx="14">
                  <c:v>-40.985662190871238</c:v>
                </c:pt>
                <c:pt idx="15">
                  <c:v>-70</c:v>
                </c:pt>
                <c:pt idx="16">
                  <c:v>-62.915103558236275</c:v>
                </c:pt>
                <c:pt idx="17">
                  <c:v>-6.4586286938894535</c:v>
                </c:pt>
                <c:pt idx="18">
                  <c:v>9</c:v>
                </c:pt>
                <c:pt idx="19">
                  <c:v>-9</c:v>
                </c:pt>
                <c:pt idx="20">
                  <c:v>-40.664497800972853</c:v>
                </c:pt>
                <c:pt idx="21">
                  <c:v>-56</c:v>
                </c:pt>
                <c:pt idx="22">
                  <c:v>-52.255284346750535</c:v>
                </c:pt>
                <c:pt idx="23">
                  <c:v>6.677652173205086</c:v>
                </c:pt>
                <c:pt idx="24">
                  <c:v>9</c:v>
                </c:pt>
                <c:pt idx="25">
                  <c:v>-9</c:v>
                </c:pt>
                <c:pt idx="26">
                  <c:v>-40.435181690601752</c:v>
                </c:pt>
                <c:pt idx="27">
                  <c:v>-42</c:v>
                </c:pt>
                <c:pt idx="28">
                  <c:v>-41.617893203520786</c:v>
                </c:pt>
                <c:pt idx="29">
                  <c:v>17.029172929078673</c:v>
                </c:pt>
                <c:pt idx="30">
                  <c:v>9</c:v>
                </c:pt>
                <c:pt idx="31">
                  <c:v>-9</c:v>
                </c:pt>
                <c:pt idx="32">
                  <c:v>-40.595382389189616</c:v>
                </c:pt>
                <c:pt idx="33">
                  <c:v>-28</c:v>
                </c:pt>
                <c:pt idx="34">
                  <c:v>-31.075616629919871</c:v>
                </c:pt>
                <c:pt idx="35">
                  <c:v>25.581924896199304</c:v>
                </c:pt>
                <c:pt idx="36">
                  <c:v>9</c:v>
                </c:pt>
                <c:pt idx="37">
                  <c:v>-9</c:v>
                </c:pt>
                <c:pt idx="38">
                  <c:v>-40.956600553448808</c:v>
                </c:pt>
                <c:pt idx="39">
                  <c:v>-14</c:v>
                </c:pt>
                <c:pt idx="40">
                  <c:v>-20.582425716540314</c:v>
                </c:pt>
                <c:pt idx="41">
                  <c:v>32.165600148691183</c:v>
                </c:pt>
                <c:pt idx="42">
                  <c:v>9</c:v>
                </c:pt>
                <c:pt idx="43">
                  <c:v>-9</c:v>
                </c:pt>
                <c:pt idx="44">
                  <c:v>-40.71660248941339</c:v>
                </c:pt>
                <c:pt idx="45">
                  <c:v>0</c:v>
                </c:pt>
                <c:pt idx="46">
                  <c:v>-9.9424261892741228</c:v>
                </c:pt>
                <c:pt idx="47">
                  <c:v>36.623816105831878</c:v>
                </c:pt>
                <c:pt idx="48">
                  <c:v>9</c:v>
                </c:pt>
                <c:pt idx="49">
                  <c:v>-9</c:v>
                </c:pt>
                <c:pt idx="50">
                  <c:v>-38.661212930139619</c:v>
                </c:pt>
                <c:pt idx="51">
                  <c:v>14</c:v>
                </c:pt>
                <c:pt idx="52">
                  <c:v>1.1408666100856948</c:v>
                </c:pt>
                <c:pt idx="53">
                  <c:v>39.165215516381885</c:v>
                </c:pt>
                <c:pt idx="54">
                  <c:v>9</c:v>
                </c:pt>
                <c:pt idx="55">
                  <c:v>-9</c:v>
                </c:pt>
                <c:pt idx="56">
                  <c:v>-33.812730277526853</c:v>
                </c:pt>
                <c:pt idx="57">
                  <c:v>28</c:v>
                </c:pt>
                <c:pt idx="58">
                  <c:v>12.906193769447022</c:v>
                </c:pt>
                <c:pt idx="59">
                  <c:v>40.33871401481656</c:v>
                </c:pt>
                <c:pt idx="60">
                  <c:v>9</c:v>
                </c:pt>
                <c:pt idx="61">
                  <c:v>-9</c:v>
                </c:pt>
                <c:pt idx="62">
                  <c:v>-25.874842951302725</c:v>
                </c:pt>
                <c:pt idx="63">
                  <c:v>42</c:v>
                </c:pt>
                <c:pt idx="64">
                  <c:v>25.425910442131688</c:v>
                </c:pt>
                <c:pt idx="65">
                  <c:v>40.756751843001304</c:v>
                </c:pt>
                <c:pt idx="66">
                  <c:v>9</c:v>
                </c:pt>
                <c:pt idx="67">
                  <c:v>-9</c:v>
                </c:pt>
                <c:pt idx="68">
                  <c:v>-14.976288297232923</c:v>
                </c:pt>
                <c:pt idx="69">
                  <c:v>56</c:v>
                </c:pt>
                <c:pt idx="70">
                  <c:v>38.668580764638349</c:v>
                </c:pt>
                <c:pt idx="71">
                  <c:v>40.841808347238583</c:v>
                </c:pt>
                <c:pt idx="72">
                  <c:v>9</c:v>
                </c:pt>
                <c:pt idx="73">
                  <c:v>-9</c:v>
                </c:pt>
                <c:pt idx="74">
                  <c:v>-0.58821925048155776</c:v>
                </c:pt>
                <c:pt idx="75">
                  <c:v>70</c:v>
                </c:pt>
                <c:pt idx="76">
                  <c:v>52.763341810937938</c:v>
                </c:pt>
                <c:pt idx="77">
                  <c:v>40.732715016655298</c:v>
                </c:pt>
                <c:pt idx="78">
                  <c:v>9</c:v>
                </c:pt>
                <c:pt idx="79">
                  <c:v>-9</c:v>
                </c:pt>
                <c:pt idx="80">
                  <c:v>-11.286006599795854</c:v>
                </c:pt>
                <c:pt idx="81">
                  <c:v>70</c:v>
                </c:pt>
                <c:pt idx="82">
                  <c:v>50.151091411687077</c:v>
                </c:pt>
                <c:pt idx="83">
                  <c:v>39.083477722548608</c:v>
                </c:pt>
                <c:pt idx="84">
                  <c:v>9</c:v>
                </c:pt>
                <c:pt idx="85">
                  <c:v>-9</c:v>
                </c:pt>
                <c:pt idx="86">
                  <c:v>-35.05373744672503</c:v>
                </c:pt>
                <c:pt idx="87">
                  <c:v>-70</c:v>
                </c:pt>
                <c:pt idx="88">
                  <c:v>-61.466610306763862</c:v>
                </c:pt>
                <c:pt idx="89">
                  <c:v>2.8488307653754443</c:v>
                </c:pt>
                <c:pt idx="90">
                  <c:v>9</c:v>
                </c:pt>
                <c:pt idx="91">
                  <c:v>109</c:v>
                </c:pt>
                <c:pt idx="92">
                  <c:v>108.96332347734752</c:v>
                </c:pt>
                <c:pt idx="93">
                  <c:v>108.8533167088361</c:v>
                </c:pt>
                <c:pt idx="94">
                  <c:v>108.67004807863076</c:v>
                </c:pt>
                <c:pt idx="95">
                  <c:v>108.41363151310553</c:v>
                </c:pt>
                <c:pt idx="96">
                  <c:v>108.08422641002265</c:v>
                </c:pt>
                <c:pt idx="97">
                  <c:v>107.6820375394453</c:v>
                </c:pt>
                <c:pt idx="98">
                  <c:v>107.20731491644504</c:v>
                </c:pt>
                <c:pt idx="99">
                  <c:v>106.66035364568347</c:v>
                </c:pt>
                <c:pt idx="100">
                  <c:v>106.04149373796464</c:v>
                </c:pt>
                <c:pt idx="101">
                  <c:v>105.351119898872</c:v>
                </c:pt>
                <c:pt idx="102">
                  <c:v>104.58966128962159</c:v>
                </c:pt>
                <c:pt idx="103">
                  <c:v>103.75759126028008</c:v>
                </c:pt>
                <c:pt idx="104">
                  <c:v>102.85542705551322</c:v>
                </c:pt>
                <c:pt idx="105">
                  <c:v>101.88372949304798</c:v>
                </c:pt>
                <c:pt idx="106">
                  <c:v>100.84310261504811</c:v>
                </c:pt>
                <c:pt idx="107">
                  <c:v>99.734193312619794</c:v>
                </c:pt>
                <c:pt idx="108">
                  <c:v>98.557690923680809</c:v>
                </c:pt>
                <c:pt idx="109">
                  <c:v>97.314326804443354</c:v>
                </c:pt>
                <c:pt idx="110">
                  <c:v>96.004873874776649</c:v>
                </c:pt>
                <c:pt idx="111">
                  <c:v>94.630146137732154</c:v>
                </c:pt>
                <c:pt idx="112">
                  <c:v>93.190998173530048</c:v>
                </c:pt>
                <c:pt idx="113">
                  <c:v>91.688324608321324</c:v>
                </c:pt>
                <c:pt idx="114">
                  <c:v>90.123059558056042</c:v>
                </c:pt>
                <c:pt idx="115">
                  <c:v>88.496176047803246</c:v>
                </c:pt>
                <c:pt idx="116">
                  <c:v>86.808685406883541</c:v>
                </c:pt>
                <c:pt idx="117">
                  <c:v>85.061636640190457</c:v>
                </c:pt>
                <c:pt idx="118">
                  <c:v>83.256115776091235</c:v>
                </c:pt>
                <c:pt idx="119">
                  <c:v>81.393245191312488</c:v>
                </c:pt>
                <c:pt idx="120">
                  <c:v>79.474182913230521</c:v>
                </c:pt>
                <c:pt idx="121">
                  <c:v>77.500121899999812</c:v>
                </c:pt>
                <c:pt idx="122">
                  <c:v>75.472289298967283</c:v>
                </c:pt>
                <c:pt idx="123">
                  <c:v>73.391945683833413</c:v>
                </c:pt>
                <c:pt idx="124">
                  <c:v>71.260384271034184</c:v>
                </c:pt>
                <c:pt idx="125">
                  <c:v>69.078930115831355</c:v>
                </c:pt>
                <c:pt idx="126">
                  <c:v>66.84893928861031</c:v>
                </c:pt>
                <c:pt idx="127">
                  <c:v>64.571798031898012</c:v>
                </c:pt>
                <c:pt idx="128">
                  <c:v>62.248921898624673</c:v>
                </c:pt>
                <c:pt idx="129">
                  <c:v>59.881754872165274</c:v>
                </c:pt>
                <c:pt idx="130">
                  <c:v>57.471768468707353</c:v>
                </c:pt>
                <c:pt idx="131">
                  <c:v>55.020460822503807</c:v>
                </c:pt>
                <c:pt idx="132">
                  <c:v>52.529355754578582</c:v>
                </c:pt>
                <c:pt idx="133">
                  <c:v>50.000001825464786</c:v>
                </c:pt>
                <c:pt idx="134">
                  <c:v>47.433971372563768</c:v>
                </c:pt>
                <c:pt idx="135">
                  <c:v>44.832859532723496</c:v>
                </c:pt>
                <c:pt idx="136">
                  <c:v>42.198283250644259</c:v>
                </c:pt>
                <c:pt idx="137">
                  <c:v>39.531880273727573</c:v>
                </c:pt>
                <c:pt idx="138">
                  <c:v>36.835308133993479</c:v>
                </c:pt>
                <c:pt idx="139">
                  <c:v>34.110243117699014</c:v>
                </c:pt>
                <c:pt idx="140">
                  <c:v>31.358379223298492</c:v>
                </c:pt>
                <c:pt idx="141">
                  <c:v>28.581427108392873</c:v>
                </c:pt>
                <c:pt idx="142">
                  <c:v>25.781113026323638</c:v>
                </c:pt>
                <c:pt idx="143">
                  <c:v>22.959177753071529</c:v>
                </c:pt>
                <c:pt idx="144">
                  <c:v>20.117375505127672</c:v>
                </c:pt>
                <c:pt idx="145">
                  <c:v>17.257472849009325</c:v>
                </c:pt>
                <c:pt idx="146">
                  <c:v>14.381247603098693</c:v>
                </c:pt>
                <c:pt idx="147">
                  <c:v>11.4904877324871</c:v>
                </c:pt>
                <c:pt idx="148">
                  <c:v>8.5869902375114009</c:v>
                </c:pt>
                <c:pt idx="149">
                  <c:v>5.6725600366741151</c:v>
                </c:pt>
                <c:pt idx="150">
                  <c:v>2.7490088446409864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1.9499106062863438</c:v>
                </c:pt>
                <c:pt idx="156">
                  <c:v>0.4353759783197173</c:v>
                </c:pt>
                <c:pt idx="157">
                  <c:v>-1.8969752270526943</c:v>
                </c:pt>
                <c:pt idx="158">
                  <c:v>-4.3589076120530557</c:v>
                </c:pt>
                <c:pt idx="159">
                  <c:v>-6.8839803504483132</c:v>
                </c:pt>
                <c:pt idx="160">
                  <c:v>-9.445701924974987</c:v>
                </c:pt>
                <c:pt idx="161">
                  <c:v>-12.029847191518842</c:v>
                </c:pt>
                <c:pt idx="162">
                  <c:v>-14.627414945166993</c:v>
                </c:pt>
                <c:pt idx="163">
                  <c:v>-17.232056846141056</c:v>
                </c:pt>
                <c:pt idx="164">
                  <c:v>-19.838932677723623</c:v>
                </c:pt>
                <c:pt idx="165">
                  <c:v>-22.444130304605075</c:v>
                </c:pt>
                <c:pt idx="166">
                  <c:v>-25.044343452319694</c:v>
                </c:pt>
                <c:pt idx="167">
                  <c:v>-27.636679898033758</c:v>
                </c:pt>
                <c:pt idx="168">
                  <c:v>-30.218540957437643</c:v>
                </c:pt>
                <c:pt idx="169">
                  <c:v>-32.78754241013354</c:v>
                </c:pt>
                <c:pt idx="170">
                  <c:v>-35.341460734846422</c:v>
                </c:pt>
                <c:pt idx="171">
                  <c:v>-37.87819545249797</c:v>
                </c:pt>
                <c:pt idx="172">
                  <c:v>-40.395742083457577</c:v>
                </c:pt>
                <c:pt idx="173">
                  <c:v>-42.892172311294814</c:v>
                </c:pt>
                <c:pt idx="174">
                  <c:v>-45.365619169152751</c:v>
                </c:pt>
                <c:pt idx="175">
                  <c:v>-47.814265809250514</c:v>
                </c:pt>
                <c:pt idx="176">
                  <c:v>-50.2363368832779</c:v>
                </c:pt>
                <c:pt idx="177">
                  <c:v>-52.630091862955695</c:v>
                </c:pt>
                <c:pt idx="178">
                  <c:v>-54.993819829410697</c:v>
                </c:pt>
                <c:pt idx="179">
                  <c:v>-57.325835394749546</c:v>
                </c:pt>
                <c:pt idx="180">
                  <c:v>-59.624475512051248</c:v>
                </c:pt>
                <c:pt idx="181">
                  <c:v>-61.888096995078456</c:v>
                </c:pt>
                <c:pt idx="182">
                  <c:v>-64.115074615332276</c:v>
                </c:pt>
                <c:pt idx="183">
                  <c:v>-66.30379967749289</c:v>
                </c:pt>
                <c:pt idx="184">
                  <c:v>-68.452678998667324</c:v>
                </c:pt>
                <c:pt idx="185">
                  <c:v>-70.560134234811926</c:v>
                </c:pt>
                <c:pt idx="186">
                  <c:v>-72.62460151099414</c:v>
                </c:pt>
                <c:pt idx="187">
                  <c:v>-74.644531322041644</c:v>
                </c:pt>
                <c:pt idx="188">
                  <c:v>-76.618388677470904</c:v>
                </c:pt>
                <c:pt idx="189">
                  <c:v>-78.544653470010275</c:v>
                </c:pt>
                <c:pt idx="190">
                  <c:v>-80.421821050989195</c:v>
                </c:pt>
                <c:pt idx="191">
                  <c:v>-82.248402998682764</c:v>
                </c:pt>
                <c:pt idx="192">
                  <c:v>-84.022928067629167</c:v>
                </c:pt>
                <c:pt idx="193">
                  <c:v>-85.743943308162585</c:v>
                </c:pt>
                <c:pt idx="194">
                  <c:v>-87.410015346074147</c:v>
                </c:pt>
                <c:pt idx="195">
                  <c:v>-89.019731812542062</c:v>
                </c:pt>
                <c:pt idx="196">
                  <c:v>-90.571702914357161</c:v>
                </c:pt>
                <c:pt idx="197">
                  <c:v>-92.064563134086512</c:v>
                </c:pt>
                <c:pt idx="198">
                  <c:v>-93.496973049239003</c:v>
                </c:pt>
                <c:pt idx="199">
                  <c:v>-94.867621258778129</c:v>
                </c:pt>
                <c:pt idx="200">
                  <c:v>-96.175226404524849</c:v>
                </c:pt>
                <c:pt idx="201">
                  <c:v>-97.418539274155421</c:v>
                </c:pt>
                <c:pt idx="202">
                  <c:v>-98.596344971669311</c:v>
                </c:pt>
                <c:pt idx="203">
                  <c:v>-99.707465140420894</c:v>
                </c:pt>
                <c:pt idx="204">
                  <c:v>-100.75076022311241</c:v>
                </c:pt>
                <c:pt idx="205">
                  <c:v>-101.72513174256733</c:v>
                </c:pt>
                <c:pt idx="206">
                  <c:v>-102.62952458666661</c:v>
                </c:pt>
                <c:pt idx="207">
                  <c:v>-103.46292928056559</c:v>
                </c:pt>
                <c:pt idx="208">
                  <c:v>-104.22438422922602</c:v>
                </c:pt>
                <c:pt idx="209">
                  <c:v>-104.91297791341526</c:v>
                </c:pt>
                <c:pt idx="210">
                  <c:v>-105.527851022645</c:v>
                </c:pt>
                <c:pt idx="211">
                  <c:v>-106.06819850905003</c:v>
                </c:pt>
                <c:pt idx="212">
                  <c:v>-106.53327154693659</c:v>
                </c:pt>
                <c:pt idx="213">
                  <c:v>-106.92237938365012</c:v>
                </c:pt>
                <c:pt idx="214">
                  <c:v>-107.23489106851224</c:v>
                </c:pt>
                <c:pt idx="215">
                  <c:v>-107.47023704783025</c:v>
                </c:pt>
                <c:pt idx="216">
                  <c:v>-107.62791061537467</c:v>
                </c:pt>
                <c:pt idx="217">
                  <c:v>-107.70746920921601</c:v>
                </c:pt>
                <c:pt idx="218">
                  <c:v>-107.70853554738908</c:v>
                </c:pt>
              </c:numCache>
            </c:numRef>
          </c:xVal>
          <c:yVal>
            <c:numRef>
              <c:f>'5LeverTailRectangle'!$BJ$6:$BJ$224</c:f>
              <c:numCache>
                <c:formatCode>General</c:formatCode>
                <c:ptCount val="219"/>
                <c:pt idx="67">
                  <c:v>0</c:v>
                </c:pt>
                <c:pt idx="68">
                  <c:v>31.436984241309737</c:v>
                </c:pt>
                <c:pt idx="69">
                  <c:v>80</c:v>
                </c:pt>
                <c:pt idx="70">
                  <c:v>68.141589175205283</c:v>
                </c:pt>
                <c:pt idx="71">
                  <c:v>3.1779303292751959</c:v>
                </c:pt>
                <c:pt idx="72">
                  <c:v>0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'5LeverTailRectangle'!$BK$5</c:f>
              <c:strCache>
                <c:ptCount val="1"/>
                <c:pt idx="0">
                  <c:v>R10</c:v>
                </c:pt>
              </c:strCache>
            </c:strRef>
          </c:tx>
          <c:xVal>
            <c:numRef>
              <c:f>'5LeverTailRectangle'!$AY$6:$AY$224</c:f>
              <c:numCache>
                <c:formatCode>General</c:formatCode>
                <c:ptCount val="219"/>
                <c:pt idx="0">
                  <c:v>-62.915103558236275</c:v>
                </c:pt>
                <c:pt idx="1">
                  <c:v>-52.255284346750535</c:v>
                </c:pt>
                <c:pt idx="2">
                  <c:v>-41.617893203520786</c:v>
                </c:pt>
                <c:pt idx="3">
                  <c:v>-31.075616629919871</c:v>
                </c:pt>
                <c:pt idx="4">
                  <c:v>-20.582425716540314</c:v>
                </c:pt>
                <c:pt idx="5">
                  <c:v>-9.9424261892741228</c:v>
                </c:pt>
                <c:pt idx="6">
                  <c:v>1.1408666100856948</c:v>
                </c:pt>
                <c:pt idx="7">
                  <c:v>12.906193769447022</c:v>
                </c:pt>
                <c:pt idx="8">
                  <c:v>25.425910442131688</c:v>
                </c:pt>
                <c:pt idx="9">
                  <c:v>38.668580764638349</c:v>
                </c:pt>
                <c:pt idx="10">
                  <c:v>52.763341810937938</c:v>
                </c:pt>
                <c:pt idx="11">
                  <c:v>50.151091411687077</c:v>
                </c:pt>
                <c:pt idx="12">
                  <c:v>-61.466610306763862</c:v>
                </c:pt>
                <c:pt idx="13">
                  <c:v>-9</c:v>
                </c:pt>
                <c:pt idx="14">
                  <c:v>-40.985662190871238</c:v>
                </c:pt>
                <c:pt idx="15">
                  <c:v>-70</c:v>
                </c:pt>
                <c:pt idx="16">
                  <c:v>-62.915103558236275</c:v>
                </c:pt>
                <c:pt idx="17">
                  <c:v>-6.4586286938894535</c:v>
                </c:pt>
                <c:pt idx="18">
                  <c:v>9</c:v>
                </c:pt>
                <c:pt idx="19">
                  <c:v>-9</c:v>
                </c:pt>
                <c:pt idx="20">
                  <c:v>-40.664497800972853</c:v>
                </c:pt>
                <c:pt idx="21">
                  <c:v>-56</c:v>
                </c:pt>
                <c:pt idx="22">
                  <c:v>-52.255284346750535</c:v>
                </c:pt>
                <c:pt idx="23">
                  <c:v>6.677652173205086</c:v>
                </c:pt>
                <c:pt idx="24">
                  <c:v>9</c:v>
                </c:pt>
                <c:pt idx="25">
                  <c:v>-9</c:v>
                </c:pt>
                <c:pt idx="26">
                  <c:v>-40.435181690601752</c:v>
                </c:pt>
                <c:pt idx="27">
                  <c:v>-42</c:v>
                </c:pt>
                <c:pt idx="28">
                  <c:v>-41.617893203520786</c:v>
                </c:pt>
                <c:pt idx="29">
                  <c:v>17.029172929078673</c:v>
                </c:pt>
                <c:pt idx="30">
                  <c:v>9</c:v>
                </c:pt>
                <c:pt idx="31">
                  <c:v>-9</c:v>
                </c:pt>
                <c:pt idx="32">
                  <c:v>-40.595382389189616</c:v>
                </c:pt>
                <c:pt idx="33">
                  <c:v>-28</c:v>
                </c:pt>
                <c:pt idx="34">
                  <c:v>-31.075616629919871</c:v>
                </c:pt>
                <c:pt idx="35">
                  <c:v>25.581924896199304</c:v>
                </c:pt>
                <c:pt idx="36">
                  <c:v>9</c:v>
                </c:pt>
                <c:pt idx="37">
                  <c:v>-9</c:v>
                </c:pt>
                <c:pt idx="38">
                  <c:v>-40.956600553448808</c:v>
                </c:pt>
                <c:pt idx="39">
                  <c:v>-14</c:v>
                </c:pt>
                <c:pt idx="40">
                  <c:v>-20.582425716540314</c:v>
                </c:pt>
                <c:pt idx="41">
                  <c:v>32.165600148691183</c:v>
                </c:pt>
                <c:pt idx="42">
                  <c:v>9</c:v>
                </c:pt>
                <c:pt idx="43">
                  <c:v>-9</c:v>
                </c:pt>
                <c:pt idx="44">
                  <c:v>-40.71660248941339</c:v>
                </c:pt>
                <c:pt idx="45">
                  <c:v>0</c:v>
                </c:pt>
                <c:pt idx="46">
                  <c:v>-9.9424261892741228</c:v>
                </c:pt>
                <c:pt idx="47">
                  <c:v>36.623816105831878</c:v>
                </c:pt>
                <c:pt idx="48">
                  <c:v>9</c:v>
                </c:pt>
                <c:pt idx="49">
                  <c:v>-9</c:v>
                </c:pt>
                <c:pt idx="50">
                  <c:v>-38.661212930139619</c:v>
                </c:pt>
                <c:pt idx="51">
                  <c:v>14</c:v>
                </c:pt>
                <c:pt idx="52">
                  <c:v>1.1408666100856948</c:v>
                </c:pt>
                <c:pt idx="53">
                  <c:v>39.165215516381885</c:v>
                </c:pt>
                <c:pt idx="54">
                  <c:v>9</c:v>
                </c:pt>
                <c:pt idx="55">
                  <c:v>-9</c:v>
                </c:pt>
                <c:pt idx="56">
                  <c:v>-33.812730277526853</c:v>
                </c:pt>
                <c:pt idx="57">
                  <c:v>28</c:v>
                </c:pt>
                <c:pt idx="58">
                  <c:v>12.906193769447022</c:v>
                </c:pt>
                <c:pt idx="59">
                  <c:v>40.33871401481656</c:v>
                </c:pt>
                <c:pt idx="60">
                  <c:v>9</c:v>
                </c:pt>
                <c:pt idx="61">
                  <c:v>-9</c:v>
                </c:pt>
                <c:pt idx="62">
                  <c:v>-25.874842951302725</c:v>
                </c:pt>
                <c:pt idx="63">
                  <c:v>42</c:v>
                </c:pt>
                <c:pt idx="64">
                  <c:v>25.425910442131688</c:v>
                </c:pt>
                <c:pt idx="65">
                  <c:v>40.756751843001304</c:v>
                </c:pt>
                <c:pt idx="66">
                  <c:v>9</c:v>
                </c:pt>
                <c:pt idx="67">
                  <c:v>-9</c:v>
                </c:pt>
                <c:pt idx="68">
                  <c:v>-14.976288297232923</c:v>
                </c:pt>
                <c:pt idx="69">
                  <c:v>56</c:v>
                </c:pt>
                <c:pt idx="70">
                  <c:v>38.668580764638349</c:v>
                </c:pt>
                <c:pt idx="71">
                  <c:v>40.841808347238583</c:v>
                </c:pt>
                <c:pt idx="72">
                  <c:v>9</c:v>
                </c:pt>
                <c:pt idx="73">
                  <c:v>-9</c:v>
                </c:pt>
                <c:pt idx="74">
                  <c:v>-0.58821925048155776</c:v>
                </c:pt>
                <c:pt idx="75">
                  <c:v>70</c:v>
                </c:pt>
                <c:pt idx="76">
                  <c:v>52.763341810937938</c:v>
                </c:pt>
                <c:pt idx="77">
                  <c:v>40.732715016655298</c:v>
                </c:pt>
                <c:pt idx="78">
                  <c:v>9</c:v>
                </c:pt>
                <c:pt idx="79">
                  <c:v>-9</c:v>
                </c:pt>
                <c:pt idx="80">
                  <c:v>-11.286006599795854</c:v>
                </c:pt>
                <c:pt idx="81">
                  <c:v>70</c:v>
                </c:pt>
                <c:pt idx="82">
                  <c:v>50.151091411687077</c:v>
                </c:pt>
                <c:pt idx="83">
                  <c:v>39.083477722548608</c:v>
                </c:pt>
                <c:pt idx="84">
                  <c:v>9</c:v>
                </c:pt>
                <c:pt idx="85">
                  <c:v>-9</c:v>
                </c:pt>
                <c:pt idx="86">
                  <c:v>-35.05373744672503</c:v>
                </c:pt>
                <c:pt idx="87">
                  <c:v>-70</c:v>
                </c:pt>
                <c:pt idx="88">
                  <c:v>-61.466610306763862</c:v>
                </c:pt>
                <c:pt idx="89">
                  <c:v>2.8488307653754443</c:v>
                </c:pt>
                <c:pt idx="90">
                  <c:v>9</c:v>
                </c:pt>
                <c:pt idx="91">
                  <c:v>109</c:v>
                </c:pt>
                <c:pt idx="92">
                  <c:v>108.96332347734752</c:v>
                </c:pt>
                <c:pt idx="93">
                  <c:v>108.8533167088361</c:v>
                </c:pt>
                <c:pt idx="94">
                  <c:v>108.67004807863076</c:v>
                </c:pt>
                <c:pt idx="95">
                  <c:v>108.41363151310553</c:v>
                </c:pt>
                <c:pt idx="96">
                  <c:v>108.08422641002265</c:v>
                </c:pt>
                <c:pt idx="97">
                  <c:v>107.6820375394453</c:v>
                </c:pt>
                <c:pt idx="98">
                  <c:v>107.20731491644504</c:v>
                </c:pt>
                <c:pt idx="99">
                  <c:v>106.66035364568347</c:v>
                </c:pt>
                <c:pt idx="100">
                  <c:v>106.04149373796464</c:v>
                </c:pt>
                <c:pt idx="101">
                  <c:v>105.351119898872</c:v>
                </c:pt>
                <c:pt idx="102">
                  <c:v>104.58966128962159</c:v>
                </c:pt>
                <c:pt idx="103">
                  <c:v>103.75759126028008</c:v>
                </c:pt>
                <c:pt idx="104">
                  <c:v>102.85542705551322</c:v>
                </c:pt>
                <c:pt idx="105">
                  <c:v>101.88372949304798</c:v>
                </c:pt>
                <c:pt idx="106">
                  <c:v>100.84310261504811</c:v>
                </c:pt>
                <c:pt idx="107">
                  <c:v>99.734193312619794</c:v>
                </c:pt>
                <c:pt idx="108">
                  <c:v>98.557690923680809</c:v>
                </c:pt>
                <c:pt idx="109">
                  <c:v>97.314326804443354</c:v>
                </c:pt>
                <c:pt idx="110">
                  <c:v>96.004873874776649</c:v>
                </c:pt>
                <c:pt idx="111">
                  <c:v>94.630146137732154</c:v>
                </c:pt>
                <c:pt idx="112">
                  <c:v>93.190998173530048</c:v>
                </c:pt>
                <c:pt idx="113">
                  <c:v>91.688324608321324</c:v>
                </c:pt>
                <c:pt idx="114">
                  <c:v>90.123059558056042</c:v>
                </c:pt>
                <c:pt idx="115">
                  <c:v>88.496176047803246</c:v>
                </c:pt>
                <c:pt idx="116">
                  <c:v>86.808685406883541</c:v>
                </c:pt>
                <c:pt idx="117">
                  <c:v>85.061636640190457</c:v>
                </c:pt>
                <c:pt idx="118">
                  <c:v>83.256115776091235</c:v>
                </c:pt>
                <c:pt idx="119">
                  <c:v>81.393245191312488</c:v>
                </c:pt>
                <c:pt idx="120">
                  <c:v>79.474182913230521</c:v>
                </c:pt>
                <c:pt idx="121">
                  <c:v>77.500121899999812</c:v>
                </c:pt>
                <c:pt idx="122">
                  <c:v>75.472289298967283</c:v>
                </c:pt>
                <c:pt idx="123">
                  <c:v>73.391945683833413</c:v>
                </c:pt>
                <c:pt idx="124">
                  <c:v>71.260384271034184</c:v>
                </c:pt>
                <c:pt idx="125">
                  <c:v>69.078930115831355</c:v>
                </c:pt>
                <c:pt idx="126">
                  <c:v>66.84893928861031</c:v>
                </c:pt>
                <c:pt idx="127">
                  <c:v>64.571798031898012</c:v>
                </c:pt>
                <c:pt idx="128">
                  <c:v>62.248921898624673</c:v>
                </c:pt>
                <c:pt idx="129">
                  <c:v>59.881754872165274</c:v>
                </c:pt>
                <c:pt idx="130">
                  <c:v>57.471768468707353</c:v>
                </c:pt>
                <c:pt idx="131">
                  <c:v>55.020460822503807</c:v>
                </c:pt>
                <c:pt idx="132">
                  <c:v>52.529355754578582</c:v>
                </c:pt>
                <c:pt idx="133">
                  <c:v>50.000001825464786</c:v>
                </c:pt>
                <c:pt idx="134">
                  <c:v>47.433971372563768</c:v>
                </c:pt>
                <c:pt idx="135">
                  <c:v>44.832859532723496</c:v>
                </c:pt>
                <c:pt idx="136">
                  <c:v>42.198283250644259</c:v>
                </c:pt>
                <c:pt idx="137">
                  <c:v>39.531880273727573</c:v>
                </c:pt>
                <c:pt idx="138">
                  <c:v>36.835308133993479</c:v>
                </c:pt>
                <c:pt idx="139">
                  <c:v>34.110243117699014</c:v>
                </c:pt>
                <c:pt idx="140">
                  <c:v>31.358379223298492</c:v>
                </c:pt>
                <c:pt idx="141">
                  <c:v>28.581427108392873</c:v>
                </c:pt>
                <c:pt idx="142">
                  <c:v>25.781113026323638</c:v>
                </c:pt>
                <c:pt idx="143">
                  <c:v>22.959177753071529</c:v>
                </c:pt>
                <c:pt idx="144">
                  <c:v>20.117375505127672</c:v>
                </c:pt>
                <c:pt idx="145">
                  <c:v>17.257472849009325</c:v>
                </c:pt>
                <c:pt idx="146">
                  <c:v>14.381247603098693</c:v>
                </c:pt>
                <c:pt idx="147">
                  <c:v>11.4904877324871</c:v>
                </c:pt>
                <c:pt idx="148">
                  <c:v>8.5869902375114009</c:v>
                </c:pt>
                <c:pt idx="149">
                  <c:v>5.6725600366741151</c:v>
                </c:pt>
                <c:pt idx="150">
                  <c:v>2.7490088446409864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1.9499106062863438</c:v>
                </c:pt>
                <c:pt idx="156">
                  <c:v>0.4353759783197173</c:v>
                </c:pt>
                <c:pt idx="157">
                  <c:v>-1.8969752270526943</c:v>
                </c:pt>
                <c:pt idx="158">
                  <c:v>-4.3589076120530557</c:v>
                </c:pt>
                <c:pt idx="159">
                  <c:v>-6.8839803504483132</c:v>
                </c:pt>
                <c:pt idx="160">
                  <c:v>-9.445701924974987</c:v>
                </c:pt>
                <c:pt idx="161">
                  <c:v>-12.029847191518842</c:v>
                </c:pt>
                <c:pt idx="162">
                  <c:v>-14.627414945166993</c:v>
                </c:pt>
                <c:pt idx="163">
                  <c:v>-17.232056846141056</c:v>
                </c:pt>
                <c:pt idx="164">
                  <c:v>-19.838932677723623</c:v>
                </c:pt>
                <c:pt idx="165">
                  <c:v>-22.444130304605075</c:v>
                </c:pt>
                <c:pt idx="166">
                  <c:v>-25.044343452319694</c:v>
                </c:pt>
                <c:pt idx="167">
                  <c:v>-27.636679898033758</c:v>
                </c:pt>
                <c:pt idx="168">
                  <c:v>-30.218540957437643</c:v>
                </c:pt>
                <c:pt idx="169">
                  <c:v>-32.78754241013354</c:v>
                </c:pt>
                <c:pt idx="170">
                  <c:v>-35.341460734846422</c:v>
                </c:pt>
                <c:pt idx="171">
                  <c:v>-37.87819545249797</c:v>
                </c:pt>
                <c:pt idx="172">
                  <c:v>-40.395742083457577</c:v>
                </c:pt>
                <c:pt idx="173">
                  <c:v>-42.892172311294814</c:v>
                </c:pt>
                <c:pt idx="174">
                  <c:v>-45.365619169152751</c:v>
                </c:pt>
                <c:pt idx="175">
                  <c:v>-47.814265809250514</c:v>
                </c:pt>
                <c:pt idx="176">
                  <c:v>-50.2363368832779</c:v>
                </c:pt>
                <c:pt idx="177">
                  <c:v>-52.630091862955695</c:v>
                </c:pt>
                <c:pt idx="178">
                  <c:v>-54.993819829410697</c:v>
                </c:pt>
                <c:pt idx="179">
                  <c:v>-57.325835394749546</c:v>
                </c:pt>
                <c:pt idx="180">
                  <c:v>-59.624475512051248</c:v>
                </c:pt>
                <c:pt idx="181">
                  <c:v>-61.888096995078456</c:v>
                </c:pt>
                <c:pt idx="182">
                  <c:v>-64.115074615332276</c:v>
                </c:pt>
                <c:pt idx="183">
                  <c:v>-66.30379967749289</c:v>
                </c:pt>
                <c:pt idx="184">
                  <c:v>-68.452678998667324</c:v>
                </c:pt>
                <c:pt idx="185">
                  <c:v>-70.560134234811926</c:v>
                </c:pt>
                <c:pt idx="186">
                  <c:v>-72.62460151099414</c:v>
                </c:pt>
                <c:pt idx="187">
                  <c:v>-74.644531322041644</c:v>
                </c:pt>
                <c:pt idx="188">
                  <c:v>-76.618388677470904</c:v>
                </c:pt>
                <c:pt idx="189">
                  <c:v>-78.544653470010275</c:v>
                </c:pt>
                <c:pt idx="190">
                  <c:v>-80.421821050989195</c:v>
                </c:pt>
                <c:pt idx="191">
                  <c:v>-82.248402998682764</c:v>
                </c:pt>
                <c:pt idx="192">
                  <c:v>-84.022928067629167</c:v>
                </c:pt>
                <c:pt idx="193">
                  <c:v>-85.743943308162585</c:v>
                </c:pt>
                <c:pt idx="194">
                  <c:v>-87.410015346074147</c:v>
                </c:pt>
                <c:pt idx="195">
                  <c:v>-89.019731812542062</c:v>
                </c:pt>
                <c:pt idx="196">
                  <c:v>-90.571702914357161</c:v>
                </c:pt>
                <c:pt idx="197">
                  <c:v>-92.064563134086512</c:v>
                </c:pt>
                <c:pt idx="198">
                  <c:v>-93.496973049239003</c:v>
                </c:pt>
                <c:pt idx="199">
                  <c:v>-94.867621258778129</c:v>
                </c:pt>
                <c:pt idx="200">
                  <c:v>-96.175226404524849</c:v>
                </c:pt>
                <c:pt idx="201">
                  <c:v>-97.418539274155421</c:v>
                </c:pt>
                <c:pt idx="202">
                  <c:v>-98.596344971669311</c:v>
                </c:pt>
                <c:pt idx="203">
                  <c:v>-99.707465140420894</c:v>
                </c:pt>
                <c:pt idx="204">
                  <c:v>-100.75076022311241</c:v>
                </c:pt>
                <c:pt idx="205">
                  <c:v>-101.72513174256733</c:v>
                </c:pt>
                <c:pt idx="206">
                  <c:v>-102.62952458666661</c:v>
                </c:pt>
                <c:pt idx="207">
                  <c:v>-103.46292928056559</c:v>
                </c:pt>
                <c:pt idx="208">
                  <c:v>-104.22438422922602</c:v>
                </c:pt>
                <c:pt idx="209">
                  <c:v>-104.91297791341526</c:v>
                </c:pt>
                <c:pt idx="210">
                  <c:v>-105.527851022645</c:v>
                </c:pt>
                <c:pt idx="211">
                  <c:v>-106.06819850905003</c:v>
                </c:pt>
                <c:pt idx="212">
                  <c:v>-106.53327154693659</c:v>
                </c:pt>
                <c:pt idx="213">
                  <c:v>-106.92237938365012</c:v>
                </c:pt>
                <c:pt idx="214">
                  <c:v>-107.23489106851224</c:v>
                </c:pt>
                <c:pt idx="215">
                  <c:v>-107.47023704783025</c:v>
                </c:pt>
                <c:pt idx="216">
                  <c:v>-107.62791061537467</c:v>
                </c:pt>
                <c:pt idx="217">
                  <c:v>-107.70746920921601</c:v>
                </c:pt>
                <c:pt idx="218">
                  <c:v>-107.70853554738908</c:v>
                </c:pt>
              </c:numCache>
            </c:numRef>
          </c:xVal>
          <c:yVal>
            <c:numRef>
              <c:f>'5LeverTailRectangle'!$BK$6:$BK$224</c:f>
              <c:numCache>
                <c:formatCode>General</c:formatCode>
                <c:ptCount val="219"/>
                <c:pt idx="73">
                  <c:v>0</c:v>
                </c:pt>
                <c:pt idx="74">
                  <c:v>30.874616509716052</c:v>
                </c:pt>
                <c:pt idx="75">
                  <c:v>80</c:v>
                </c:pt>
                <c:pt idx="76">
                  <c:v>68.00426682213751</c:v>
                </c:pt>
                <c:pt idx="77">
                  <c:v>4.1273233059380336</c:v>
                </c:pt>
                <c:pt idx="78">
                  <c:v>0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'5LeverTailRectangle'!$BL$5</c:f>
              <c:strCache>
                <c:ptCount val="1"/>
                <c:pt idx="0">
                  <c:v>R11</c:v>
                </c:pt>
              </c:strCache>
            </c:strRef>
          </c:tx>
          <c:xVal>
            <c:numRef>
              <c:f>'5LeverTailRectangle'!$AY$6:$AY$224</c:f>
              <c:numCache>
                <c:formatCode>General</c:formatCode>
                <c:ptCount val="219"/>
                <c:pt idx="0">
                  <c:v>-62.915103558236275</c:v>
                </c:pt>
                <c:pt idx="1">
                  <c:v>-52.255284346750535</c:v>
                </c:pt>
                <c:pt idx="2">
                  <c:v>-41.617893203520786</c:v>
                </c:pt>
                <c:pt idx="3">
                  <c:v>-31.075616629919871</c:v>
                </c:pt>
                <c:pt idx="4">
                  <c:v>-20.582425716540314</c:v>
                </c:pt>
                <c:pt idx="5">
                  <c:v>-9.9424261892741228</c:v>
                </c:pt>
                <c:pt idx="6">
                  <c:v>1.1408666100856948</c:v>
                </c:pt>
                <c:pt idx="7">
                  <c:v>12.906193769447022</c:v>
                </c:pt>
                <c:pt idx="8">
                  <c:v>25.425910442131688</c:v>
                </c:pt>
                <c:pt idx="9">
                  <c:v>38.668580764638349</c:v>
                </c:pt>
                <c:pt idx="10">
                  <c:v>52.763341810937938</c:v>
                </c:pt>
                <c:pt idx="11">
                  <c:v>50.151091411687077</c:v>
                </c:pt>
                <c:pt idx="12">
                  <c:v>-61.466610306763862</c:v>
                </c:pt>
                <c:pt idx="13">
                  <c:v>-9</c:v>
                </c:pt>
                <c:pt idx="14">
                  <c:v>-40.985662190871238</c:v>
                </c:pt>
                <c:pt idx="15">
                  <c:v>-70</c:v>
                </c:pt>
                <c:pt idx="16">
                  <c:v>-62.915103558236275</c:v>
                </c:pt>
                <c:pt idx="17">
                  <c:v>-6.4586286938894535</c:v>
                </c:pt>
                <c:pt idx="18">
                  <c:v>9</c:v>
                </c:pt>
                <c:pt idx="19">
                  <c:v>-9</c:v>
                </c:pt>
                <c:pt idx="20">
                  <c:v>-40.664497800972853</c:v>
                </c:pt>
                <c:pt idx="21">
                  <c:v>-56</c:v>
                </c:pt>
                <c:pt idx="22">
                  <c:v>-52.255284346750535</c:v>
                </c:pt>
                <c:pt idx="23">
                  <c:v>6.677652173205086</c:v>
                </c:pt>
                <c:pt idx="24">
                  <c:v>9</c:v>
                </c:pt>
                <c:pt idx="25">
                  <c:v>-9</c:v>
                </c:pt>
                <c:pt idx="26">
                  <c:v>-40.435181690601752</c:v>
                </c:pt>
                <c:pt idx="27">
                  <c:v>-42</c:v>
                </c:pt>
                <c:pt idx="28">
                  <c:v>-41.617893203520786</c:v>
                </c:pt>
                <c:pt idx="29">
                  <c:v>17.029172929078673</c:v>
                </c:pt>
                <c:pt idx="30">
                  <c:v>9</c:v>
                </c:pt>
                <c:pt idx="31">
                  <c:v>-9</c:v>
                </c:pt>
                <c:pt idx="32">
                  <c:v>-40.595382389189616</c:v>
                </c:pt>
                <c:pt idx="33">
                  <c:v>-28</c:v>
                </c:pt>
                <c:pt idx="34">
                  <c:v>-31.075616629919871</c:v>
                </c:pt>
                <c:pt idx="35">
                  <c:v>25.581924896199304</c:v>
                </c:pt>
                <c:pt idx="36">
                  <c:v>9</c:v>
                </c:pt>
                <c:pt idx="37">
                  <c:v>-9</c:v>
                </c:pt>
                <c:pt idx="38">
                  <c:v>-40.956600553448808</c:v>
                </c:pt>
                <c:pt idx="39">
                  <c:v>-14</c:v>
                </c:pt>
                <c:pt idx="40">
                  <c:v>-20.582425716540314</c:v>
                </c:pt>
                <c:pt idx="41">
                  <c:v>32.165600148691183</c:v>
                </c:pt>
                <c:pt idx="42">
                  <c:v>9</c:v>
                </c:pt>
                <c:pt idx="43">
                  <c:v>-9</c:v>
                </c:pt>
                <c:pt idx="44">
                  <c:v>-40.71660248941339</c:v>
                </c:pt>
                <c:pt idx="45">
                  <c:v>0</c:v>
                </c:pt>
                <c:pt idx="46">
                  <c:v>-9.9424261892741228</c:v>
                </c:pt>
                <c:pt idx="47">
                  <c:v>36.623816105831878</c:v>
                </c:pt>
                <c:pt idx="48">
                  <c:v>9</c:v>
                </c:pt>
                <c:pt idx="49">
                  <c:v>-9</c:v>
                </c:pt>
                <c:pt idx="50">
                  <c:v>-38.661212930139619</c:v>
                </c:pt>
                <c:pt idx="51">
                  <c:v>14</c:v>
                </c:pt>
                <c:pt idx="52">
                  <c:v>1.1408666100856948</c:v>
                </c:pt>
                <c:pt idx="53">
                  <c:v>39.165215516381885</c:v>
                </c:pt>
                <c:pt idx="54">
                  <c:v>9</c:v>
                </c:pt>
                <c:pt idx="55">
                  <c:v>-9</c:v>
                </c:pt>
                <c:pt idx="56">
                  <c:v>-33.812730277526853</c:v>
                </c:pt>
                <c:pt idx="57">
                  <c:v>28</c:v>
                </c:pt>
                <c:pt idx="58">
                  <c:v>12.906193769447022</c:v>
                </c:pt>
                <c:pt idx="59">
                  <c:v>40.33871401481656</c:v>
                </c:pt>
                <c:pt idx="60">
                  <c:v>9</c:v>
                </c:pt>
                <c:pt idx="61">
                  <c:v>-9</c:v>
                </c:pt>
                <c:pt idx="62">
                  <c:v>-25.874842951302725</c:v>
                </c:pt>
                <c:pt idx="63">
                  <c:v>42</c:v>
                </c:pt>
                <c:pt idx="64">
                  <c:v>25.425910442131688</c:v>
                </c:pt>
                <c:pt idx="65">
                  <c:v>40.756751843001304</c:v>
                </c:pt>
                <c:pt idx="66">
                  <c:v>9</c:v>
                </c:pt>
                <c:pt idx="67">
                  <c:v>-9</c:v>
                </c:pt>
                <c:pt idx="68">
                  <c:v>-14.976288297232923</c:v>
                </c:pt>
                <c:pt idx="69">
                  <c:v>56</c:v>
                </c:pt>
                <c:pt idx="70">
                  <c:v>38.668580764638349</c:v>
                </c:pt>
                <c:pt idx="71">
                  <c:v>40.841808347238583</c:v>
                </c:pt>
                <c:pt idx="72">
                  <c:v>9</c:v>
                </c:pt>
                <c:pt idx="73">
                  <c:v>-9</c:v>
                </c:pt>
                <c:pt idx="74">
                  <c:v>-0.58821925048155776</c:v>
                </c:pt>
                <c:pt idx="75">
                  <c:v>70</c:v>
                </c:pt>
                <c:pt idx="76">
                  <c:v>52.763341810937938</c:v>
                </c:pt>
                <c:pt idx="77">
                  <c:v>40.732715016655298</c:v>
                </c:pt>
                <c:pt idx="78">
                  <c:v>9</c:v>
                </c:pt>
                <c:pt idx="79">
                  <c:v>-9</c:v>
                </c:pt>
                <c:pt idx="80">
                  <c:v>-11.286006599795854</c:v>
                </c:pt>
                <c:pt idx="81">
                  <c:v>70</c:v>
                </c:pt>
                <c:pt idx="82">
                  <c:v>50.151091411687077</c:v>
                </c:pt>
                <c:pt idx="83">
                  <c:v>39.083477722548608</c:v>
                </c:pt>
                <c:pt idx="84">
                  <c:v>9</c:v>
                </c:pt>
                <c:pt idx="85">
                  <c:v>-9</c:v>
                </c:pt>
                <c:pt idx="86">
                  <c:v>-35.05373744672503</c:v>
                </c:pt>
                <c:pt idx="87">
                  <c:v>-70</c:v>
                </c:pt>
                <c:pt idx="88">
                  <c:v>-61.466610306763862</c:v>
                </c:pt>
                <c:pt idx="89">
                  <c:v>2.8488307653754443</c:v>
                </c:pt>
                <c:pt idx="90">
                  <c:v>9</c:v>
                </c:pt>
                <c:pt idx="91">
                  <c:v>109</c:v>
                </c:pt>
                <c:pt idx="92">
                  <c:v>108.96332347734752</c:v>
                </c:pt>
                <c:pt idx="93">
                  <c:v>108.8533167088361</c:v>
                </c:pt>
                <c:pt idx="94">
                  <c:v>108.67004807863076</c:v>
                </c:pt>
                <c:pt idx="95">
                  <c:v>108.41363151310553</c:v>
                </c:pt>
                <c:pt idx="96">
                  <c:v>108.08422641002265</c:v>
                </c:pt>
                <c:pt idx="97">
                  <c:v>107.6820375394453</c:v>
                </c:pt>
                <c:pt idx="98">
                  <c:v>107.20731491644504</c:v>
                </c:pt>
                <c:pt idx="99">
                  <c:v>106.66035364568347</c:v>
                </c:pt>
                <c:pt idx="100">
                  <c:v>106.04149373796464</c:v>
                </c:pt>
                <c:pt idx="101">
                  <c:v>105.351119898872</c:v>
                </c:pt>
                <c:pt idx="102">
                  <c:v>104.58966128962159</c:v>
                </c:pt>
                <c:pt idx="103">
                  <c:v>103.75759126028008</c:v>
                </c:pt>
                <c:pt idx="104">
                  <c:v>102.85542705551322</c:v>
                </c:pt>
                <c:pt idx="105">
                  <c:v>101.88372949304798</c:v>
                </c:pt>
                <c:pt idx="106">
                  <c:v>100.84310261504811</c:v>
                </c:pt>
                <c:pt idx="107">
                  <c:v>99.734193312619794</c:v>
                </c:pt>
                <c:pt idx="108">
                  <c:v>98.557690923680809</c:v>
                </c:pt>
                <c:pt idx="109">
                  <c:v>97.314326804443354</c:v>
                </c:pt>
                <c:pt idx="110">
                  <c:v>96.004873874776649</c:v>
                </c:pt>
                <c:pt idx="111">
                  <c:v>94.630146137732154</c:v>
                </c:pt>
                <c:pt idx="112">
                  <c:v>93.190998173530048</c:v>
                </c:pt>
                <c:pt idx="113">
                  <c:v>91.688324608321324</c:v>
                </c:pt>
                <c:pt idx="114">
                  <c:v>90.123059558056042</c:v>
                </c:pt>
                <c:pt idx="115">
                  <c:v>88.496176047803246</c:v>
                </c:pt>
                <c:pt idx="116">
                  <c:v>86.808685406883541</c:v>
                </c:pt>
                <c:pt idx="117">
                  <c:v>85.061636640190457</c:v>
                </c:pt>
                <c:pt idx="118">
                  <c:v>83.256115776091235</c:v>
                </c:pt>
                <c:pt idx="119">
                  <c:v>81.393245191312488</c:v>
                </c:pt>
                <c:pt idx="120">
                  <c:v>79.474182913230521</c:v>
                </c:pt>
                <c:pt idx="121">
                  <c:v>77.500121899999812</c:v>
                </c:pt>
                <c:pt idx="122">
                  <c:v>75.472289298967283</c:v>
                </c:pt>
                <c:pt idx="123">
                  <c:v>73.391945683833413</c:v>
                </c:pt>
                <c:pt idx="124">
                  <c:v>71.260384271034184</c:v>
                </c:pt>
                <c:pt idx="125">
                  <c:v>69.078930115831355</c:v>
                </c:pt>
                <c:pt idx="126">
                  <c:v>66.84893928861031</c:v>
                </c:pt>
                <c:pt idx="127">
                  <c:v>64.571798031898012</c:v>
                </c:pt>
                <c:pt idx="128">
                  <c:v>62.248921898624673</c:v>
                </c:pt>
                <c:pt idx="129">
                  <c:v>59.881754872165274</c:v>
                </c:pt>
                <c:pt idx="130">
                  <c:v>57.471768468707353</c:v>
                </c:pt>
                <c:pt idx="131">
                  <c:v>55.020460822503807</c:v>
                </c:pt>
                <c:pt idx="132">
                  <c:v>52.529355754578582</c:v>
                </c:pt>
                <c:pt idx="133">
                  <c:v>50.000001825464786</c:v>
                </c:pt>
                <c:pt idx="134">
                  <c:v>47.433971372563768</c:v>
                </c:pt>
                <c:pt idx="135">
                  <c:v>44.832859532723496</c:v>
                </c:pt>
                <c:pt idx="136">
                  <c:v>42.198283250644259</c:v>
                </c:pt>
                <c:pt idx="137">
                  <c:v>39.531880273727573</c:v>
                </c:pt>
                <c:pt idx="138">
                  <c:v>36.835308133993479</c:v>
                </c:pt>
                <c:pt idx="139">
                  <c:v>34.110243117699014</c:v>
                </c:pt>
                <c:pt idx="140">
                  <c:v>31.358379223298492</c:v>
                </c:pt>
                <c:pt idx="141">
                  <c:v>28.581427108392873</c:v>
                </c:pt>
                <c:pt idx="142">
                  <c:v>25.781113026323638</c:v>
                </c:pt>
                <c:pt idx="143">
                  <c:v>22.959177753071529</c:v>
                </c:pt>
                <c:pt idx="144">
                  <c:v>20.117375505127672</c:v>
                </c:pt>
                <c:pt idx="145">
                  <c:v>17.257472849009325</c:v>
                </c:pt>
                <c:pt idx="146">
                  <c:v>14.381247603098693</c:v>
                </c:pt>
                <c:pt idx="147">
                  <c:v>11.4904877324871</c:v>
                </c:pt>
                <c:pt idx="148">
                  <c:v>8.5869902375114009</c:v>
                </c:pt>
                <c:pt idx="149">
                  <c:v>5.6725600366741151</c:v>
                </c:pt>
                <c:pt idx="150">
                  <c:v>2.7490088446409864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1.9499106062863438</c:v>
                </c:pt>
                <c:pt idx="156">
                  <c:v>0.4353759783197173</c:v>
                </c:pt>
                <c:pt idx="157">
                  <c:v>-1.8969752270526943</c:v>
                </c:pt>
                <c:pt idx="158">
                  <c:v>-4.3589076120530557</c:v>
                </c:pt>
                <c:pt idx="159">
                  <c:v>-6.8839803504483132</c:v>
                </c:pt>
                <c:pt idx="160">
                  <c:v>-9.445701924974987</c:v>
                </c:pt>
                <c:pt idx="161">
                  <c:v>-12.029847191518842</c:v>
                </c:pt>
                <c:pt idx="162">
                  <c:v>-14.627414945166993</c:v>
                </c:pt>
                <c:pt idx="163">
                  <c:v>-17.232056846141056</c:v>
                </c:pt>
                <c:pt idx="164">
                  <c:v>-19.838932677723623</c:v>
                </c:pt>
                <c:pt idx="165">
                  <c:v>-22.444130304605075</c:v>
                </c:pt>
                <c:pt idx="166">
                  <c:v>-25.044343452319694</c:v>
                </c:pt>
                <c:pt idx="167">
                  <c:v>-27.636679898033758</c:v>
                </c:pt>
                <c:pt idx="168">
                  <c:v>-30.218540957437643</c:v>
                </c:pt>
                <c:pt idx="169">
                  <c:v>-32.78754241013354</c:v>
                </c:pt>
                <c:pt idx="170">
                  <c:v>-35.341460734846422</c:v>
                </c:pt>
                <c:pt idx="171">
                  <c:v>-37.87819545249797</c:v>
                </c:pt>
                <c:pt idx="172">
                  <c:v>-40.395742083457577</c:v>
                </c:pt>
                <c:pt idx="173">
                  <c:v>-42.892172311294814</c:v>
                </c:pt>
                <c:pt idx="174">
                  <c:v>-45.365619169152751</c:v>
                </c:pt>
                <c:pt idx="175">
                  <c:v>-47.814265809250514</c:v>
                </c:pt>
                <c:pt idx="176">
                  <c:v>-50.2363368832779</c:v>
                </c:pt>
                <c:pt idx="177">
                  <c:v>-52.630091862955695</c:v>
                </c:pt>
                <c:pt idx="178">
                  <c:v>-54.993819829410697</c:v>
                </c:pt>
                <c:pt idx="179">
                  <c:v>-57.325835394749546</c:v>
                </c:pt>
                <c:pt idx="180">
                  <c:v>-59.624475512051248</c:v>
                </c:pt>
                <c:pt idx="181">
                  <c:v>-61.888096995078456</c:v>
                </c:pt>
                <c:pt idx="182">
                  <c:v>-64.115074615332276</c:v>
                </c:pt>
                <c:pt idx="183">
                  <c:v>-66.30379967749289</c:v>
                </c:pt>
                <c:pt idx="184">
                  <c:v>-68.452678998667324</c:v>
                </c:pt>
                <c:pt idx="185">
                  <c:v>-70.560134234811926</c:v>
                </c:pt>
                <c:pt idx="186">
                  <c:v>-72.62460151099414</c:v>
                </c:pt>
                <c:pt idx="187">
                  <c:v>-74.644531322041644</c:v>
                </c:pt>
                <c:pt idx="188">
                  <c:v>-76.618388677470904</c:v>
                </c:pt>
                <c:pt idx="189">
                  <c:v>-78.544653470010275</c:v>
                </c:pt>
                <c:pt idx="190">
                  <c:v>-80.421821050989195</c:v>
                </c:pt>
                <c:pt idx="191">
                  <c:v>-82.248402998682764</c:v>
                </c:pt>
                <c:pt idx="192">
                  <c:v>-84.022928067629167</c:v>
                </c:pt>
                <c:pt idx="193">
                  <c:v>-85.743943308162585</c:v>
                </c:pt>
                <c:pt idx="194">
                  <c:v>-87.410015346074147</c:v>
                </c:pt>
                <c:pt idx="195">
                  <c:v>-89.019731812542062</c:v>
                </c:pt>
                <c:pt idx="196">
                  <c:v>-90.571702914357161</c:v>
                </c:pt>
                <c:pt idx="197">
                  <c:v>-92.064563134086512</c:v>
                </c:pt>
                <c:pt idx="198">
                  <c:v>-93.496973049239003</c:v>
                </c:pt>
                <c:pt idx="199">
                  <c:v>-94.867621258778129</c:v>
                </c:pt>
                <c:pt idx="200">
                  <c:v>-96.175226404524849</c:v>
                </c:pt>
                <c:pt idx="201">
                  <c:v>-97.418539274155421</c:v>
                </c:pt>
                <c:pt idx="202">
                  <c:v>-98.596344971669311</c:v>
                </c:pt>
                <c:pt idx="203">
                  <c:v>-99.707465140420894</c:v>
                </c:pt>
                <c:pt idx="204">
                  <c:v>-100.75076022311241</c:v>
                </c:pt>
                <c:pt idx="205">
                  <c:v>-101.72513174256733</c:v>
                </c:pt>
                <c:pt idx="206">
                  <c:v>-102.62952458666661</c:v>
                </c:pt>
                <c:pt idx="207">
                  <c:v>-103.46292928056559</c:v>
                </c:pt>
                <c:pt idx="208">
                  <c:v>-104.22438422922602</c:v>
                </c:pt>
                <c:pt idx="209">
                  <c:v>-104.91297791341526</c:v>
                </c:pt>
                <c:pt idx="210">
                  <c:v>-105.527851022645</c:v>
                </c:pt>
                <c:pt idx="211">
                  <c:v>-106.06819850905003</c:v>
                </c:pt>
                <c:pt idx="212">
                  <c:v>-106.53327154693659</c:v>
                </c:pt>
                <c:pt idx="213">
                  <c:v>-106.92237938365012</c:v>
                </c:pt>
                <c:pt idx="214">
                  <c:v>-107.23489106851224</c:v>
                </c:pt>
                <c:pt idx="215">
                  <c:v>-107.47023704783025</c:v>
                </c:pt>
                <c:pt idx="216">
                  <c:v>-107.62791061537467</c:v>
                </c:pt>
                <c:pt idx="217">
                  <c:v>-107.70746920921601</c:v>
                </c:pt>
                <c:pt idx="218">
                  <c:v>-107.70853554738908</c:v>
                </c:pt>
              </c:numCache>
            </c:numRef>
          </c:xVal>
          <c:yVal>
            <c:numRef>
              <c:f>'5LeverTailRectangle'!$BL$6:$BL$224</c:f>
              <c:numCache>
                <c:formatCode>General</c:formatCode>
                <c:ptCount val="219"/>
                <c:pt idx="79">
                  <c:v>0</c:v>
                </c:pt>
                <c:pt idx="80">
                  <c:v>31.91824202279458</c:v>
                </c:pt>
                <c:pt idx="81">
                  <c:v>60</c:v>
                </c:pt>
                <c:pt idx="82">
                  <c:v>53.142826540450507</c:v>
                </c:pt>
                <c:pt idx="83">
                  <c:v>-10.90799560491852</c:v>
                </c:pt>
                <c:pt idx="84">
                  <c:v>0</c:v>
                </c:pt>
              </c:numCache>
            </c:numRef>
          </c:yVal>
          <c:smooth val="0"/>
        </c:ser>
        <c:ser>
          <c:idx val="13"/>
          <c:order val="13"/>
          <c:tx>
            <c:strRef>
              <c:f>'5LeverTailRectangle'!$BM$5</c:f>
              <c:strCache>
                <c:ptCount val="1"/>
                <c:pt idx="0">
                  <c:v>R12</c:v>
                </c:pt>
              </c:strCache>
            </c:strRef>
          </c:tx>
          <c:xVal>
            <c:numRef>
              <c:f>'5LeverTailRectangle'!$AY$6:$AY$224</c:f>
              <c:numCache>
                <c:formatCode>General</c:formatCode>
                <c:ptCount val="219"/>
                <c:pt idx="0">
                  <c:v>-62.915103558236275</c:v>
                </c:pt>
                <c:pt idx="1">
                  <c:v>-52.255284346750535</c:v>
                </c:pt>
                <c:pt idx="2">
                  <c:v>-41.617893203520786</c:v>
                </c:pt>
                <c:pt idx="3">
                  <c:v>-31.075616629919871</c:v>
                </c:pt>
                <c:pt idx="4">
                  <c:v>-20.582425716540314</c:v>
                </c:pt>
                <c:pt idx="5">
                  <c:v>-9.9424261892741228</c:v>
                </c:pt>
                <c:pt idx="6">
                  <c:v>1.1408666100856948</c:v>
                </c:pt>
                <c:pt idx="7">
                  <c:v>12.906193769447022</c:v>
                </c:pt>
                <c:pt idx="8">
                  <c:v>25.425910442131688</c:v>
                </c:pt>
                <c:pt idx="9">
                  <c:v>38.668580764638349</c:v>
                </c:pt>
                <c:pt idx="10">
                  <c:v>52.763341810937938</c:v>
                </c:pt>
                <c:pt idx="11">
                  <c:v>50.151091411687077</c:v>
                </c:pt>
                <c:pt idx="12">
                  <c:v>-61.466610306763862</c:v>
                </c:pt>
                <c:pt idx="13">
                  <c:v>-9</c:v>
                </c:pt>
                <c:pt idx="14">
                  <c:v>-40.985662190871238</c:v>
                </c:pt>
                <c:pt idx="15">
                  <c:v>-70</c:v>
                </c:pt>
                <c:pt idx="16">
                  <c:v>-62.915103558236275</c:v>
                </c:pt>
                <c:pt idx="17">
                  <c:v>-6.4586286938894535</c:v>
                </c:pt>
                <c:pt idx="18">
                  <c:v>9</c:v>
                </c:pt>
                <c:pt idx="19">
                  <c:v>-9</c:v>
                </c:pt>
                <c:pt idx="20">
                  <c:v>-40.664497800972853</c:v>
                </c:pt>
                <c:pt idx="21">
                  <c:v>-56</c:v>
                </c:pt>
                <c:pt idx="22">
                  <c:v>-52.255284346750535</c:v>
                </c:pt>
                <c:pt idx="23">
                  <c:v>6.677652173205086</c:v>
                </c:pt>
                <c:pt idx="24">
                  <c:v>9</c:v>
                </c:pt>
                <c:pt idx="25">
                  <c:v>-9</c:v>
                </c:pt>
                <c:pt idx="26">
                  <c:v>-40.435181690601752</c:v>
                </c:pt>
                <c:pt idx="27">
                  <c:v>-42</c:v>
                </c:pt>
                <c:pt idx="28">
                  <c:v>-41.617893203520786</c:v>
                </c:pt>
                <c:pt idx="29">
                  <c:v>17.029172929078673</c:v>
                </c:pt>
                <c:pt idx="30">
                  <c:v>9</c:v>
                </c:pt>
                <c:pt idx="31">
                  <c:v>-9</c:v>
                </c:pt>
                <c:pt idx="32">
                  <c:v>-40.595382389189616</c:v>
                </c:pt>
                <c:pt idx="33">
                  <c:v>-28</c:v>
                </c:pt>
                <c:pt idx="34">
                  <c:v>-31.075616629919871</c:v>
                </c:pt>
                <c:pt idx="35">
                  <c:v>25.581924896199304</c:v>
                </c:pt>
                <c:pt idx="36">
                  <c:v>9</c:v>
                </c:pt>
                <c:pt idx="37">
                  <c:v>-9</c:v>
                </c:pt>
                <c:pt idx="38">
                  <c:v>-40.956600553448808</c:v>
                </c:pt>
                <c:pt idx="39">
                  <c:v>-14</c:v>
                </c:pt>
                <c:pt idx="40">
                  <c:v>-20.582425716540314</c:v>
                </c:pt>
                <c:pt idx="41">
                  <c:v>32.165600148691183</c:v>
                </c:pt>
                <c:pt idx="42">
                  <c:v>9</c:v>
                </c:pt>
                <c:pt idx="43">
                  <c:v>-9</c:v>
                </c:pt>
                <c:pt idx="44">
                  <c:v>-40.71660248941339</c:v>
                </c:pt>
                <c:pt idx="45">
                  <c:v>0</c:v>
                </c:pt>
                <c:pt idx="46">
                  <c:v>-9.9424261892741228</c:v>
                </c:pt>
                <c:pt idx="47">
                  <c:v>36.623816105831878</c:v>
                </c:pt>
                <c:pt idx="48">
                  <c:v>9</c:v>
                </c:pt>
                <c:pt idx="49">
                  <c:v>-9</c:v>
                </c:pt>
                <c:pt idx="50">
                  <c:v>-38.661212930139619</c:v>
                </c:pt>
                <c:pt idx="51">
                  <c:v>14</c:v>
                </c:pt>
                <c:pt idx="52">
                  <c:v>1.1408666100856948</c:v>
                </c:pt>
                <c:pt idx="53">
                  <c:v>39.165215516381885</c:v>
                </c:pt>
                <c:pt idx="54">
                  <c:v>9</c:v>
                </c:pt>
                <c:pt idx="55">
                  <c:v>-9</c:v>
                </c:pt>
                <c:pt idx="56">
                  <c:v>-33.812730277526853</c:v>
                </c:pt>
                <c:pt idx="57">
                  <c:v>28</c:v>
                </c:pt>
                <c:pt idx="58">
                  <c:v>12.906193769447022</c:v>
                </c:pt>
                <c:pt idx="59">
                  <c:v>40.33871401481656</c:v>
                </c:pt>
                <c:pt idx="60">
                  <c:v>9</c:v>
                </c:pt>
                <c:pt idx="61">
                  <c:v>-9</c:v>
                </c:pt>
                <c:pt idx="62">
                  <c:v>-25.874842951302725</c:v>
                </c:pt>
                <c:pt idx="63">
                  <c:v>42</c:v>
                </c:pt>
                <c:pt idx="64">
                  <c:v>25.425910442131688</c:v>
                </c:pt>
                <c:pt idx="65">
                  <c:v>40.756751843001304</c:v>
                </c:pt>
                <c:pt idx="66">
                  <c:v>9</c:v>
                </c:pt>
                <c:pt idx="67">
                  <c:v>-9</c:v>
                </c:pt>
                <c:pt idx="68">
                  <c:v>-14.976288297232923</c:v>
                </c:pt>
                <c:pt idx="69">
                  <c:v>56</c:v>
                </c:pt>
                <c:pt idx="70">
                  <c:v>38.668580764638349</c:v>
                </c:pt>
                <c:pt idx="71">
                  <c:v>40.841808347238583</c:v>
                </c:pt>
                <c:pt idx="72">
                  <c:v>9</c:v>
                </c:pt>
                <c:pt idx="73">
                  <c:v>-9</c:v>
                </c:pt>
                <c:pt idx="74">
                  <c:v>-0.58821925048155776</c:v>
                </c:pt>
                <c:pt idx="75">
                  <c:v>70</c:v>
                </c:pt>
                <c:pt idx="76">
                  <c:v>52.763341810937938</c:v>
                </c:pt>
                <c:pt idx="77">
                  <c:v>40.732715016655298</c:v>
                </c:pt>
                <c:pt idx="78">
                  <c:v>9</c:v>
                </c:pt>
                <c:pt idx="79">
                  <c:v>-9</c:v>
                </c:pt>
                <c:pt idx="80">
                  <c:v>-11.286006599795854</c:v>
                </c:pt>
                <c:pt idx="81">
                  <c:v>70</c:v>
                </c:pt>
                <c:pt idx="82">
                  <c:v>50.151091411687077</c:v>
                </c:pt>
                <c:pt idx="83">
                  <c:v>39.083477722548608</c:v>
                </c:pt>
                <c:pt idx="84">
                  <c:v>9</c:v>
                </c:pt>
                <c:pt idx="85">
                  <c:v>-9</c:v>
                </c:pt>
                <c:pt idx="86">
                  <c:v>-35.05373744672503</c:v>
                </c:pt>
                <c:pt idx="87">
                  <c:v>-70</c:v>
                </c:pt>
                <c:pt idx="88">
                  <c:v>-61.466610306763862</c:v>
                </c:pt>
                <c:pt idx="89">
                  <c:v>2.8488307653754443</c:v>
                </c:pt>
                <c:pt idx="90">
                  <c:v>9</c:v>
                </c:pt>
                <c:pt idx="91">
                  <c:v>109</c:v>
                </c:pt>
                <c:pt idx="92">
                  <c:v>108.96332347734752</c:v>
                </c:pt>
                <c:pt idx="93">
                  <c:v>108.8533167088361</c:v>
                </c:pt>
                <c:pt idx="94">
                  <c:v>108.67004807863076</c:v>
                </c:pt>
                <c:pt idx="95">
                  <c:v>108.41363151310553</c:v>
                </c:pt>
                <c:pt idx="96">
                  <c:v>108.08422641002265</c:v>
                </c:pt>
                <c:pt idx="97">
                  <c:v>107.6820375394453</c:v>
                </c:pt>
                <c:pt idx="98">
                  <c:v>107.20731491644504</c:v>
                </c:pt>
                <c:pt idx="99">
                  <c:v>106.66035364568347</c:v>
                </c:pt>
                <c:pt idx="100">
                  <c:v>106.04149373796464</c:v>
                </c:pt>
                <c:pt idx="101">
                  <c:v>105.351119898872</c:v>
                </c:pt>
                <c:pt idx="102">
                  <c:v>104.58966128962159</c:v>
                </c:pt>
                <c:pt idx="103">
                  <c:v>103.75759126028008</c:v>
                </c:pt>
                <c:pt idx="104">
                  <c:v>102.85542705551322</c:v>
                </c:pt>
                <c:pt idx="105">
                  <c:v>101.88372949304798</c:v>
                </c:pt>
                <c:pt idx="106">
                  <c:v>100.84310261504811</c:v>
                </c:pt>
                <c:pt idx="107">
                  <c:v>99.734193312619794</c:v>
                </c:pt>
                <c:pt idx="108">
                  <c:v>98.557690923680809</c:v>
                </c:pt>
                <c:pt idx="109">
                  <c:v>97.314326804443354</c:v>
                </c:pt>
                <c:pt idx="110">
                  <c:v>96.004873874776649</c:v>
                </c:pt>
                <c:pt idx="111">
                  <c:v>94.630146137732154</c:v>
                </c:pt>
                <c:pt idx="112">
                  <c:v>93.190998173530048</c:v>
                </c:pt>
                <c:pt idx="113">
                  <c:v>91.688324608321324</c:v>
                </c:pt>
                <c:pt idx="114">
                  <c:v>90.123059558056042</c:v>
                </c:pt>
                <c:pt idx="115">
                  <c:v>88.496176047803246</c:v>
                </c:pt>
                <c:pt idx="116">
                  <c:v>86.808685406883541</c:v>
                </c:pt>
                <c:pt idx="117">
                  <c:v>85.061636640190457</c:v>
                </c:pt>
                <c:pt idx="118">
                  <c:v>83.256115776091235</c:v>
                </c:pt>
                <c:pt idx="119">
                  <c:v>81.393245191312488</c:v>
                </c:pt>
                <c:pt idx="120">
                  <c:v>79.474182913230521</c:v>
                </c:pt>
                <c:pt idx="121">
                  <c:v>77.500121899999812</c:v>
                </c:pt>
                <c:pt idx="122">
                  <c:v>75.472289298967283</c:v>
                </c:pt>
                <c:pt idx="123">
                  <c:v>73.391945683833413</c:v>
                </c:pt>
                <c:pt idx="124">
                  <c:v>71.260384271034184</c:v>
                </c:pt>
                <c:pt idx="125">
                  <c:v>69.078930115831355</c:v>
                </c:pt>
                <c:pt idx="126">
                  <c:v>66.84893928861031</c:v>
                </c:pt>
                <c:pt idx="127">
                  <c:v>64.571798031898012</c:v>
                </c:pt>
                <c:pt idx="128">
                  <c:v>62.248921898624673</c:v>
                </c:pt>
                <c:pt idx="129">
                  <c:v>59.881754872165274</c:v>
                </c:pt>
                <c:pt idx="130">
                  <c:v>57.471768468707353</c:v>
                </c:pt>
                <c:pt idx="131">
                  <c:v>55.020460822503807</c:v>
                </c:pt>
                <c:pt idx="132">
                  <c:v>52.529355754578582</c:v>
                </c:pt>
                <c:pt idx="133">
                  <c:v>50.000001825464786</c:v>
                </c:pt>
                <c:pt idx="134">
                  <c:v>47.433971372563768</c:v>
                </c:pt>
                <c:pt idx="135">
                  <c:v>44.832859532723496</c:v>
                </c:pt>
                <c:pt idx="136">
                  <c:v>42.198283250644259</c:v>
                </c:pt>
                <c:pt idx="137">
                  <c:v>39.531880273727573</c:v>
                </c:pt>
                <c:pt idx="138">
                  <c:v>36.835308133993479</c:v>
                </c:pt>
                <c:pt idx="139">
                  <c:v>34.110243117699014</c:v>
                </c:pt>
                <c:pt idx="140">
                  <c:v>31.358379223298492</c:v>
                </c:pt>
                <c:pt idx="141">
                  <c:v>28.581427108392873</c:v>
                </c:pt>
                <c:pt idx="142">
                  <c:v>25.781113026323638</c:v>
                </c:pt>
                <c:pt idx="143">
                  <c:v>22.959177753071529</c:v>
                </c:pt>
                <c:pt idx="144">
                  <c:v>20.117375505127672</c:v>
                </c:pt>
                <c:pt idx="145">
                  <c:v>17.257472849009325</c:v>
                </c:pt>
                <c:pt idx="146">
                  <c:v>14.381247603098693</c:v>
                </c:pt>
                <c:pt idx="147">
                  <c:v>11.4904877324871</c:v>
                </c:pt>
                <c:pt idx="148">
                  <c:v>8.5869902375114009</c:v>
                </c:pt>
                <c:pt idx="149">
                  <c:v>5.6725600366741151</c:v>
                </c:pt>
                <c:pt idx="150">
                  <c:v>2.7490088446409864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1.9499106062863438</c:v>
                </c:pt>
                <c:pt idx="156">
                  <c:v>0.4353759783197173</c:v>
                </c:pt>
                <c:pt idx="157">
                  <c:v>-1.8969752270526943</c:v>
                </c:pt>
                <c:pt idx="158">
                  <c:v>-4.3589076120530557</c:v>
                </c:pt>
                <c:pt idx="159">
                  <c:v>-6.8839803504483132</c:v>
                </c:pt>
                <c:pt idx="160">
                  <c:v>-9.445701924974987</c:v>
                </c:pt>
                <c:pt idx="161">
                  <c:v>-12.029847191518842</c:v>
                </c:pt>
                <c:pt idx="162">
                  <c:v>-14.627414945166993</c:v>
                </c:pt>
                <c:pt idx="163">
                  <c:v>-17.232056846141056</c:v>
                </c:pt>
                <c:pt idx="164">
                  <c:v>-19.838932677723623</c:v>
                </c:pt>
                <c:pt idx="165">
                  <c:v>-22.444130304605075</c:v>
                </c:pt>
                <c:pt idx="166">
                  <c:v>-25.044343452319694</c:v>
                </c:pt>
                <c:pt idx="167">
                  <c:v>-27.636679898033758</c:v>
                </c:pt>
                <c:pt idx="168">
                  <c:v>-30.218540957437643</c:v>
                </c:pt>
                <c:pt idx="169">
                  <c:v>-32.78754241013354</c:v>
                </c:pt>
                <c:pt idx="170">
                  <c:v>-35.341460734846422</c:v>
                </c:pt>
                <c:pt idx="171">
                  <c:v>-37.87819545249797</c:v>
                </c:pt>
                <c:pt idx="172">
                  <c:v>-40.395742083457577</c:v>
                </c:pt>
                <c:pt idx="173">
                  <c:v>-42.892172311294814</c:v>
                </c:pt>
                <c:pt idx="174">
                  <c:v>-45.365619169152751</c:v>
                </c:pt>
                <c:pt idx="175">
                  <c:v>-47.814265809250514</c:v>
                </c:pt>
                <c:pt idx="176">
                  <c:v>-50.2363368832779</c:v>
                </c:pt>
                <c:pt idx="177">
                  <c:v>-52.630091862955695</c:v>
                </c:pt>
                <c:pt idx="178">
                  <c:v>-54.993819829410697</c:v>
                </c:pt>
                <c:pt idx="179">
                  <c:v>-57.325835394749546</c:v>
                </c:pt>
                <c:pt idx="180">
                  <c:v>-59.624475512051248</c:v>
                </c:pt>
                <c:pt idx="181">
                  <c:v>-61.888096995078456</c:v>
                </c:pt>
                <c:pt idx="182">
                  <c:v>-64.115074615332276</c:v>
                </c:pt>
                <c:pt idx="183">
                  <c:v>-66.30379967749289</c:v>
                </c:pt>
                <c:pt idx="184">
                  <c:v>-68.452678998667324</c:v>
                </c:pt>
                <c:pt idx="185">
                  <c:v>-70.560134234811926</c:v>
                </c:pt>
                <c:pt idx="186">
                  <c:v>-72.62460151099414</c:v>
                </c:pt>
                <c:pt idx="187">
                  <c:v>-74.644531322041644</c:v>
                </c:pt>
                <c:pt idx="188">
                  <c:v>-76.618388677470904</c:v>
                </c:pt>
                <c:pt idx="189">
                  <c:v>-78.544653470010275</c:v>
                </c:pt>
                <c:pt idx="190">
                  <c:v>-80.421821050989195</c:v>
                </c:pt>
                <c:pt idx="191">
                  <c:v>-82.248402998682764</c:v>
                </c:pt>
                <c:pt idx="192">
                  <c:v>-84.022928067629167</c:v>
                </c:pt>
                <c:pt idx="193">
                  <c:v>-85.743943308162585</c:v>
                </c:pt>
                <c:pt idx="194">
                  <c:v>-87.410015346074147</c:v>
                </c:pt>
                <c:pt idx="195">
                  <c:v>-89.019731812542062</c:v>
                </c:pt>
                <c:pt idx="196">
                  <c:v>-90.571702914357161</c:v>
                </c:pt>
                <c:pt idx="197">
                  <c:v>-92.064563134086512</c:v>
                </c:pt>
                <c:pt idx="198">
                  <c:v>-93.496973049239003</c:v>
                </c:pt>
                <c:pt idx="199">
                  <c:v>-94.867621258778129</c:v>
                </c:pt>
                <c:pt idx="200">
                  <c:v>-96.175226404524849</c:v>
                </c:pt>
                <c:pt idx="201">
                  <c:v>-97.418539274155421</c:v>
                </c:pt>
                <c:pt idx="202">
                  <c:v>-98.596344971669311</c:v>
                </c:pt>
                <c:pt idx="203">
                  <c:v>-99.707465140420894</c:v>
                </c:pt>
                <c:pt idx="204">
                  <c:v>-100.75076022311241</c:v>
                </c:pt>
                <c:pt idx="205">
                  <c:v>-101.72513174256733</c:v>
                </c:pt>
                <c:pt idx="206">
                  <c:v>-102.62952458666661</c:v>
                </c:pt>
                <c:pt idx="207">
                  <c:v>-103.46292928056559</c:v>
                </c:pt>
                <c:pt idx="208">
                  <c:v>-104.22438422922602</c:v>
                </c:pt>
                <c:pt idx="209">
                  <c:v>-104.91297791341526</c:v>
                </c:pt>
                <c:pt idx="210">
                  <c:v>-105.527851022645</c:v>
                </c:pt>
                <c:pt idx="211">
                  <c:v>-106.06819850905003</c:v>
                </c:pt>
                <c:pt idx="212">
                  <c:v>-106.53327154693659</c:v>
                </c:pt>
                <c:pt idx="213">
                  <c:v>-106.92237938365012</c:v>
                </c:pt>
                <c:pt idx="214">
                  <c:v>-107.23489106851224</c:v>
                </c:pt>
                <c:pt idx="215">
                  <c:v>-107.47023704783025</c:v>
                </c:pt>
                <c:pt idx="216">
                  <c:v>-107.62791061537467</c:v>
                </c:pt>
                <c:pt idx="217">
                  <c:v>-107.70746920921601</c:v>
                </c:pt>
                <c:pt idx="218">
                  <c:v>-107.70853554738908</c:v>
                </c:pt>
              </c:numCache>
            </c:numRef>
          </c:xVal>
          <c:yVal>
            <c:numRef>
              <c:f>'5LeverTailRectangle'!$BM$6:$BM$224</c:f>
              <c:numCache>
                <c:formatCode>General</c:formatCode>
                <c:ptCount val="219"/>
                <c:pt idx="85">
                  <c:v>0</c:v>
                </c:pt>
                <c:pt idx="86">
                  <c:v>-18.579633071110901</c:v>
                </c:pt>
                <c:pt idx="87">
                  <c:v>60</c:v>
                </c:pt>
                <c:pt idx="88">
                  <c:v>40.811950064038669</c:v>
                </c:pt>
                <c:pt idx="89">
                  <c:v>31.403234181322922</c:v>
                </c:pt>
                <c:pt idx="90">
                  <c:v>0</c:v>
                </c:pt>
              </c:numCache>
            </c:numRef>
          </c:yVal>
          <c:smooth val="0"/>
        </c:ser>
        <c:ser>
          <c:idx val="14"/>
          <c:order val="14"/>
          <c:tx>
            <c:strRef>
              <c:f>'5LeverTailRectangle'!$BN$5</c:f>
              <c:strCache>
                <c:ptCount val="1"/>
                <c:pt idx="0">
                  <c:v>RL</c:v>
                </c:pt>
              </c:strCache>
            </c:strRef>
          </c:tx>
          <c:spPr>
            <a:ln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'5LeverTailRectangle'!$AY$6:$AY$224</c:f>
              <c:numCache>
                <c:formatCode>General</c:formatCode>
                <c:ptCount val="219"/>
                <c:pt idx="0">
                  <c:v>-62.915103558236275</c:v>
                </c:pt>
                <c:pt idx="1">
                  <c:v>-52.255284346750535</c:v>
                </c:pt>
                <c:pt idx="2">
                  <c:v>-41.617893203520786</c:v>
                </c:pt>
                <c:pt idx="3">
                  <c:v>-31.075616629919871</c:v>
                </c:pt>
                <c:pt idx="4">
                  <c:v>-20.582425716540314</c:v>
                </c:pt>
                <c:pt idx="5">
                  <c:v>-9.9424261892741228</c:v>
                </c:pt>
                <c:pt idx="6">
                  <c:v>1.1408666100856948</c:v>
                </c:pt>
                <c:pt idx="7">
                  <c:v>12.906193769447022</c:v>
                </c:pt>
                <c:pt idx="8">
                  <c:v>25.425910442131688</c:v>
                </c:pt>
                <c:pt idx="9">
                  <c:v>38.668580764638349</c:v>
                </c:pt>
                <c:pt idx="10">
                  <c:v>52.763341810937938</c:v>
                </c:pt>
                <c:pt idx="11">
                  <c:v>50.151091411687077</c:v>
                </c:pt>
                <c:pt idx="12">
                  <c:v>-61.466610306763862</c:v>
                </c:pt>
                <c:pt idx="13">
                  <c:v>-9</c:v>
                </c:pt>
                <c:pt idx="14">
                  <c:v>-40.985662190871238</c:v>
                </c:pt>
                <c:pt idx="15">
                  <c:v>-70</c:v>
                </c:pt>
                <c:pt idx="16">
                  <c:v>-62.915103558236275</c:v>
                </c:pt>
                <c:pt idx="17">
                  <c:v>-6.4586286938894535</c:v>
                </c:pt>
                <c:pt idx="18">
                  <c:v>9</c:v>
                </c:pt>
                <c:pt idx="19">
                  <c:v>-9</c:v>
                </c:pt>
                <c:pt idx="20">
                  <c:v>-40.664497800972853</c:v>
                </c:pt>
                <c:pt idx="21">
                  <c:v>-56</c:v>
                </c:pt>
                <c:pt idx="22">
                  <c:v>-52.255284346750535</c:v>
                </c:pt>
                <c:pt idx="23">
                  <c:v>6.677652173205086</c:v>
                </c:pt>
                <c:pt idx="24">
                  <c:v>9</c:v>
                </c:pt>
                <c:pt idx="25">
                  <c:v>-9</c:v>
                </c:pt>
                <c:pt idx="26">
                  <c:v>-40.435181690601752</c:v>
                </c:pt>
                <c:pt idx="27">
                  <c:v>-42</c:v>
                </c:pt>
                <c:pt idx="28">
                  <c:v>-41.617893203520786</c:v>
                </c:pt>
                <c:pt idx="29">
                  <c:v>17.029172929078673</c:v>
                </c:pt>
                <c:pt idx="30">
                  <c:v>9</c:v>
                </c:pt>
                <c:pt idx="31">
                  <c:v>-9</c:v>
                </c:pt>
                <c:pt idx="32">
                  <c:v>-40.595382389189616</c:v>
                </c:pt>
                <c:pt idx="33">
                  <c:v>-28</c:v>
                </c:pt>
                <c:pt idx="34">
                  <c:v>-31.075616629919871</c:v>
                </c:pt>
                <c:pt idx="35">
                  <c:v>25.581924896199304</c:v>
                </c:pt>
                <c:pt idx="36">
                  <c:v>9</c:v>
                </c:pt>
                <c:pt idx="37">
                  <c:v>-9</c:v>
                </c:pt>
                <c:pt idx="38">
                  <c:v>-40.956600553448808</c:v>
                </c:pt>
                <c:pt idx="39">
                  <c:v>-14</c:v>
                </c:pt>
                <c:pt idx="40">
                  <c:v>-20.582425716540314</c:v>
                </c:pt>
                <c:pt idx="41">
                  <c:v>32.165600148691183</c:v>
                </c:pt>
                <c:pt idx="42">
                  <c:v>9</c:v>
                </c:pt>
                <c:pt idx="43">
                  <c:v>-9</c:v>
                </c:pt>
                <c:pt idx="44">
                  <c:v>-40.71660248941339</c:v>
                </c:pt>
                <c:pt idx="45">
                  <c:v>0</c:v>
                </c:pt>
                <c:pt idx="46">
                  <c:v>-9.9424261892741228</c:v>
                </c:pt>
                <c:pt idx="47">
                  <c:v>36.623816105831878</c:v>
                </c:pt>
                <c:pt idx="48">
                  <c:v>9</c:v>
                </c:pt>
                <c:pt idx="49">
                  <c:v>-9</c:v>
                </c:pt>
                <c:pt idx="50">
                  <c:v>-38.661212930139619</c:v>
                </c:pt>
                <c:pt idx="51">
                  <c:v>14</c:v>
                </c:pt>
                <c:pt idx="52">
                  <c:v>1.1408666100856948</c:v>
                </c:pt>
                <c:pt idx="53">
                  <c:v>39.165215516381885</c:v>
                </c:pt>
                <c:pt idx="54">
                  <c:v>9</c:v>
                </c:pt>
                <c:pt idx="55">
                  <c:v>-9</c:v>
                </c:pt>
                <c:pt idx="56">
                  <c:v>-33.812730277526853</c:v>
                </c:pt>
                <c:pt idx="57">
                  <c:v>28</c:v>
                </c:pt>
                <c:pt idx="58">
                  <c:v>12.906193769447022</c:v>
                </c:pt>
                <c:pt idx="59">
                  <c:v>40.33871401481656</c:v>
                </c:pt>
                <c:pt idx="60">
                  <c:v>9</c:v>
                </c:pt>
                <c:pt idx="61">
                  <c:v>-9</c:v>
                </c:pt>
                <c:pt idx="62">
                  <c:v>-25.874842951302725</c:v>
                </c:pt>
                <c:pt idx="63">
                  <c:v>42</c:v>
                </c:pt>
                <c:pt idx="64">
                  <c:v>25.425910442131688</c:v>
                </c:pt>
                <c:pt idx="65">
                  <c:v>40.756751843001304</c:v>
                </c:pt>
                <c:pt idx="66">
                  <c:v>9</c:v>
                </c:pt>
                <c:pt idx="67">
                  <c:v>-9</c:v>
                </c:pt>
                <c:pt idx="68">
                  <c:v>-14.976288297232923</c:v>
                </c:pt>
                <c:pt idx="69">
                  <c:v>56</c:v>
                </c:pt>
                <c:pt idx="70">
                  <c:v>38.668580764638349</c:v>
                </c:pt>
                <c:pt idx="71">
                  <c:v>40.841808347238583</c:v>
                </c:pt>
                <c:pt idx="72">
                  <c:v>9</c:v>
                </c:pt>
                <c:pt idx="73">
                  <c:v>-9</c:v>
                </c:pt>
                <c:pt idx="74">
                  <c:v>-0.58821925048155776</c:v>
                </c:pt>
                <c:pt idx="75">
                  <c:v>70</c:v>
                </c:pt>
                <c:pt idx="76">
                  <c:v>52.763341810937938</c:v>
                </c:pt>
                <c:pt idx="77">
                  <c:v>40.732715016655298</c:v>
                </c:pt>
                <c:pt idx="78">
                  <c:v>9</c:v>
                </c:pt>
                <c:pt idx="79">
                  <c:v>-9</c:v>
                </c:pt>
                <c:pt idx="80">
                  <c:v>-11.286006599795854</c:v>
                </c:pt>
                <c:pt idx="81">
                  <c:v>70</c:v>
                </c:pt>
                <c:pt idx="82">
                  <c:v>50.151091411687077</c:v>
                </c:pt>
                <c:pt idx="83">
                  <c:v>39.083477722548608</c:v>
                </c:pt>
                <c:pt idx="84">
                  <c:v>9</c:v>
                </c:pt>
                <c:pt idx="85">
                  <c:v>-9</c:v>
                </c:pt>
                <c:pt idx="86">
                  <c:v>-35.05373744672503</c:v>
                </c:pt>
                <c:pt idx="87">
                  <c:v>-70</c:v>
                </c:pt>
                <c:pt idx="88">
                  <c:v>-61.466610306763862</c:v>
                </c:pt>
                <c:pt idx="89">
                  <c:v>2.8488307653754443</c:v>
                </c:pt>
                <c:pt idx="90">
                  <c:v>9</c:v>
                </c:pt>
                <c:pt idx="91">
                  <c:v>109</c:v>
                </c:pt>
                <c:pt idx="92">
                  <c:v>108.96332347734752</c:v>
                </c:pt>
                <c:pt idx="93">
                  <c:v>108.8533167088361</c:v>
                </c:pt>
                <c:pt idx="94">
                  <c:v>108.67004807863076</c:v>
                </c:pt>
                <c:pt idx="95">
                  <c:v>108.41363151310553</c:v>
                </c:pt>
                <c:pt idx="96">
                  <c:v>108.08422641002265</c:v>
                </c:pt>
                <c:pt idx="97">
                  <c:v>107.6820375394453</c:v>
                </c:pt>
                <c:pt idx="98">
                  <c:v>107.20731491644504</c:v>
                </c:pt>
                <c:pt idx="99">
                  <c:v>106.66035364568347</c:v>
                </c:pt>
                <c:pt idx="100">
                  <c:v>106.04149373796464</c:v>
                </c:pt>
                <c:pt idx="101">
                  <c:v>105.351119898872</c:v>
                </c:pt>
                <c:pt idx="102">
                  <c:v>104.58966128962159</c:v>
                </c:pt>
                <c:pt idx="103">
                  <c:v>103.75759126028008</c:v>
                </c:pt>
                <c:pt idx="104">
                  <c:v>102.85542705551322</c:v>
                </c:pt>
                <c:pt idx="105">
                  <c:v>101.88372949304798</c:v>
                </c:pt>
                <c:pt idx="106">
                  <c:v>100.84310261504811</c:v>
                </c:pt>
                <c:pt idx="107">
                  <c:v>99.734193312619794</c:v>
                </c:pt>
                <c:pt idx="108">
                  <c:v>98.557690923680809</c:v>
                </c:pt>
                <c:pt idx="109">
                  <c:v>97.314326804443354</c:v>
                </c:pt>
                <c:pt idx="110">
                  <c:v>96.004873874776649</c:v>
                </c:pt>
                <c:pt idx="111">
                  <c:v>94.630146137732154</c:v>
                </c:pt>
                <c:pt idx="112">
                  <c:v>93.190998173530048</c:v>
                </c:pt>
                <c:pt idx="113">
                  <c:v>91.688324608321324</c:v>
                </c:pt>
                <c:pt idx="114">
                  <c:v>90.123059558056042</c:v>
                </c:pt>
                <c:pt idx="115">
                  <c:v>88.496176047803246</c:v>
                </c:pt>
                <c:pt idx="116">
                  <c:v>86.808685406883541</c:v>
                </c:pt>
                <c:pt idx="117">
                  <c:v>85.061636640190457</c:v>
                </c:pt>
                <c:pt idx="118">
                  <c:v>83.256115776091235</c:v>
                </c:pt>
                <c:pt idx="119">
                  <c:v>81.393245191312488</c:v>
                </c:pt>
                <c:pt idx="120">
                  <c:v>79.474182913230521</c:v>
                </c:pt>
                <c:pt idx="121">
                  <c:v>77.500121899999812</c:v>
                </c:pt>
                <c:pt idx="122">
                  <c:v>75.472289298967283</c:v>
                </c:pt>
                <c:pt idx="123">
                  <c:v>73.391945683833413</c:v>
                </c:pt>
                <c:pt idx="124">
                  <c:v>71.260384271034184</c:v>
                </c:pt>
                <c:pt idx="125">
                  <c:v>69.078930115831355</c:v>
                </c:pt>
                <c:pt idx="126">
                  <c:v>66.84893928861031</c:v>
                </c:pt>
                <c:pt idx="127">
                  <c:v>64.571798031898012</c:v>
                </c:pt>
                <c:pt idx="128">
                  <c:v>62.248921898624673</c:v>
                </c:pt>
                <c:pt idx="129">
                  <c:v>59.881754872165274</c:v>
                </c:pt>
                <c:pt idx="130">
                  <c:v>57.471768468707353</c:v>
                </c:pt>
                <c:pt idx="131">
                  <c:v>55.020460822503807</c:v>
                </c:pt>
                <c:pt idx="132">
                  <c:v>52.529355754578582</c:v>
                </c:pt>
                <c:pt idx="133">
                  <c:v>50.000001825464786</c:v>
                </c:pt>
                <c:pt idx="134">
                  <c:v>47.433971372563768</c:v>
                </c:pt>
                <c:pt idx="135">
                  <c:v>44.832859532723496</c:v>
                </c:pt>
                <c:pt idx="136">
                  <c:v>42.198283250644259</c:v>
                </c:pt>
                <c:pt idx="137">
                  <c:v>39.531880273727573</c:v>
                </c:pt>
                <c:pt idx="138">
                  <c:v>36.835308133993479</c:v>
                </c:pt>
                <c:pt idx="139">
                  <c:v>34.110243117699014</c:v>
                </c:pt>
                <c:pt idx="140">
                  <c:v>31.358379223298492</c:v>
                </c:pt>
                <c:pt idx="141">
                  <c:v>28.581427108392873</c:v>
                </c:pt>
                <c:pt idx="142">
                  <c:v>25.781113026323638</c:v>
                </c:pt>
                <c:pt idx="143">
                  <c:v>22.959177753071529</c:v>
                </c:pt>
                <c:pt idx="144">
                  <c:v>20.117375505127672</c:v>
                </c:pt>
                <c:pt idx="145">
                  <c:v>17.257472849009325</c:v>
                </c:pt>
                <c:pt idx="146">
                  <c:v>14.381247603098693</c:v>
                </c:pt>
                <c:pt idx="147">
                  <c:v>11.4904877324871</c:v>
                </c:pt>
                <c:pt idx="148">
                  <c:v>8.5869902375114009</c:v>
                </c:pt>
                <c:pt idx="149">
                  <c:v>5.6725600366741151</c:v>
                </c:pt>
                <c:pt idx="150">
                  <c:v>2.7490088446409864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1.9499106062863438</c:v>
                </c:pt>
                <c:pt idx="156">
                  <c:v>0.4353759783197173</c:v>
                </c:pt>
                <c:pt idx="157">
                  <c:v>-1.8969752270526943</c:v>
                </c:pt>
                <c:pt idx="158">
                  <c:v>-4.3589076120530557</c:v>
                </c:pt>
                <c:pt idx="159">
                  <c:v>-6.8839803504483132</c:v>
                </c:pt>
                <c:pt idx="160">
                  <c:v>-9.445701924974987</c:v>
                </c:pt>
                <c:pt idx="161">
                  <c:v>-12.029847191518842</c:v>
                </c:pt>
                <c:pt idx="162">
                  <c:v>-14.627414945166993</c:v>
                </c:pt>
                <c:pt idx="163">
                  <c:v>-17.232056846141056</c:v>
                </c:pt>
                <c:pt idx="164">
                  <c:v>-19.838932677723623</c:v>
                </c:pt>
                <c:pt idx="165">
                  <c:v>-22.444130304605075</c:v>
                </c:pt>
                <c:pt idx="166">
                  <c:v>-25.044343452319694</c:v>
                </c:pt>
                <c:pt idx="167">
                  <c:v>-27.636679898033758</c:v>
                </c:pt>
                <c:pt idx="168">
                  <c:v>-30.218540957437643</c:v>
                </c:pt>
                <c:pt idx="169">
                  <c:v>-32.78754241013354</c:v>
                </c:pt>
                <c:pt idx="170">
                  <c:v>-35.341460734846422</c:v>
                </c:pt>
                <c:pt idx="171">
                  <c:v>-37.87819545249797</c:v>
                </c:pt>
                <c:pt idx="172">
                  <c:v>-40.395742083457577</c:v>
                </c:pt>
                <c:pt idx="173">
                  <c:v>-42.892172311294814</c:v>
                </c:pt>
                <c:pt idx="174">
                  <c:v>-45.365619169152751</c:v>
                </c:pt>
                <c:pt idx="175">
                  <c:v>-47.814265809250514</c:v>
                </c:pt>
                <c:pt idx="176">
                  <c:v>-50.2363368832779</c:v>
                </c:pt>
                <c:pt idx="177">
                  <c:v>-52.630091862955695</c:v>
                </c:pt>
                <c:pt idx="178">
                  <c:v>-54.993819829410697</c:v>
                </c:pt>
                <c:pt idx="179">
                  <c:v>-57.325835394749546</c:v>
                </c:pt>
                <c:pt idx="180">
                  <c:v>-59.624475512051248</c:v>
                </c:pt>
                <c:pt idx="181">
                  <c:v>-61.888096995078456</c:v>
                </c:pt>
                <c:pt idx="182">
                  <c:v>-64.115074615332276</c:v>
                </c:pt>
                <c:pt idx="183">
                  <c:v>-66.30379967749289</c:v>
                </c:pt>
                <c:pt idx="184">
                  <c:v>-68.452678998667324</c:v>
                </c:pt>
                <c:pt idx="185">
                  <c:v>-70.560134234811926</c:v>
                </c:pt>
                <c:pt idx="186">
                  <c:v>-72.62460151099414</c:v>
                </c:pt>
                <c:pt idx="187">
                  <c:v>-74.644531322041644</c:v>
                </c:pt>
                <c:pt idx="188">
                  <c:v>-76.618388677470904</c:v>
                </c:pt>
                <c:pt idx="189">
                  <c:v>-78.544653470010275</c:v>
                </c:pt>
                <c:pt idx="190">
                  <c:v>-80.421821050989195</c:v>
                </c:pt>
                <c:pt idx="191">
                  <c:v>-82.248402998682764</c:v>
                </c:pt>
                <c:pt idx="192">
                  <c:v>-84.022928067629167</c:v>
                </c:pt>
                <c:pt idx="193">
                  <c:v>-85.743943308162585</c:v>
                </c:pt>
                <c:pt idx="194">
                  <c:v>-87.410015346074147</c:v>
                </c:pt>
                <c:pt idx="195">
                  <c:v>-89.019731812542062</c:v>
                </c:pt>
                <c:pt idx="196">
                  <c:v>-90.571702914357161</c:v>
                </c:pt>
                <c:pt idx="197">
                  <c:v>-92.064563134086512</c:v>
                </c:pt>
                <c:pt idx="198">
                  <c:v>-93.496973049239003</c:v>
                </c:pt>
                <c:pt idx="199">
                  <c:v>-94.867621258778129</c:v>
                </c:pt>
                <c:pt idx="200">
                  <c:v>-96.175226404524849</c:v>
                </c:pt>
                <c:pt idx="201">
                  <c:v>-97.418539274155421</c:v>
                </c:pt>
                <c:pt idx="202">
                  <c:v>-98.596344971669311</c:v>
                </c:pt>
                <c:pt idx="203">
                  <c:v>-99.707465140420894</c:v>
                </c:pt>
                <c:pt idx="204">
                  <c:v>-100.75076022311241</c:v>
                </c:pt>
                <c:pt idx="205">
                  <c:v>-101.72513174256733</c:v>
                </c:pt>
                <c:pt idx="206">
                  <c:v>-102.62952458666661</c:v>
                </c:pt>
                <c:pt idx="207">
                  <c:v>-103.46292928056559</c:v>
                </c:pt>
                <c:pt idx="208">
                  <c:v>-104.22438422922602</c:v>
                </c:pt>
                <c:pt idx="209">
                  <c:v>-104.91297791341526</c:v>
                </c:pt>
                <c:pt idx="210">
                  <c:v>-105.527851022645</c:v>
                </c:pt>
                <c:pt idx="211">
                  <c:v>-106.06819850905003</c:v>
                </c:pt>
                <c:pt idx="212">
                  <c:v>-106.53327154693659</c:v>
                </c:pt>
                <c:pt idx="213">
                  <c:v>-106.92237938365012</c:v>
                </c:pt>
                <c:pt idx="214">
                  <c:v>-107.23489106851224</c:v>
                </c:pt>
                <c:pt idx="215">
                  <c:v>-107.47023704783025</c:v>
                </c:pt>
                <c:pt idx="216">
                  <c:v>-107.62791061537467</c:v>
                </c:pt>
                <c:pt idx="217">
                  <c:v>-107.70746920921601</c:v>
                </c:pt>
                <c:pt idx="218">
                  <c:v>-107.70853554738908</c:v>
                </c:pt>
              </c:numCache>
            </c:numRef>
          </c:xVal>
          <c:yVal>
            <c:numRef>
              <c:f>'5LeverTailRectangle'!$BN$6:$BN$224</c:f>
              <c:numCache>
                <c:formatCode>General</c:formatCode>
                <c:ptCount val="219"/>
                <c:pt idx="91">
                  <c:v>0</c:v>
                </c:pt>
                <c:pt idx="92">
                  <c:v>2.9418215749209318</c:v>
                </c:pt>
                <c:pt idx="93">
                  <c:v>5.881814407712505</c:v>
                </c:pt>
                <c:pt idx="94">
                  <c:v>8.8181508930572647</c:v>
                </c:pt>
                <c:pt idx="95">
                  <c:v>11.749005698554866</c:v>
                </c:pt>
                <c:pt idx="96">
                  <c:v>14.672556899414381</c:v>
                </c:pt>
                <c:pt idx="97">
                  <c:v>17.586987111028289</c:v>
                </c:pt>
                <c:pt idx="98">
                  <c:v>20.490484618724118</c:v>
                </c:pt>
                <c:pt idx="99">
                  <c:v>23.381244503991489</c:v>
                </c:pt>
                <c:pt idx="100">
                  <c:v>26.257469766484395</c:v>
                </c:pt>
                <c:pt idx="101">
                  <c:v>29.117372441101246</c:v>
                </c:pt>
                <c:pt idx="102">
                  <c:v>31.95917470944833</c:v>
                </c:pt>
                <c:pt idx="103">
                  <c:v>34.781110004995654</c:v>
                </c:pt>
                <c:pt idx="104">
                  <c:v>37.581424111238292</c:v>
                </c:pt>
                <c:pt idx="105">
                  <c:v>40.358376252180449</c:v>
                </c:pt>
                <c:pt idx="106">
                  <c:v>43.110240174464472</c:v>
                </c:pt>
                <c:pt idx="107">
                  <c:v>45.835305220472016</c:v>
                </c:pt>
                <c:pt idx="108">
                  <c:v>48.531877391730376</c:v>
                </c:pt>
                <c:pt idx="109">
                  <c:v>51.19828040196289</c:v>
                </c:pt>
                <c:pt idx="110">
                  <c:v>53.832856719128792</c:v>
                </c:pt>
                <c:pt idx="111">
                  <c:v>56.433968595804735</c:v>
                </c:pt>
                <c:pt idx="112">
                  <c:v>58.999999087267597</c:v>
                </c:pt>
                <c:pt idx="113">
                  <c:v>61.529353056645363</c:v>
                </c:pt>
                <c:pt idx="114">
                  <c:v>64.020458166511702</c:v>
                </c:pt>
                <c:pt idx="115">
                  <c:v>66.471765856307442</c:v>
                </c:pt>
                <c:pt idx="116">
                  <c:v>68.881752304981475</c:v>
                </c:pt>
                <c:pt idx="117">
                  <c:v>71.248919378252879</c:v>
                </c:pt>
                <c:pt idx="118">
                  <c:v>73.571795559904942</c:v>
                </c:pt>
                <c:pt idx="119">
                  <c:v>75.848936866532682</c:v>
                </c:pt>
                <c:pt idx="120">
                  <c:v>78.078927745174795</c:v>
                </c:pt>
                <c:pt idx="121">
                  <c:v>80.260381953272386</c:v>
                </c:pt>
                <c:pt idx="122">
                  <c:v>82.391943420407173</c:v>
                </c:pt>
                <c:pt idx="123">
                  <c:v>84.472287091283647</c:v>
                </c:pt>
                <c:pt idx="124">
                  <c:v>86.50011974943115</c:v>
                </c:pt>
                <c:pt idx="125">
                  <c:v>88.474180821113691</c:v>
                </c:pt>
                <c:pt idx="126">
                  <c:v>90.393243158948039</c:v>
                </c:pt>
                <c:pt idx="127">
                  <c:v>92.25611380474254</c:v>
                </c:pt>
                <c:pt idx="128">
                  <c:v>94.061634731083004</c:v>
                </c:pt>
                <c:pt idx="129">
                  <c:v>95.808683561204077</c:v>
                </c:pt>
                <c:pt idx="130">
                  <c:v>97.496174266699114</c:v>
                </c:pt>
                <c:pt idx="131">
                  <c:v>99.123057842634452</c:v>
                </c:pt>
                <c:pt idx="132">
                  <c:v>100.68832295964864</c:v>
                </c:pt>
                <c:pt idx="133">
                  <c:v>102.19099659263115</c:v>
                </c:pt>
                <c:pt idx="134">
                  <c:v>103.63014462558976</c:v>
                </c:pt>
                <c:pt idx="135">
                  <c:v>105.00487243233079</c:v>
                </c:pt>
                <c:pt idx="136">
                  <c:v>106.31432543259069</c:v>
                </c:pt>
                <c:pt idx="137">
                  <c:v>107.55768962327413</c:v>
                </c:pt>
                <c:pt idx="138">
                  <c:v>108.73419208446748</c:v>
                </c:pt>
                <c:pt idx="139">
                  <c:v>109.84310145991365</c:v>
                </c:pt>
                <c:pt idx="140">
                  <c:v>110.88372841164941</c:v>
                </c:pt>
                <c:pt idx="141">
                  <c:v>111.8554260485228</c:v>
                </c:pt>
                <c:pt idx="142">
                  <c:v>112.7575903283238</c:v>
                </c:pt>
                <c:pt idx="143">
                  <c:v>113.58966043327878</c:v>
                </c:pt>
                <c:pt idx="144">
                  <c:v>114.35111911867497</c:v>
                </c:pt>
                <c:pt idx="145">
                  <c:v>115.0414930343984</c:v>
                </c:pt>
                <c:pt idx="146">
                  <c:v>115.66035301918541</c:v>
                </c:pt>
                <c:pt idx="147">
                  <c:v>116.20731436740459</c:v>
                </c:pt>
                <c:pt idx="148">
                  <c:v>116.68203706820377</c:v>
                </c:pt>
                <c:pt idx="149">
                  <c:v>117.08422601687298</c:v>
                </c:pt>
                <c:pt idx="150">
                  <c:v>117.41363119829208</c:v>
                </c:pt>
                <c:pt idx="151">
                  <c:v>117.65627905046122</c:v>
                </c:pt>
                <c:pt idx="152">
                  <c:v>117.65627905046122</c:v>
                </c:pt>
                <c:pt idx="153">
                  <c:v>117.65627905046122</c:v>
                </c:pt>
                <c:pt idx="154">
                  <c:v>117.65627905046122</c:v>
                </c:pt>
              </c:numCache>
            </c:numRef>
          </c:yVal>
          <c:smooth val="0"/>
        </c:ser>
        <c:ser>
          <c:idx val="15"/>
          <c:order val="15"/>
          <c:tx>
            <c:strRef>
              <c:f>'5LeverTailRectangle'!$BO$5</c:f>
              <c:strCache>
                <c:ptCount val="1"/>
                <c:pt idx="0">
                  <c:v>RR</c:v>
                </c:pt>
              </c:strCache>
            </c:strRef>
          </c:tx>
          <c:spPr>
            <a:ln w="285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'5LeverTailRectangle'!$AY$6:$AY$224</c:f>
              <c:numCache>
                <c:formatCode>General</c:formatCode>
                <c:ptCount val="219"/>
                <c:pt idx="0">
                  <c:v>-62.915103558236275</c:v>
                </c:pt>
                <c:pt idx="1">
                  <c:v>-52.255284346750535</c:v>
                </c:pt>
                <c:pt idx="2">
                  <c:v>-41.617893203520786</c:v>
                </c:pt>
                <c:pt idx="3">
                  <c:v>-31.075616629919871</c:v>
                </c:pt>
                <c:pt idx="4">
                  <c:v>-20.582425716540314</c:v>
                </c:pt>
                <c:pt idx="5">
                  <c:v>-9.9424261892741228</c:v>
                </c:pt>
                <c:pt idx="6">
                  <c:v>1.1408666100856948</c:v>
                </c:pt>
                <c:pt idx="7">
                  <c:v>12.906193769447022</c:v>
                </c:pt>
                <c:pt idx="8">
                  <c:v>25.425910442131688</c:v>
                </c:pt>
                <c:pt idx="9">
                  <c:v>38.668580764638349</c:v>
                </c:pt>
                <c:pt idx="10">
                  <c:v>52.763341810937938</c:v>
                </c:pt>
                <c:pt idx="11">
                  <c:v>50.151091411687077</c:v>
                </c:pt>
                <c:pt idx="12">
                  <c:v>-61.466610306763862</c:v>
                </c:pt>
                <c:pt idx="13">
                  <c:v>-9</c:v>
                </c:pt>
                <c:pt idx="14">
                  <c:v>-40.985662190871238</c:v>
                </c:pt>
                <c:pt idx="15">
                  <c:v>-70</c:v>
                </c:pt>
                <c:pt idx="16">
                  <c:v>-62.915103558236275</c:v>
                </c:pt>
                <c:pt idx="17">
                  <c:v>-6.4586286938894535</c:v>
                </c:pt>
                <c:pt idx="18">
                  <c:v>9</c:v>
                </c:pt>
                <c:pt idx="19">
                  <c:v>-9</c:v>
                </c:pt>
                <c:pt idx="20">
                  <c:v>-40.664497800972853</c:v>
                </c:pt>
                <c:pt idx="21">
                  <c:v>-56</c:v>
                </c:pt>
                <c:pt idx="22">
                  <c:v>-52.255284346750535</c:v>
                </c:pt>
                <c:pt idx="23">
                  <c:v>6.677652173205086</c:v>
                </c:pt>
                <c:pt idx="24">
                  <c:v>9</c:v>
                </c:pt>
                <c:pt idx="25">
                  <c:v>-9</c:v>
                </c:pt>
                <c:pt idx="26">
                  <c:v>-40.435181690601752</c:v>
                </c:pt>
                <c:pt idx="27">
                  <c:v>-42</c:v>
                </c:pt>
                <c:pt idx="28">
                  <c:v>-41.617893203520786</c:v>
                </c:pt>
                <c:pt idx="29">
                  <c:v>17.029172929078673</c:v>
                </c:pt>
                <c:pt idx="30">
                  <c:v>9</c:v>
                </c:pt>
                <c:pt idx="31">
                  <c:v>-9</c:v>
                </c:pt>
                <c:pt idx="32">
                  <c:v>-40.595382389189616</c:v>
                </c:pt>
                <c:pt idx="33">
                  <c:v>-28</c:v>
                </c:pt>
                <c:pt idx="34">
                  <c:v>-31.075616629919871</c:v>
                </c:pt>
                <c:pt idx="35">
                  <c:v>25.581924896199304</c:v>
                </c:pt>
                <c:pt idx="36">
                  <c:v>9</c:v>
                </c:pt>
                <c:pt idx="37">
                  <c:v>-9</c:v>
                </c:pt>
                <c:pt idx="38">
                  <c:v>-40.956600553448808</c:v>
                </c:pt>
                <c:pt idx="39">
                  <c:v>-14</c:v>
                </c:pt>
                <c:pt idx="40">
                  <c:v>-20.582425716540314</c:v>
                </c:pt>
                <c:pt idx="41">
                  <c:v>32.165600148691183</c:v>
                </c:pt>
                <c:pt idx="42">
                  <c:v>9</c:v>
                </c:pt>
                <c:pt idx="43">
                  <c:v>-9</c:v>
                </c:pt>
                <c:pt idx="44">
                  <c:v>-40.71660248941339</c:v>
                </c:pt>
                <c:pt idx="45">
                  <c:v>0</c:v>
                </c:pt>
                <c:pt idx="46">
                  <c:v>-9.9424261892741228</c:v>
                </c:pt>
                <c:pt idx="47">
                  <c:v>36.623816105831878</c:v>
                </c:pt>
                <c:pt idx="48">
                  <c:v>9</c:v>
                </c:pt>
                <c:pt idx="49">
                  <c:v>-9</c:v>
                </c:pt>
                <c:pt idx="50">
                  <c:v>-38.661212930139619</c:v>
                </c:pt>
                <c:pt idx="51">
                  <c:v>14</c:v>
                </c:pt>
                <c:pt idx="52">
                  <c:v>1.1408666100856948</c:v>
                </c:pt>
                <c:pt idx="53">
                  <c:v>39.165215516381885</c:v>
                </c:pt>
                <c:pt idx="54">
                  <c:v>9</c:v>
                </c:pt>
                <c:pt idx="55">
                  <c:v>-9</c:v>
                </c:pt>
                <c:pt idx="56">
                  <c:v>-33.812730277526853</c:v>
                </c:pt>
                <c:pt idx="57">
                  <c:v>28</c:v>
                </c:pt>
                <c:pt idx="58">
                  <c:v>12.906193769447022</c:v>
                </c:pt>
                <c:pt idx="59">
                  <c:v>40.33871401481656</c:v>
                </c:pt>
                <c:pt idx="60">
                  <c:v>9</c:v>
                </c:pt>
                <c:pt idx="61">
                  <c:v>-9</c:v>
                </c:pt>
                <c:pt idx="62">
                  <c:v>-25.874842951302725</c:v>
                </c:pt>
                <c:pt idx="63">
                  <c:v>42</c:v>
                </c:pt>
                <c:pt idx="64">
                  <c:v>25.425910442131688</c:v>
                </c:pt>
                <c:pt idx="65">
                  <c:v>40.756751843001304</c:v>
                </c:pt>
                <c:pt idx="66">
                  <c:v>9</c:v>
                </c:pt>
                <c:pt idx="67">
                  <c:v>-9</c:v>
                </c:pt>
                <c:pt idx="68">
                  <c:v>-14.976288297232923</c:v>
                </c:pt>
                <c:pt idx="69">
                  <c:v>56</c:v>
                </c:pt>
                <c:pt idx="70">
                  <c:v>38.668580764638349</c:v>
                </c:pt>
                <c:pt idx="71">
                  <c:v>40.841808347238583</c:v>
                </c:pt>
                <c:pt idx="72">
                  <c:v>9</c:v>
                </c:pt>
                <c:pt idx="73">
                  <c:v>-9</c:v>
                </c:pt>
                <c:pt idx="74">
                  <c:v>-0.58821925048155776</c:v>
                </c:pt>
                <c:pt idx="75">
                  <c:v>70</c:v>
                </c:pt>
                <c:pt idx="76">
                  <c:v>52.763341810937938</c:v>
                </c:pt>
                <c:pt idx="77">
                  <c:v>40.732715016655298</c:v>
                </c:pt>
                <c:pt idx="78">
                  <c:v>9</c:v>
                </c:pt>
                <c:pt idx="79">
                  <c:v>-9</c:v>
                </c:pt>
                <c:pt idx="80">
                  <c:v>-11.286006599795854</c:v>
                </c:pt>
                <c:pt idx="81">
                  <c:v>70</c:v>
                </c:pt>
                <c:pt idx="82">
                  <c:v>50.151091411687077</c:v>
                </c:pt>
                <c:pt idx="83">
                  <c:v>39.083477722548608</c:v>
                </c:pt>
                <c:pt idx="84">
                  <c:v>9</c:v>
                </c:pt>
                <c:pt idx="85">
                  <c:v>-9</c:v>
                </c:pt>
                <c:pt idx="86">
                  <c:v>-35.05373744672503</c:v>
                </c:pt>
                <c:pt idx="87">
                  <c:v>-70</c:v>
                </c:pt>
                <c:pt idx="88">
                  <c:v>-61.466610306763862</c:v>
                </c:pt>
                <c:pt idx="89">
                  <c:v>2.8488307653754443</c:v>
                </c:pt>
                <c:pt idx="90">
                  <c:v>9</c:v>
                </c:pt>
                <c:pt idx="91">
                  <c:v>109</c:v>
                </c:pt>
                <c:pt idx="92">
                  <c:v>108.96332347734752</c:v>
                </c:pt>
                <c:pt idx="93">
                  <c:v>108.8533167088361</c:v>
                </c:pt>
                <c:pt idx="94">
                  <c:v>108.67004807863076</c:v>
                </c:pt>
                <c:pt idx="95">
                  <c:v>108.41363151310553</c:v>
                </c:pt>
                <c:pt idx="96">
                  <c:v>108.08422641002265</c:v>
                </c:pt>
                <c:pt idx="97">
                  <c:v>107.6820375394453</c:v>
                </c:pt>
                <c:pt idx="98">
                  <c:v>107.20731491644504</c:v>
                </c:pt>
                <c:pt idx="99">
                  <c:v>106.66035364568347</c:v>
                </c:pt>
                <c:pt idx="100">
                  <c:v>106.04149373796464</c:v>
                </c:pt>
                <c:pt idx="101">
                  <c:v>105.351119898872</c:v>
                </c:pt>
                <c:pt idx="102">
                  <c:v>104.58966128962159</c:v>
                </c:pt>
                <c:pt idx="103">
                  <c:v>103.75759126028008</c:v>
                </c:pt>
                <c:pt idx="104">
                  <c:v>102.85542705551322</c:v>
                </c:pt>
                <c:pt idx="105">
                  <c:v>101.88372949304798</c:v>
                </c:pt>
                <c:pt idx="106">
                  <c:v>100.84310261504811</c:v>
                </c:pt>
                <c:pt idx="107">
                  <c:v>99.734193312619794</c:v>
                </c:pt>
                <c:pt idx="108">
                  <c:v>98.557690923680809</c:v>
                </c:pt>
                <c:pt idx="109">
                  <c:v>97.314326804443354</c:v>
                </c:pt>
                <c:pt idx="110">
                  <c:v>96.004873874776649</c:v>
                </c:pt>
                <c:pt idx="111">
                  <c:v>94.630146137732154</c:v>
                </c:pt>
                <c:pt idx="112">
                  <c:v>93.190998173530048</c:v>
                </c:pt>
                <c:pt idx="113">
                  <c:v>91.688324608321324</c:v>
                </c:pt>
                <c:pt idx="114">
                  <c:v>90.123059558056042</c:v>
                </c:pt>
                <c:pt idx="115">
                  <c:v>88.496176047803246</c:v>
                </c:pt>
                <c:pt idx="116">
                  <c:v>86.808685406883541</c:v>
                </c:pt>
                <c:pt idx="117">
                  <c:v>85.061636640190457</c:v>
                </c:pt>
                <c:pt idx="118">
                  <c:v>83.256115776091235</c:v>
                </c:pt>
                <c:pt idx="119">
                  <c:v>81.393245191312488</c:v>
                </c:pt>
                <c:pt idx="120">
                  <c:v>79.474182913230521</c:v>
                </c:pt>
                <c:pt idx="121">
                  <c:v>77.500121899999812</c:v>
                </c:pt>
                <c:pt idx="122">
                  <c:v>75.472289298967283</c:v>
                </c:pt>
                <c:pt idx="123">
                  <c:v>73.391945683833413</c:v>
                </c:pt>
                <c:pt idx="124">
                  <c:v>71.260384271034184</c:v>
                </c:pt>
                <c:pt idx="125">
                  <c:v>69.078930115831355</c:v>
                </c:pt>
                <c:pt idx="126">
                  <c:v>66.84893928861031</c:v>
                </c:pt>
                <c:pt idx="127">
                  <c:v>64.571798031898012</c:v>
                </c:pt>
                <c:pt idx="128">
                  <c:v>62.248921898624673</c:v>
                </c:pt>
                <c:pt idx="129">
                  <c:v>59.881754872165274</c:v>
                </c:pt>
                <c:pt idx="130">
                  <c:v>57.471768468707353</c:v>
                </c:pt>
                <c:pt idx="131">
                  <c:v>55.020460822503807</c:v>
                </c:pt>
                <c:pt idx="132">
                  <c:v>52.529355754578582</c:v>
                </c:pt>
                <c:pt idx="133">
                  <c:v>50.000001825464786</c:v>
                </c:pt>
                <c:pt idx="134">
                  <c:v>47.433971372563768</c:v>
                </c:pt>
                <c:pt idx="135">
                  <c:v>44.832859532723496</c:v>
                </c:pt>
                <c:pt idx="136">
                  <c:v>42.198283250644259</c:v>
                </c:pt>
                <c:pt idx="137">
                  <c:v>39.531880273727573</c:v>
                </c:pt>
                <c:pt idx="138">
                  <c:v>36.835308133993479</c:v>
                </c:pt>
                <c:pt idx="139">
                  <c:v>34.110243117699014</c:v>
                </c:pt>
                <c:pt idx="140">
                  <c:v>31.358379223298492</c:v>
                </c:pt>
                <c:pt idx="141">
                  <c:v>28.581427108392873</c:v>
                </c:pt>
                <c:pt idx="142">
                  <c:v>25.781113026323638</c:v>
                </c:pt>
                <c:pt idx="143">
                  <c:v>22.959177753071529</c:v>
                </c:pt>
                <c:pt idx="144">
                  <c:v>20.117375505127672</c:v>
                </c:pt>
                <c:pt idx="145">
                  <c:v>17.257472849009325</c:v>
                </c:pt>
                <c:pt idx="146">
                  <c:v>14.381247603098693</c:v>
                </c:pt>
                <c:pt idx="147">
                  <c:v>11.4904877324871</c:v>
                </c:pt>
                <c:pt idx="148">
                  <c:v>8.5869902375114009</c:v>
                </c:pt>
                <c:pt idx="149">
                  <c:v>5.6725600366741151</c:v>
                </c:pt>
                <c:pt idx="150">
                  <c:v>2.7490088446409864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1.9499106062863438</c:v>
                </c:pt>
                <c:pt idx="156">
                  <c:v>0.4353759783197173</c:v>
                </c:pt>
                <c:pt idx="157">
                  <c:v>-1.8969752270526943</c:v>
                </c:pt>
                <c:pt idx="158">
                  <c:v>-4.3589076120530557</c:v>
                </c:pt>
                <c:pt idx="159">
                  <c:v>-6.8839803504483132</c:v>
                </c:pt>
                <c:pt idx="160">
                  <c:v>-9.445701924974987</c:v>
                </c:pt>
                <c:pt idx="161">
                  <c:v>-12.029847191518842</c:v>
                </c:pt>
                <c:pt idx="162">
                  <c:v>-14.627414945166993</c:v>
                </c:pt>
                <c:pt idx="163">
                  <c:v>-17.232056846141056</c:v>
                </c:pt>
                <c:pt idx="164">
                  <c:v>-19.838932677723623</c:v>
                </c:pt>
                <c:pt idx="165">
                  <c:v>-22.444130304605075</c:v>
                </c:pt>
                <c:pt idx="166">
                  <c:v>-25.044343452319694</c:v>
                </c:pt>
                <c:pt idx="167">
                  <c:v>-27.636679898033758</c:v>
                </c:pt>
                <c:pt idx="168">
                  <c:v>-30.218540957437643</c:v>
                </c:pt>
                <c:pt idx="169">
                  <c:v>-32.78754241013354</c:v>
                </c:pt>
                <c:pt idx="170">
                  <c:v>-35.341460734846422</c:v>
                </c:pt>
                <c:pt idx="171">
                  <c:v>-37.87819545249797</c:v>
                </c:pt>
                <c:pt idx="172">
                  <c:v>-40.395742083457577</c:v>
                </c:pt>
                <c:pt idx="173">
                  <c:v>-42.892172311294814</c:v>
                </c:pt>
                <c:pt idx="174">
                  <c:v>-45.365619169152751</c:v>
                </c:pt>
                <c:pt idx="175">
                  <c:v>-47.814265809250514</c:v>
                </c:pt>
                <c:pt idx="176">
                  <c:v>-50.2363368832779</c:v>
                </c:pt>
                <c:pt idx="177">
                  <c:v>-52.630091862955695</c:v>
                </c:pt>
                <c:pt idx="178">
                  <c:v>-54.993819829410697</c:v>
                </c:pt>
                <c:pt idx="179">
                  <c:v>-57.325835394749546</c:v>
                </c:pt>
                <c:pt idx="180">
                  <c:v>-59.624475512051248</c:v>
                </c:pt>
                <c:pt idx="181">
                  <c:v>-61.888096995078456</c:v>
                </c:pt>
                <c:pt idx="182">
                  <c:v>-64.115074615332276</c:v>
                </c:pt>
                <c:pt idx="183">
                  <c:v>-66.30379967749289</c:v>
                </c:pt>
                <c:pt idx="184">
                  <c:v>-68.452678998667324</c:v>
                </c:pt>
                <c:pt idx="185">
                  <c:v>-70.560134234811926</c:v>
                </c:pt>
                <c:pt idx="186">
                  <c:v>-72.62460151099414</c:v>
                </c:pt>
                <c:pt idx="187">
                  <c:v>-74.644531322041644</c:v>
                </c:pt>
                <c:pt idx="188">
                  <c:v>-76.618388677470904</c:v>
                </c:pt>
                <c:pt idx="189">
                  <c:v>-78.544653470010275</c:v>
                </c:pt>
                <c:pt idx="190">
                  <c:v>-80.421821050989195</c:v>
                </c:pt>
                <c:pt idx="191">
                  <c:v>-82.248402998682764</c:v>
                </c:pt>
                <c:pt idx="192">
                  <c:v>-84.022928067629167</c:v>
                </c:pt>
                <c:pt idx="193">
                  <c:v>-85.743943308162585</c:v>
                </c:pt>
                <c:pt idx="194">
                  <c:v>-87.410015346074147</c:v>
                </c:pt>
                <c:pt idx="195">
                  <c:v>-89.019731812542062</c:v>
                </c:pt>
                <c:pt idx="196">
                  <c:v>-90.571702914357161</c:v>
                </c:pt>
                <c:pt idx="197">
                  <c:v>-92.064563134086512</c:v>
                </c:pt>
                <c:pt idx="198">
                  <c:v>-93.496973049239003</c:v>
                </c:pt>
                <c:pt idx="199">
                  <c:v>-94.867621258778129</c:v>
                </c:pt>
                <c:pt idx="200">
                  <c:v>-96.175226404524849</c:v>
                </c:pt>
                <c:pt idx="201">
                  <c:v>-97.418539274155421</c:v>
                </c:pt>
                <c:pt idx="202">
                  <c:v>-98.596344971669311</c:v>
                </c:pt>
                <c:pt idx="203">
                  <c:v>-99.707465140420894</c:v>
                </c:pt>
                <c:pt idx="204">
                  <c:v>-100.75076022311241</c:v>
                </c:pt>
                <c:pt idx="205">
                  <c:v>-101.72513174256733</c:v>
                </c:pt>
                <c:pt idx="206">
                  <c:v>-102.62952458666661</c:v>
                </c:pt>
                <c:pt idx="207">
                  <c:v>-103.46292928056559</c:v>
                </c:pt>
                <c:pt idx="208">
                  <c:v>-104.22438422922602</c:v>
                </c:pt>
                <c:pt idx="209">
                  <c:v>-104.91297791341526</c:v>
                </c:pt>
                <c:pt idx="210">
                  <c:v>-105.527851022645</c:v>
                </c:pt>
                <c:pt idx="211">
                  <c:v>-106.06819850905003</c:v>
                </c:pt>
                <c:pt idx="212">
                  <c:v>-106.53327154693659</c:v>
                </c:pt>
                <c:pt idx="213">
                  <c:v>-106.92237938365012</c:v>
                </c:pt>
                <c:pt idx="214">
                  <c:v>-107.23489106851224</c:v>
                </c:pt>
                <c:pt idx="215">
                  <c:v>-107.47023704783025</c:v>
                </c:pt>
                <c:pt idx="216">
                  <c:v>-107.62791061537467</c:v>
                </c:pt>
                <c:pt idx="217">
                  <c:v>-107.70746920921601</c:v>
                </c:pt>
                <c:pt idx="218">
                  <c:v>-107.70853554738908</c:v>
                </c:pt>
              </c:numCache>
            </c:numRef>
          </c:xVal>
          <c:yVal>
            <c:numRef>
              <c:f>'5LeverTailRectangle'!$BO$6:$BO$224</c:f>
              <c:numCache>
                <c:formatCode>General</c:formatCode>
                <c:ptCount val="219"/>
                <c:pt idx="155">
                  <c:v>117.49084787531784</c:v>
                </c:pt>
                <c:pt idx="156">
                  <c:v>117.13419347523326</c:v>
                </c:pt>
                <c:pt idx="157">
                  <c:v>116.81085587659453</c:v>
                </c:pt>
                <c:pt idx="158">
                  <c:v>116.44690367677877</c:v>
                </c:pt>
                <c:pt idx="159">
                  <c:v>116.03281914215236</c:v>
                </c:pt>
                <c:pt idx="160">
                  <c:v>115.5643346317473</c:v>
                </c:pt>
                <c:pt idx="161">
                  <c:v>115.03901748242652</c:v>
                </c:pt>
                <c:pt idx="162">
                  <c:v>114.45531383405392</c:v>
                </c:pt>
                <c:pt idx="163">
                  <c:v>113.81217009496635</c:v>
                </c:pt>
                <c:pt idx="164">
                  <c:v>113.10885177766188</c:v>
                </c:pt>
                <c:pt idx="165">
                  <c:v>112.3448454626571</c:v>
                </c:pt>
                <c:pt idx="166">
                  <c:v>111.51980094694878</c:v>
                </c:pt>
                <c:pt idx="167">
                  <c:v>110.63349483748591</c:v>
                </c:pt>
                <c:pt idx="168">
                  <c:v>109.68580648053688</c:v>
                </c:pt>
                <c:pt idx="169">
                  <c:v>108.67670141990781</c:v>
                </c:pt>
                <c:pt idx="170">
                  <c:v>107.60621967720326</c:v>
                </c:pt>
                <c:pt idx="171">
                  <c:v>106.47446724758071</c:v>
                </c:pt>
                <c:pt idx="172">
                  <c:v>105.28160981496619</c:v>
                </c:pt>
                <c:pt idx="173">
                  <c:v>104.02786804604477</c:v>
                </c:pt>
                <c:pt idx="174">
                  <c:v>102.71351403767144</c:v>
                </c:pt>
                <c:pt idx="175">
                  <c:v>101.33886862738464</c:v>
                </c:pt>
                <c:pt idx="176">
                  <c:v>99.904299363914163</c:v>
                </c:pt>
                <c:pt idx="177">
                  <c:v>98.410218992331124</c:v>
                </c:pt>
                <c:pt idx="178">
                  <c:v>96.857084347569554</c:v>
                </c:pt>
                <c:pt idx="179">
                  <c:v>95.245395576975156</c:v>
                </c:pt>
                <c:pt idx="180">
                  <c:v>93.575695631364809</c:v>
                </c:pt>
                <c:pt idx="181">
                  <c:v>91.848569977400587</c:v>
                </c:pt>
                <c:pt idx="182">
                  <c:v>90.064646493583368</c:v>
                </c:pt>
                <c:pt idx="183">
                  <c:v>88.224595518981275</c:v>
                </c:pt>
                <c:pt idx="184">
                  <c:v>86.32913002869627</c:v>
                </c:pt>
                <c:pt idx="185">
                  <c:v>84.379005913568776</c:v>
                </c:pt>
                <c:pt idx="186">
                  <c:v>82.375022344105417</c:v>
                </c:pt>
                <c:pt idx="187">
                  <c:v>80.318022200360048</c:v>
                </c:pt>
                <c:pt idx="188">
                  <c:v>78.208892550703069</c:v>
                </c:pt>
                <c:pt idx="189">
                  <c:v>76.048565163233263</c:v>
                </c:pt>
                <c:pt idx="190">
                  <c:v>73.838017034132406</c:v>
                </c:pt>
                <c:pt idx="191">
                  <c:v>71.578270917630903</c:v>
                </c:pt>
                <c:pt idx="192">
                  <c:v>69.270395842512329</c:v>
                </c:pt>
                <c:pt idx="193">
                  <c:v>66.915507600298938</c:v>
                </c:pt>
                <c:pt idx="194">
                  <c:v>64.514769190474993</c:v>
                </c:pt>
                <c:pt idx="195">
                  <c:v>62.069391208362894</c:v>
                </c:pt>
                <c:pt idx="196">
                  <c:v>59.580632161598629</c:v>
                </c:pt>
                <c:pt idx="197">
                  <c:v>57.049798701590817</c:v>
                </c:pt>
                <c:pt idx="198">
                  <c:v>54.47824575690386</c:v>
                </c:pt>
                <c:pt idx="199">
                  <c:v>51.867376556203979</c:v>
                </c:pt>
                <c:pt idx="200">
                  <c:v>49.218642529253216</c:v>
                </c:pt>
                <c:pt idx="201">
                  <c:v>46.533543075434004</c:v>
                </c:pt>
                <c:pt idx="202">
                  <c:v>43.813625190438827</c:v>
                </c:pt>
                <c:pt idx="203">
                  <c:v>41.060482943056698</c:v>
                </c:pt>
                <c:pt idx="204">
                  <c:v>38.275756795420236</c:v>
                </c:pt>
                <c:pt idx="205">
                  <c:v>35.461132761629614</c:v>
                </c:pt>
                <c:pt idx="206">
                  <c:v>32.61834140132202</c:v>
                </c:pt>
                <c:pt idx="207">
                  <c:v>29.749156646483328</c:v>
                </c:pt>
                <c:pt idx="208">
                  <c:v>26.85539446157609</c:v>
                </c:pt>
                <c:pt idx="209">
                  <c:v>23.938911338856585</c:v>
                </c:pt>
                <c:pt idx="210">
                  <c:v>21.001602632541804</c:v>
                </c:pt>
                <c:pt idx="211">
                  <c:v>18.04540073723404</c:v>
                </c:pt>
                <c:pt idx="212">
                  <c:v>15.072273117684958</c:v>
                </c:pt>
                <c:pt idx="213">
                  <c:v>12.084220198555332</c:v>
                </c:pt>
                <c:pt idx="214">
                  <c:v>9.0832731242685902</c:v>
                </c:pt>
                <c:pt idx="215">
                  <c:v>6.0714914003477425</c:v>
                </c:pt>
                <c:pt idx="216">
                  <c:v>3.0509604287390886</c:v>
                </c:pt>
                <c:pt idx="217">
                  <c:v>2.3788950550098775E-2</c:v>
                </c:pt>
                <c:pt idx="218">
                  <c:v>-3.0078935896526602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176512"/>
        <c:axId val="128178432"/>
      </c:scatterChart>
      <c:valAx>
        <c:axId val="128176512"/>
        <c:scaling>
          <c:orientation val="minMax"/>
          <c:max val="110"/>
          <c:min val="-11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X, </a:t>
                </a:r>
                <a:r>
                  <a:rPr lang="ru-RU"/>
                  <a:t>мм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28178432"/>
        <c:crosses val="autoZero"/>
        <c:crossBetween val="midCat"/>
      </c:valAx>
      <c:valAx>
        <c:axId val="128178432"/>
        <c:scaling>
          <c:orientation val="minMax"/>
          <c:max val="120"/>
          <c:min val="-20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Y,</a:t>
                </a:r>
                <a:r>
                  <a:rPr lang="en-US" baseline="0"/>
                  <a:t> mm</a:t>
                </a:r>
                <a:endParaRPr lang="ru-RU" baseline="0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281765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25" r="0.25" t="0.75" header="0.3" footer="0.3"/>
    <c:pageSetup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'5LeverTailRectangle'!$AY$183:$AY$211</c:f>
              <c:numCache>
                <c:formatCode>General</c:formatCode>
                <c:ptCount val="29"/>
                <c:pt idx="0">
                  <c:v>-52.630091862955695</c:v>
                </c:pt>
                <c:pt idx="1">
                  <c:v>-54.993819829410697</c:v>
                </c:pt>
                <c:pt idx="2">
                  <c:v>-57.325835394749546</c:v>
                </c:pt>
                <c:pt idx="3">
                  <c:v>-59.624475512051248</c:v>
                </c:pt>
                <c:pt idx="4">
                  <c:v>-61.888096995078456</c:v>
                </c:pt>
                <c:pt idx="5">
                  <c:v>-64.115074615332276</c:v>
                </c:pt>
                <c:pt idx="6">
                  <c:v>-66.30379967749289</c:v>
                </c:pt>
                <c:pt idx="7">
                  <c:v>-68.452678998667324</c:v>
                </c:pt>
                <c:pt idx="8">
                  <c:v>-70.560134234811926</c:v>
                </c:pt>
                <c:pt idx="9">
                  <c:v>-72.62460151099414</c:v>
                </c:pt>
                <c:pt idx="10">
                  <c:v>-74.644531322041644</c:v>
                </c:pt>
                <c:pt idx="11">
                  <c:v>-76.618388677470904</c:v>
                </c:pt>
                <c:pt idx="12">
                  <c:v>-78.544653470010275</c:v>
                </c:pt>
                <c:pt idx="13">
                  <c:v>-80.421821050989195</c:v>
                </c:pt>
                <c:pt idx="14">
                  <c:v>-82.248402998682764</c:v>
                </c:pt>
                <c:pt idx="15">
                  <c:v>-84.022928067629167</c:v>
                </c:pt>
                <c:pt idx="16">
                  <c:v>-85.743943308162585</c:v>
                </c:pt>
                <c:pt idx="17">
                  <c:v>-87.410015346074147</c:v>
                </c:pt>
                <c:pt idx="18">
                  <c:v>-89.019731812542062</c:v>
                </c:pt>
                <c:pt idx="19">
                  <c:v>-90.571702914357161</c:v>
                </c:pt>
                <c:pt idx="20">
                  <c:v>-92.064563134086512</c:v>
                </c:pt>
                <c:pt idx="21">
                  <c:v>-93.496973049239003</c:v>
                </c:pt>
                <c:pt idx="22">
                  <c:v>-94.867621258778129</c:v>
                </c:pt>
                <c:pt idx="23">
                  <c:v>-96.175226404524849</c:v>
                </c:pt>
                <c:pt idx="24">
                  <c:v>-97.418539274155421</c:v>
                </c:pt>
                <c:pt idx="25">
                  <c:v>-98.596344971669311</c:v>
                </c:pt>
                <c:pt idx="26">
                  <c:v>-99.707465140420894</c:v>
                </c:pt>
                <c:pt idx="27">
                  <c:v>-100.75076022311241</c:v>
                </c:pt>
                <c:pt idx="28">
                  <c:v>-101.72513174256733</c:v>
                </c:pt>
              </c:numCache>
            </c:numRef>
          </c:xVal>
          <c:yVal>
            <c:numRef>
              <c:f>'5LeverTailRectangle'!$AZ$183:$AZ$211</c:f>
              <c:numCache>
                <c:formatCode>General</c:formatCode>
                <c:ptCount val="29"/>
              </c:numCache>
            </c:numRef>
          </c:yVal>
          <c:smooth val="0"/>
        </c:ser>
        <c:ser>
          <c:idx val="1"/>
          <c:order val="1"/>
          <c:spPr>
            <a:ln w="28575">
              <a:noFill/>
            </a:ln>
          </c:spPr>
          <c:xVal>
            <c:numRef>
              <c:f>'5LeverTailRectangle'!$AY$183:$AY$211</c:f>
              <c:numCache>
                <c:formatCode>General</c:formatCode>
                <c:ptCount val="29"/>
                <c:pt idx="0">
                  <c:v>-52.630091862955695</c:v>
                </c:pt>
                <c:pt idx="1">
                  <c:v>-54.993819829410697</c:v>
                </c:pt>
                <c:pt idx="2">
                  <c:v>-57.325835394749546</c:v>
                </c:pt>
                <c:pt idx="3">
                  <c:v>-59.624475512051248</c:v>
                </c:pt>
                <c:pt idx="4">
                  <c:v>-61.888096995078456</c:v>
                </c:pt>
                <c:pt idx="5">
                  <c:v>-64.115074615332276</c:v>
                </c:pt>
                <c:pt idx="6">
                  <c:v>-66.30379967749289</c:v>
                </c:pt>
                <c:pt idx="7">
                  <c:v>-68.452678998667324</c:v>
                </c:pt>
                <c:pt idx="8">
                  <c:v>-70.560134234811926</c:v>
                </c:pt>
                <c:pt idx="9">
                  <c:v>-72.62460151099414</c:v>
                </c:pt>
                <c:pt idx="10">
                  <c:v>-74.644531322041644</c:v>
                </c:pt>
                <c:pt idx="11">
                  <c:v>-76.618388677470904</c:v>
                </c:pt>
                <c:pt idx="12">
                  <c:v>-78.544653470010275</c:v>
                </c:pt>
                <c:pt idx="13">
                  <c:v>-80.421821050989195</c:v>
                </c:pt>
                <c:pt idx="14">
                  <c:v>-82.248402998682764</c:v>
                </c:pt>
                <c:pt idx="15">
                  <c:v>-84.022928067629167</c:v>
                </c:pt>
                <c:pt idx="16">
                  <c:v>-85.743943308162585</c:v>
                </c:pt>
                <c:pt idx="17">
                  <c:v>-87.410015346074147</c:v>
                </c:pt>
                <c:pt idx="18">
                  <c:v>-89.019731812542062</c:v>
                </c:pt>
                <c:pt idx="19">
                  <c:v>-90.571702914357161</c:v>
                </c:pt>
                <c:pt idx="20">
                  <c:v>-92.064563134086512</c:v>
                </c:pt>
                <c:pt idx="21">
                  <c:v>-93.496973049239003</c:v>
                </c:pt>
                <c:pt idx="22">
                  <c:v>-94.867621258778129</c:v>
                </c:pt>
                <c:pt idx="23">
                  <c:v>-96.175226404524849</c:v>
                </c:pt>
                <c:pt idx="24">
                  <c:v>-97.418539274155421</c:v>
                </c:pt>
                <c:pt idx="25">
                  <c:v>-98.596344971669311</c:v>
                </c:pt>
                <c:pt idx="26">
                  <c:v>-99.707465140420894</c:v>
                </c:pt>
                <c:pt idx="27">
                  <c:v>-100.75076022311241</c:v>
                </c:pt>
                <c:pt idx="28">
                  <c:v>-101.72513174256733</c:v>
                </c:pt>
              </c:numCache>
            </c:numRef>
          </c:xVal>
          <c:yVal>
            <c:numRef>
              <c:f>'5LeverTailRectangle'!$BA$183:$BA$211</c:f>
              <c:numCache>
                <c:formatCode>General</c:formatCode>
                <c:ptCount val="29"/>
              </c:numCache>
            </c:numRef>
          </c:yVal>
          <c:smooth val="0"/>
        </c:ser>
        <c:ser>
          <c:idx val="2"/>
          <c:order val="2"/>
          <c:spPr>
            <a:ln w="28575">
              <a:noFill/>
            </a:ln>
          </c:spPr>
          <c:xVal>
            <c:numRef>
              <c:f>'5LeverTailRectangle'!$AY$183:$AY$211</c:f>
              <c:numCache>
                <c:formatCode>General</c:formatCode>
                <c:ptCount val="29"/>
                <c:pt idx="0">
                  <c:v>-52.630091862955695</c:v>
                </c:pt>
                <c:pt idx="1">
                  <c:v>-54.993819829410697</c:v>
                </c:pt>
                <c:pt idx="2">
                  <c:v>-57.325835394749546</c:v>
                </c:pt>
                <c:pt idx="3">
                  <c:v>-59.624475512051248</c:v>
                </c:pt>
                <c:pt idx="4">
                  <c:v>-61.888096995078456</c:v>
                </c:pt>
                <c:pt idx="5">
                  <c:v>-64.115074615332276</c:v>
                </c:pt>
                <c:pt idx="6">
                  <c:v>-66.30379967749289</c:v>
                </c:pt>
                <c:pt idx="7">
                  <c:v>-68.452678998667324</c:v>
                </c:pt>
                <c:pt idx="8">
                  <c:v>-70.560134234811926</c:v>
                </c:pt>
                <c:pt idx="9">
                  <c:v>-72.62460151099414</c:v>
                </c:pt>
                <c:pt idx="10">
                  <c:v>-74.644531322041644</c:v>
                </c:pt>
                <c:pt idx="11">
                  <c:v>-76.618388677470904</c:v>
                </c:pt>
                <c:pt idx="12">
                  <c:v>-78.544653470010275</c:v>
                </c:pt>
                <c:pt idx="13">
                  <c:v>-80.421821050989195</c:v>
                </c:pt>
                <c:pt idx="14">
                  <c:v>-82.248402998682764</c:v>
                </c:pt>
                <c:pt idx="15">
                  <c:v>-84.022928067629167</c:v>
                </c:pt>
                <c:pt idx="16">
                  <c:v>-85.743943308162585</c:v>
                </c:pt>
                <c:pt idx="17">
                  <c:v>-87.410015346074147</c:v>
                </c:pt>
                <c:pt idx="18">
                  <c:v>-89.019731812542062</c:v>
                </c:pt>
                <c:pt idx="19">
                  <c:v>-90.571702914357161</c:v>
                </c:pt>
                <c:pt idx="20">
                  <c:v>-92.064563134086512</c:v>
                </c:pt>
                <c:pt idx="21">
                  <c:v>-93.496973049239003</c:v>
                </c:pt>
                <c:pt idx="22">
                  <c:v>-94.867621258778129</c:v>
                </c:pt>
                <c:pt idx="23">
                  <c:v>-96.175226404524849</c:v>
                </c:pt>
                <c:pt idx="24">
                  <c:v>-97.418539274155421</c:v>
                </c:pt>
                <c:pt idx="25">
                  <c:v>-98.596344971669311</c:v>
                </c:pt>
                <c:pt idx="26">
                  <c:v>-99.707465140420894</c:v>
                </c:pt>
                <c:pt idx="27">
                  <c:v>-100.75076022311241</c:v>
                </c:pt>
                <c:pt idx="28">
                  <c:v>-101.72513174256733</c:v>
                </c:pt>
              </c:numCache>
            </c:numRef>
          </c:xVal>
          <c:yVal>
            <c:numRef>
              <c:f>'5LeverTailRectangle'!$BB$183:$BB$211</c:f>
              <c:numCache>
                <c:formatCode>General</c:formatCode>
                <c:ptCount val="29"/>
              </c:numCache>
            </c:numRef>
          </c:yVal>
          <c:smooth val="0"/>
        </c:ser>
        <c:ser>
          <c:idx val="3"/>
          <c:order val="3"/>
          <c:spPr>
            <a:ln w="28575">
              <a:noFill/>
            </a:ln>
          </c:spPr>
          <c:xVal>
            <c:numRef>
              <c:f>'5LeverTailRectangle'!$AY$183:$AY$211</c:f>
              <c:numCache>
                <c:formatCode>General</c:formatCode>
                <c:ptCount val="29"/>
                <c:pt idx="0">
                  <c:v>-52.630091862955695</c:v>
                </c:pt>
                <c:pt idx="1">
                  <c:v>-54.993819829410697</c:v>
                </c:pt>
                <c:pt idx="2">
                  <c:v>-57.325835394749546</c:v>
                </c:pt>
                <c:pt idx="3">
                  <c:v>-59.624475512051248</c:v>
                </c:pt>
                <c:pt idx="4">
                  <c:v>-61.888096995078456</c:v>
                </c:pt>
                <c:pt idx="5">
                  <c:v>-64.115074615332276</c:v>
                </c:pt>
                <c:pt idx="6">
                  <c:v>-66.30379967749289</c:v>
                </c:pt>
                <c:pt idx="7">
                  <c:v>-68.452678998667324</c:v>
                </c:pt>
                <c:pt idx="8">
                  <c:v>-70.560134234811926</c:v>
                </c:pt>
                <c:pt idx="9">
                  <c:v>-72.62460151099414</c:v>
                </c:pt>
                <c:pt idx="10">
                  <c:v>-74.644531322041644</c:v>
                </c:pt>
                <c:pt idx="11">
                  <c:v>-76.618388677470904</c:v>
                </c:pt>
                <c:pt idx="12">
                  <c:v>-78.544653470010275</c:v>
                </c:pt>
                <c:pt idx="13">
                  <c:v>-80.421821050989195</c:v>
                </c:pt>
                <c:pt idx="14">
                  <c:v>-82.248402998682764</c:v>
                </c:pt>
                <c:pt idx="15">
                  <c:v>-84.022928067629167</c:v>
                </c:pt>
                <c:pt idx="16">
                  <c:v>-85.743943308162585</c:v>
                </c:pt>
                <c:pt idx="17">
                  <c:v>-87.410015346074147</c:v>
                </c:pt>
                <c:pt idx="18">
                  <c:v>-89.019731812542062</c:v>
                </c:pt>
                <c:pt idx="19">
                  <c:v>-90.571702914357161</c:v>
                </c:pt>
                <c:pt idx="20">
                  <c:v>-92.064563134086512</c:v>
                </c:pt>
                <c:pt idx="21">
                  <c:v>-93.496973049239003</c:v>
                </c:pt>
                <c:pt idx="22">
                  <c:v>-94.867621258778129</c:v>
                </c:pt>
                <c:pt idx="23">
                  <c:v>-96.175226404524849</c:v>
                </c:pt>
                <c:pt idx="24">
                  <c:v>-97.418539274155421</c:v>
                </c:pt>
                <c:pt idx="25">
                  <c:v>-98.596344971669311</c:v>
                </c:pt>
                <c:pt idx="26">
                  <c:v>-99.707465140420894</c:v>
                </c:pt>
                <c:pt idx="27">
                  <c:v>-100.75076022311241</c:v>
                </c:pt>
                <c:pt idx="28">
                  <c:v>-101.72513174256733</c:v>
                </c:pt>
              </c:numCache>
            </c:numRef>
          </c:xVal>
          <c:yVal>
            <c:numRef>
              <c:f>'5LeverTailRectangle'!$BC$183:$BC$211</c:f>
              <c:numCache>
                <c:formatCode>General</c:formatCode>
                <c:ptCount val="29"/>
              </c:numCache>
            </c:numRef>
          </c:yVal>
          <c:smooth val="0"/>
        </c:ser>
        <c:ser>
          <c:idx val="4"/>
          <c:order val="4"/>
          <c:spPr>
            <a:ln w="28575">
              <a:noFill/>
            </a:ln>
          </c:spPr>
          <c:xVal>
            <c:numRef>
              <c:f>'5LeverTailRectangle'!$AY$183:$AY$211</c:f>
              <c:numCache>
                <c:formatCode>General</c:formatCode>
                <c:ptCount val="29"/>
                <c:pt idx="0">
                  <c:v>-52.630091862955695</c:v>
                </c:pt>
                <c:pt idx="1">
                  <c:v>-54.993819829410697</c:v>
                </c:pt>
                <c:pt idx="2">
                  <c:v>-57.325835394749546</c:v>
                </c:pt>
                <c:pt idx="3">
                  <c:v>-59.624475512051248</c:v>
                </c:pt>
                <c:pt idx="4">
                  <c:v>-61.888096995078456</c:v>
                </c:pt>
                <c:pt idx="5">
                  <c:v>-64.115074615332276</c:v>
                </c:pt>
                <c:pt idx="6">
                  <c:v>-66.30379967749289</c:v>
                </c:pt>
                <c:pt idx="7">
                  <c:v>-68.452678998667324</c:v>
                </c:pt>
                <c:pt idx="8">
                  <c:v>-70.560134234811926</c:v>
                </c:pt>
                <c:pt idx="9">
                  <c:v>-72.62460151099414</c:v>
                </c:pt>
                <c:pt idx="10">
                  <c:v>-74.644531322041644</c:v>
                </c:pt>
                <c:pt idx="11">
                  <c:v>-76.618388677470904</c:v>
                </c:pt>
                <c:pt idx="12">
                  <c:v>-78.544653470010275</c:v>
                </c:pt>
                <c:pt idx="13">
                  <c:v>-80.421821050989195</c:v>
                </c:pt>
                <c:pt idx="14">
                  <c:v>-82.248402998682764</c:v>
                </c:pt>
                <c:pt idx="15">
                  <c:v>-84.022928067629167</c:v>
                </c:pt>
                <c:pt idx="16">
                  <c:v>-85.743943308162585</c:v>
                </c:pt>
                <c:pt idx="17">
                  <c:v>-87.410015346074147</c:v>
                </c:pt>
                <c:pt idx="18">
                  <c:v>-89.019731812542062</c:v>
                </c:pt>
                <c:pt idx="19">
                  <c:v>-90.571702914357161</c:v>
                </c:pt>
                <c:pt idx="20">
                  <c:v>-92.064563134086512</c:v>
                </c:pt>
                <c:pt idx="21">
                  <c:v>-93.496973049239003</c:v>
                </c:pt>
                <c:pt idx="22">
                  <c:v>-94.867621258778129</c:v>
                </c:pt>
                <c:pt idx="23">
                  <c:v>-96.175226404524849</c:v>
                </c:pt>
                <c:pt idx="24">
                  <c:v>-97.418539274155421</c:v>
                </c:pt>
                <c:pt idx="25">
                  <c:v>-98.596344971669311</c:v>
                </c:pt>
                <c:pt idx="26">
                  <c:v>-99.707465140420894</c:v>
                </c:pt>
                <c:pt idx="27">
                  <c:v>-100.75076022311241</c:v>
                </c:pt>
                <c:pt idx="28">
                  <c:v>-101.72513174256733</c:v>
                </c:pt>
              </c:numCache>
            </c:numRef>
          </c:xVal>
          <c:yVal>
            <c:numRef>
              <c:f>'5LeverTailRectangle'!$BD$183:$BD$211</c:f>
              <c:numCache>
                <c:formatCode>General</c:formatCode>
                <c:ptCount val="29"/>
              </c:numCache>
            </c:numRef>
          </c:yVal>
          <c:smooth val="0"/>
        </c:ser>
        <c:ser>
          <c:idx val="5"/>
          <c:order val="5"/>
          <c:spPr>
            <a:ln w="28575">
              <a:noFill/>
            </a:ln>
          </c:spPr>
          <c:xVal>
            <c:numRef>
              <c:f>'5LeverTailRectangle'!$AY$183:$AY$211</c:f>
              <c:numCache>
                <c:formatCode>General</c:formatCode>
                <c:ptCount val="29"/>
                <c:pt idx="0">
                  <c:v>-52.630091862955695</c:v>
                </c:pt>
                <c:pt idx="1">
                  <c:v>-54.993819829410697</c:v>
                </c:pt>
                <c:pt idx="2">
                  <c:v>-57.325835394749546</c:v>
                </c:pt>
                <c:pt idx="3">
                  <c:v>-59.624475512051248</c:v>
                </c:pt>
                <c:pt idx="4">
                  <c:v>-61.888096995078456</c:v>
                </c:pt>
                <c:pt idx="5">
                  <c:v>-64.115074615332276</c:v>
                </c:pt>
                <c:pt idx="6">
                  <c:v>-66.30379967749289</c:v>
                </c:pt>
                <c:pt idx="7">
                  <c:v>-68.452678998667324</c:v>
                </c:pt>
                <c:pt idx="8">
                  <c:v>-70.560134234811926</c:v>
                </c:pt>
                <c:pt idx="9">
                  <c:v>-72.62460151099414</c:v>
                </c:pt>
                <c:pt idx="10">
                  <c:v>-74.644531322041644</c:v>
                </c:pt>
                <c:pt idx="11">
                  <c:v>-76.618388677470904</c:v>
                </c:pt>
                <c:pt idx="12">
                  <c:v>-78.544653470010275</c:v>
                </c:pt>
                <c:pt idx="13">
                  <c:v>-80.421821050989195</c:v>
                </c:pt>
                <c:pt idx="14">
                  <c:v>-82.248402998682764</c:v>
                </c:pt>
                <c:pt idx="15">
                  <c:v>-84.022928067629167</c:v>
                </c:pt>
                <c:pt idx="16">
                  <c:v>-85.743943308162585</c:v>
                </c:pt>
                <c:pt idx="17">
                  <c:v>-87.410015346074147</c:v>
                </c:pt>
                <c:pt idx="18">
                  <c:v>-89.019731812542062</c:v>
                </c:pt>
                <c:pt idx="19">
                  <c:v>-90.571702914357161</c:v>
                </c:pt>
                <c:pt idx="20">
                  <c:v>-92.064563134086512</c:v>
                </c:pt>
                <c:pt idx="21">
                  <c:v>-93.496973049239003</c:v>
                </c:pt>
                <c:pt idx="22">
                  <c:v>-94.867621258778129</c:v>
                </c:pt>
                <c:pt idx="23">
                  <c:v>-96.175226404524849</c:v>
                </c:pt>
                <c:pt idx="24">
                  <c:v>-97.418539274155421</c:v>
                </c:pt>
                <c:pt idx="25">
                  <c:v>-98.596344971669311</c:v>
                </c:pt>
                <c:pt idx="26">
                  <c:v>-99.707465140420894</c:v>
                </c:pt>
                <c:pt idx="27">
                  <c:v>-100.75076022311241</c:v>
                </c:pt>
                <c:pt idx="28">
                  <c:v>-101.72513174256733</c:v>
                </c:pt>
              </c:numCache>
            </c:numRef>
          </c:xVal>
          <c:yVal>
            <c:numRef>
              <c:f>'5LeverTailRectangle'!$BE$183:$BE$211</c:f>
              <c:numCache>
                <c:formatCode>General</c:formatCode>
                <c:ptCount val="29"/>
              </c:numCache>
            </c:numRef>
          </c:yVal>
          <c:smooth val="0"/>
        </c:ser>
        <c:ser>
          <c:idx val="6"/>
          <c:order val="6"/>
          <c:spPr>
            <a:ln w="28575">
              <a:noFill/>
            </a:ln>
          </c:spPr>
          <c:xVal>
            <c:numRef>
              <c:f>'5LeverTailRectangle'!$AY$183:$AY$211</c:f>
              <c:numCache>
                <c:formatCode>General</c:formatCode>
                <c:ptCount val="29"/>
                <c:pt idx="0">
                  <c:v>-52.630091862955695</c:v>
                </c:pt>
                <c:pt idx="1">
                  <c:v>-54.993819829410697</c:v>
                </c:pt>
                <c:pt idx="2">
                  <c:v>-57.325835394749546</c:v>
                </c:pt>
                <c:pt idx="3">
                  <c:v>-59.624475512051248</c:v>
                </c:pt>
                <c:pt idx="4">
                  <c:v>-61.888096995078456</c:v>
                </c:pt>
                <c:pt idx="5">
                  <c:v>-64.115074615332276</c:v>
                </c:pt>
                <c:pt idx="6">
                  <c:v>-66.30379967749289</c:v>
                </c:pt>
                <c:pt idx="7">
                  <c:v>-68.452678998667324</c:v>
                </c:pt>
                <c:pt idx="8">
                  <c:v>-70.560134234811926</c:v>
                </c:pt>
                <c:pt idx="9">
                  <c:v>-72.62460151099414</c:v>
                </c:pt>
                <c:pt idx="10">
                  <c:v>-74.644531322041644</c:v>
                </c:pt>
                <c:pt idx="11">
                  <c:v>-76.618388677470904</c:v>
                </c:pt>
                <c:pt idx="12">
                  <c:v>-78.544653470010275</c:v>
                </c:pt>
                <c:pt idx="13">
                  <c:v>-80.421821050989195</c:v>
                </c:pt>
                <c:pt idx="14">
                  <c:v>-82.248402998682764</c:v>
                </c:pt>
                <c:pt idx="15">
                  <c:v>-84.022928067629167</c:v>
                </c:pt>
                <c:pt idx="16">
                  <c:v>-85.743943308162585</c:v>
                </c:pt>
                <c:pt idx="17">
                  <c:v>-87.410015346074147</c:v>
                </c:pt>
                <c:pt idx="18">
                  <c:v>-89.019731812542062</c:v>
                </c:pt>
                <c:pt idx="19">
                  <c:v>-90.571702914357161</c:v>
                </c:pt>
                <c:pt idx="20">
                  <c:v>-92.064563134086512</c:v>
                </c:pt>
                <c:pt idx="21">
                  <c:v>-93.496973049239003</c:v>
                </c:pt>
                <c:pt idx="22">
                  <c:v>-94.867621258778129</c:v>
                </c:pt>
                <c:pt idx="23">
                  <c:v>-96.175226404524849</c:v>
                </c:pt>
                <c:pt idx="24">
                  <c:v>-97.418539274155421</c:v>
                </c:pt>
                <c:pt idx="25">
                  <c:v>-98.596344971669311</c:v>
                </c:pt>
                <c:pt idx="26">
                  <c:v>-99.707465140420894</c:v>
                </c:pt>
                <c:pt idx="27">
                  <c:v>-100.75076022311241</c:v>
                </c:pt>
                <c:pt idx="28">
                  <c:v>-101.72513174256733</c:v>
                </c:pt>
              </c:numCache>
            </c:numRef>
          </c:xVal>
          <c:yVal>
            <c:numRef>
              <c:f>'5LeverTailRectangle'!$BF$183:$BF$211</c:f>
              <c:numCache>
                <c:formatCode>General</c:formatCode>
                <c:ptCount val="29"/>
              </c:numCache>
            </c:numRef>
          </c:yVal>
          <c:smooth val="0"/>
        </c:ser>
        <c:ser>
          <c:idx val="7"/>
          <c:order val="7"/>
          <c:spPr>
            <a:ln w="28575">
              <a:noFill/>
            </a:ln>
          </c:spPr>
          <c:xVal>
            <c:numRef>
              <c:f>'5LeverTailRectangle'!$AY$183:$AY$211</c:f>
              <c:numCache>
                <c:formatCode>General</c:formatCode>
                <c:ptCount val="29"/>
                <c:pt idx="0">
                  <c:v>-52.630091862955695</c:v>
                </c:pt>
                <c:pt idx="1">
                  <c:v>-54.993819829410697</c:v>
                </c:pt>
                <c:pt idx="2">
                  <c:v>-57.325835394749546</c:v>
                </c:pt>
                <c:pt idx="3">
                  <c:v>-59.624475512051248</c:v>
                </c:pt>
                <c:pt idx="4">
                  <c:v>-61.888096995078456</c:v>
                </c:pt>
                <c:pt idx="5">
                  <c:v>-64.115074615332276</c:v>
                </c:pt>
                <c:pt idx="6">
                  <c:v>-66.30379967749289</c:v>
                </c:pt>
                <c:pt idx="7">
                  <c:v>-68.452678998667324</c:v>
                </c:pt>
                <c:pt idx="8">
                  <c:v>-70.560134234811926</c:v>
                </c:pt>
                <c:pt idx="9">
                  <c:v>-72.62460151099414</c:v>
                </c:pt>
                <c:pt idx="10">
                  <c:v>-74.644531322041644</c:v>
                </c:pt>
                <c:pt idx="11">
                  <c:v>-76.618388677470904</c:v>
                </c:pt>
                <c:pt idx="12">
                  <c:v>-78.544653470010275</c:v>
                </c:pt>
                <c:pt idx="13">
                  <c:v>-80.421821050989195</c:v>
                </c:pt>
                <c:pt idx="14">
                  <c:v>-82.248402998682764</c:v>
                </c:pt>
                <c:pt idx="15">
                  <c:v>-84.022928067629167</c:v>
                </c:pt>
                <c:pt idx="16">
                  <c:v>-85.743943308162585</c:v>
                </c:pt>
                <c:pt idx="17">
                  <c:v>-87.410015346074147</c:v>
                </c:pt>
                <c:pt idx="18">
                  <c:v>-89.019731812542062</c:v>
                </c:pt>
                <c:pt idx="19">
                  <c:v>-90.571702914357161</c:v>
                </c:pt>
                <c:pt idx="20">
                  <c:v>-92.064563134086512</c:v>
                </c:pt>
                <c:pt idx="21">
                  <c:v>-93.496973049239003</c:v>
                </c:pt>
                <c:pt idx="22">
                  <c:v>-94.867621258778129</c:v>
                </c:pt>
                <c:pt idx="23">
                  <c:v>-96.175226404524849</c:v>
                </c:pt>
                <c:pt idx="24">
                  <c:v>-97.418539274155421</c:v>
                </c:pt>
                <c:pt idx="25">
                  <c:v>-98.596344971669311</c:v>
                </c:pt>
                <c:pt idx="26">
                  <c:v>-99.707465140420894</c:v>
                </c:pt>
                <c:pt idx="27">
                  <c:v>-100.75076022311241</c:v>
                </c:pt>
                <c:pt idx="28">
                  <c:v>-101.72513174256733</c:v>
                </c:pt>
              </c:numCache>
            </c:numRef>
          </c:xVal>
          <c:yVal>
            <c:numRef>
              <c:f>'5LeverTailRectangle'!$BG$183:$BG$211</c:f>
              <c:numCache>
                <c:formatCode>General</c:formatCode>
                <c:ptCount val="29"/>
              </c:numCache>
            </c:numRef>
          </c:yVal>
          <c:smooth val="0"/>
        </c:ser>
        <c:ser>
          <c:idx val="8"/>
          <c:order val="8"/>
          <c:spPr>
            <a:ln w="28575">
              <a:noFill/>
            </a:ln>
          </c:spPr>
          <c:xVal>
            <c:numRef>
              <c:f>'5LeverTailRectangle'!$AY$183:$AY$211</c:f>
              <c:numCache>
                <c:formatCode>General</c:formatCode>
                <c:ptCount val="29"/>
                <c:pt idx="0">
                  <c:v>-52.630091862955695</c:v>
                </c:pt>
                <c:pt idx="1">
                  <c:v>-54.993819829410697</c:v>
                </c:pt>
                <c:pt idx="2">
                  <c:v>-57.325835394749546</c:v>
                </c:pt>
                <c:pt idx="3">
                  <c:v>-59.624475512051248</c:v>
                </c:pt>
                <c:pt idx="4">
                  <c:v>-61.888096995078456</c:v>
                </c:pt>
                <c:pt idx="5">
                  <c:v>-64.115074615332276</c:v>
                </c:pt>
                <c:pt idx="6">
                  <c:v>-66.30379967749289</c:v>
                </c:pt>
                <c:pt idx="7">
                  <c:v>-68.452678998667324</c:v>
                </c:pt>
                <c:pt idx="8">
                  <c:v>-70.560134234811926</c:v>
                </c:pt>
                <c:pt idx="9">
                  <c:v>-72.62460151099414</c:v>
                </c:pt>
                <c:pt idx="10">
                  <c:v>-74.644531322041644</c:v>
                </c:pt>
                <c:pt idx="11">
                  <c:v>-76.618388677470904</c:v>
                </c:pt>
                <c:pt idx="12">
                  <c:v>-78.544653470010275</c:v>
                </c:pt>
                <c:pt idx="13">
                  <c:v>-80.421821050989195</c:v>
                </c:pt>
                <c:pt idx="14">
                  <c:v>-82.248402998682764</c:v>
                </c:pt>
                <c:pt idx="15">
                  <c:v>-84.022928067629167</c:v>
                </c:pt>
                <c:pt idx="16">
                  <c:v>-85.743943308162585</c:v>
                </c:pt>
                <c:pt idx="17">
                  <c:v>-87.410015346074147</c:v>
                </c:pt>
                <c:pt idx="18">
                  <c:v>-89.019731812542062</c:v>
                </c:pt>
                <c:pt idx="19">
                  <c:v>-90.571702914357161</c:v>
                </c:pt>
                <c:pt idx="20">
                  <c:v>-92.064563134086512</c:v>
                </c:pt>
                <c:pt idx="21">
                  <c:v>-93.496973049239003</c:v>
                </c:pt>
                <c:pt idx="22">
                  <c:v>-94.867621258778129</c:v>
                </c:pt>
                <c:pt idx="23">
                  <c:v>-96.175226404524849</c:v>
                </c:pt>
                <c:pt idx="24">
                  <c:v>-97.418539274155421</c:v>
                </c:pt>
                <c:pt idx="25">
                  <c:v>-98.596344971669311</c:v>
                </c:pt>
                <c:pt idx="26">
                  <c:v>-99.707465140420894</c:v>
                </c:pt>
                <c:pt idx="27">
                  <c:v>-100.75076022311241</c:v>
                </c:pt>
                <c:pt idx="28">
                  <c:v>-101.72513174256733</c:v>
                </c:pt>
              </c:numCache>
            </c:numRef>
          </c:xVal>
          <c:yVal>
            <c:numRef>
              <c:f>'5LeverTailRectangle'!$BH$183:$BH$211</c:f>
              <c:numCache>
                <c:formatCode>General</c:formatCode>
                <c:ptCount val="29"/>
              </c:numCache>
            </c:numRef>
          </c:yVal>
          <c:smooth val="0"/>
        </c:ser>
        <c:ser>
          <c:idx val="9"/>
          <c:order val="9"/>
          <c:spPr>
            <a:ln w="28575">
              <a:noFill/>
            </a:ln>
          </c:spPr>
          <c:xVal>
            <c:numRef>
              <c:f>'5LeverTailRectangle'!$AY$183:$AY$211</c:f>
              <c:numCache>
                <c:formatCode>General</c:formatCode>
                <c:ptCount val="29"/>
                <c:pt idx="0">
                  <c:v>-52.630091862955695</c:v>
                </c:pt>
                <c:pt idx="1">
                  <c:v>-54.993819829410697</c:v>
                </c:pt>
                <c:pt idx="2">
                  <c:v>-57.325835394749546</c:v>
                </c:pt>
                <c:pt idx="3">
                  <c:v>-59.624475512051248</c:v>
                </c:pt>
                <c:pt idx="4">
                  <c:v>-61.888096995078456</c:v>
                </c:pt>
                <c:pt idx="5">
                  <c:v>-64.115074615332276</c:v>
                </c:pt>
                <c:pt idx="6">
                  <c:v>-66.30379967749289</c:v>
                </c:pt>
                <c:pt idx="7">
                  <c:v>-68.452678998667324</c:v>
                </c:pt>
                <c:pt idx="8">
                  <c:v>-70.560134234811926</c:v>
                </c:pt>
                <c:pt idx="9">
                  <c:v>-72.62460151099414</c:v>
                </c:pt>
                <c:pt idx="10">
                  <c:v>-74.644531322041644</c:v>
                </c:pt>
                <c:pt idx="11">
                  <c:v>-76.618388677470904</c:v>
                </c:pt>
                <c:pt idx="12">
                  <c:v>-78.544653470010275</c:v>
                </c:pt>
                <c:pt idx="13">
                  <c:v>-80.421821050989195</c:v>
                </c:pt>
                <c:pt idx="14">
                  <c:v>-82.248402998682764</c:v>
                </c:pt>
                <c:pt idx="15">
                  <c:v>-84.022928067629167</c:v>
                </c:pt>
                <c:pt idx="16">
                  <c:v>-85.743943308162585</c:v>
                </c:pt>
                <c:pt idx="17">
                  <c:v>-87.410015346074147</c:v>
                </c:pt>
                <c:pt idx="18">
                  <c:v>-89.019731812542062</c:v>
                </c:pt>
                <c:pt idx="19">
                  <c:v>-90.571702914357161</c:v>
                </c:pt>
                <c:pt idx="20">
                  <c:v>-92.064563134086512</c:v>
                </c:pt>
                <c:pt idx="21">
                  <c:v>-93.496973049239003</c:v>
                </c:pt>
                <c:pt idx="22">
                  <c:v>-94.867621258778129</c:v>
                </c:pt>
                <c:pt idx="23">
                  <c:v>-96.175226404524849</c:v>
                </c:pt>
                <c:pt idx="24">
                  <c:v>-97.418539274155421</c:v>
                </c:pt>
                <c:pt idx="25">
                  <c:v>-98.596344971669311</c:v>
                </c:pt>
                <c:pt idx="26">
                  <c:v>-99.707465140420894</c:v>
                </c:pt>
                <c:pt idx="27">
                  <c:v>-100.75076022311241</c:v>
                </c:pt>
                <c:pt idx="28">
                  <c:v>-101.72513174256733</c:v>
                </c:pt>
              </c:numCache>
            </c:numRef>
          </c:xVal>
          <c:yVal>
            <c:numRef>
              <c:f>'5LeverTailRectangle'!$BI$183:$BI$211</c:f>
              <c:numCache>
                <c:formatCode>General</c:formatCode>
                <c:ptCount val="29"/>
              </c:numCache>
            </c:numRef>
          </c:yVal>
          <c:smooth val="0"/>
        </c:ser>
        <c:ser>
          <c:idx val="10"/>
          <c:order val="10"/>
          <c:spPr>
            <a:ln w="28575">
              <a:noFill/>
            </a:ln>
          </c:spPr>
          <c:xVal>
            <c:numRef>
              <c:f>'5LeverTailRectangle'!$AY$183:$AY$211</c:f>
              <c:numCache>
                <c:formatCode>General</c:formatCode>
                <c:ptCount val="29"/>
                <c:pt idx="0">
                  <c:v>-52.630091862955695</c:v>
                </c:pt>
                <c:pt idx="1">
                  <c:v>-54.993819829410697</c:v>
                </c:pt>
                <c:pt idx="2">
                  <c:v>-57.325835394749546</c:v>
                </c:pt>
                <c:pt idx="3">
                  <c:v>-59.624475512051248</c:v>
                </c:pt>
                <c:pt idx="4">
                  <c:v>-61.888096995078456</c:v>
                </c:pt>
                <c:pt idx="5">
                  <c:v>-64.115074615332276</c:v>
                </c:pt>
                <c:pt idx="6">
                  <c:v>-66.30379967749289</c:v>
                </c:pt>
                <c:pt idx="7">
                  <c:v>-68.452678998667324</c:v>
                </c:pt>
                <c:pt idx="8">
                  <c:v>-70.560134234811926</c:v>
                </c:pt>
                <c:pt idx="9">
                  <c:v>-72.62460151099414</c:v>
                </c:pt>
                <c:pt idx="10">
                  <c:v>-74.644531322041644</c:v>
                </c:pt>
                <c:pt idx="11">
                  <c:v>-76.618388677470904</c:v>
                </c:pt>
                <c:pt idx="12">
                  <c:v>-78.544653470010275</c:v>
                </c:pt>
                <c:pt idx="13">
                  <c:v>-80.421821050989195</c:v>
                </c:pt>
                <c:pt idx="14">
                  <c:v>-82.248402998682764</c:v>
                </c:pt>
                <c:pt idx="15">
                  <c:v>-84.022928067629167</c:v>
                </c:pt>
                <c:pt idx="16">
                  <c:v>-85.743943308162585</c:v>
                </c:pt>
                <c:pt idx="17">
                  <c:v>-87.410015346074147</c:v>
                </c:pt>
                <c:pt idx="18">
                  <c:v>-89.019731812542062</c:v>
                </c:pt>
                <c:pt idx="19">
                  <c:v>-90.571702914357161</c:v>
                </c:pt>
                <c:pt idx="20">
                  <c:v>-92.064563134086512</c:v>
                </c:pt>
                <c:pt idx="21">
                  <c:v>-93.496973049239003</c:v>
                </c:pt>
                <c:pt idx="22">
                  <c:v>-94.867621258778129</c:v>
                </c:pt>
                <c:pt idx="23">
                  <c:v>-96.175226404524849</c:v>
                </c:pt>
                <c:pt idx="24">
                  <c:v>-97.418539274155421</c:v>
                </c:pt>
                <c:pt idx="25">
                  <c:v>-98.596344971669311</c:v>
                </c:pt>
                <c:pt idx="26">
                  <c:v>-99.707465140420894</c:v>
                </c:pt>
                <c:pt idx="27">
                  <c:v>-100.75076022311241</c:v>
                </c:pt>
                <c:pt idx="28">
                  <c:v>-101.72513174256733</c:v>
                </c:pt>
              </c:numCache>
            </c:numRef>
          </c:xVal>
          <c:yVal>
            <c:numRef>
              <c:f>'5LeverTailRectangle'!$BJ$183:$BJ$211</c:f>
              <c:numCache>
                <c:formatCode>General</c:formatCode>
                <c:ptCount val="29"/>
              </c:numCache>
            </c:numRef>
          </c:yVal>
          <c:smooth val="0"/>
        </c:ser>
        <c:ser>
          <c:idx val="11"/>
          <c:order val="11"/>
          <c:spPr>
            <a:ln w="28575">
              <a:noFill/>
            </a:ln>
          </c:spPr>
          <c:xVal>
            <c:numRef>
              <c:f>'5LeverTailRectangle'!$AY$183:$AY$211</c:f>
              <c:numCache>
                <c:formatCode>General</c:formatCode>
                <c:ptCount val="29"/>
                <c:pt idx="0">
                  <c:v>-52.630091862955695</c:v>
                </c:pt>
                <c:pt idx="1">
                  <c:v>-54.993819829410697</c:v>
                </c:pt>
                <c:pt idx="2">
                  <c:v>-57.325835394749546</c:v>
                </c:pt>
                <c:pt idx="3">
                  <c:v>-59.624475512051248</c:v>
                </c:pt>
                <c:pt idx="4">
                  <c:v>-61.888096995078456</c:v>
                </c:pt>
                <c:pt idx="5">
                  <c:v>-64.115074615332276</c:v>
                </c:pt>
                <c:pt idx="6">
                  <c:v>-66.30379967749289</c:v>
                </c:pt>
                <c:pt idx="7">
                  <c:v>-68.452678998667324</c:v>
                </c:pt>
                <c:pt idx="8">
                  <c:v>-70.560134234811926</c:v>
                </c:pt>
                <c:pt idx="9">
                  <c:v>-72.62460151099414</c:v>
                </c:pt>
                <c:pt idx="10">
                  <c:v>-74.644531322041644</c:v>
                </c:pt>
                <c:pt idx="11">
                  <c:v>-76.618388677470904</c:v>
                </c:pt>
                <c:pt idx="12">
                  <c:v>-78.544653470010275</c:v>
                </c:pt>
                <c:pt idx="13">
                  <c:v>-80.421821050989195</c:v>
                </c:pt>
                <c:pt idx="14">
                  <c:v>-82.248402998682764</c:v>
                </c:pt>
                <c:pt idx="15">
                  <c:v>-84.022928067629167</c:v>
                </c:pt>
                <c:pt idx="16">
                  <c:v>-85.743943308162585</c:v>
                </c:pt>
                <c:pt idx="17">
                  <c:v>-87.410015346074147</c:v>
                </c:pt>
                <c:pt idx="18">
                  <c:v>-89.019731812542062</c:v>
                </c:pt>
                <c:pt idx="19">
                  <c:v>-90.571702914357161</c:v>
                </c:pt>
                <c:pt idx="20">
                  <c:v>-92.064563134086512</c:v>
                </c:pt>
                <c:pt idx="21">
                  <c:v>-93.496973049239003</c:v>
                </c:pt>
                <c:pt idx="22">
                  <c:v>-94.867621258778129</c:v>
                </c:pt>
                <c:pt idx="23">
                  <c:v>-96.175226404524849</c:v>
                </c:pt>
                <c:pt idx="24">
                  <c:v>-97.418539274155421</c:v>
                </c:pt>
                <c:pt idx="25">
                  <c:v>-98.596344971669311</c:v>
                </c:pt>
                <c:pt idx="26">
                  <c:v>-99.707465140420894</c:v>
                </c:pt>
                <c:pt idx="27">
                  <c:v>-100.75076022311241</c:v>
                </c:pt>
                <c:pt idx="28">
                  <c:v>-101.72513174256733</c:v>
                </c:pt>
              </c:numCache>
            </c:numRef>
          </c:xVal>
          <c:yVal>
            <c:numRef>
              <c:f>'5LeverTailRectangle'!$BK$183:$BK$211</c:f>
              <c:numCache>
                <c:formatCode>General</c:formatCode>
                <c:ptCount val="29"/>
              </c:numCache>
            </c:numRef>
          </c:yVal>
          <c:smooth val="0"/>
        </c:ser>
        <c:ser>
          <c:idx val="12"/>
          <c:order val="12"/>
          <c:spPr>
            <a:ln w="28575">
              <a:noFill/>
            </a:ln>
          </c:spPr>
          <c:xVal>
            <c:numRef>
              <c:f>'5LeverTailRectangle'!$AY$183:$AY$211</c:f>
              <c:numCache>
                <c:formatCode>General</c:formatCode>
                <c:ptCount val="29"/>
                <c:pt idx="0">
                  <c:v>-52.630091862955695</c:v>
                </c:pt>
                <c:pt idx="1">
                  <c:v>-54.993819829410697</c:v>
                </c:pt>
                <c:pt idx="2">
                  <c:v>-57.325835394749546</c:v>
                </c:pt>
                <c:pt idx="3">
                  <c:v>-59.624475512051248</c:v>
                </c:pt>
                <c:pt idx="4">
                  <c:v>-61.888096995078456</c:v>
                </c:pt>
                <c:pt idx="5">
                  <c:v>-64.115074615332276</c:v>
                </c:pt>
                <c:pt idx="6">
                  <c:v>-66.30379967749289</c:v>
                </c:pt>
                <c:pt idx="7">
                  <c:v>-68.452678998667324</c:v>
                </c:pt>
                <c:pt idx="8">
                  <c:v>-70.560134234811926</c:v>
                </c:pt>
                <c:pt idx="9">
                  <c:v>-72.62460151099414</c:v>
                </c:pt>
                <c:pt idx="10">
                  <c:v>-74.644531322041644</c:v>
                </c:pt>
                <c:pt idx="11">
                  <c:v>-76.618388677470904</c:v>
                </c:pt>
                <c:pt idx="12">
                  <c:v>-78.544653470010275</c:v>
                </c:pt>
                <c:pt idx="13">
                  <c:v>-80.421821050989195</c:v>
                </c:pt>
                <c:pt idx="14">
                  <c:v>-82.248402998682764</c:v>
                </c:pt>
                <c:pt idx="15">
                  <c:v>-84.022928067629167</c:v>
                </c:pt>
                <c:pt idx="16">
                  <c:v>-85.743943308162585</c:v>
                </c:pt>
                <c:pt idx="17">
                  <c:v>-87.410015346074147</c:v>
                </c:pt>
                <c:pt idx="18">
                  <c:v>-89.019731812542062</c:v>
                </c:pt>
                <c:pt idx="19">
                  <c:v>-90.571702914357161</c:v>
                </c:pt>
                <c:pt idx="20">
                  <c:v>-92.064563134086512</c:v>
                </c:pt>
                <c:pt idx="21">
                  <c:v>-93.496973049239003</c:v>
                </c:pt>
                <c:pt idx="22">
                  <c:v>-94.867621258778129</c:v>
                </c:pt>
                <c:pt idx="23">
                  <c:v>-96.175226404524849</c:v>
                </c:pt>
                <c:pt idx="24">
                  <c:v>-97.418539274155421</c:v>
                </c:pt>
                <c:pt idx="25">
                  <c:v>-98.596344971669311</c:v>
                </c:pt>
                <c:pt idx="26">
                  <c:v>-99.707465140420894</c:v>
                </c:pt>
                <c:pt idx="27">
                  <c:v>-100.75076022311241</c:v>
                </c:pt>
                <c:pt idx="28">
                  <c:v>-101.72513174256733</c:v>
                </c:pt>
              </c:numCache>
            </c:numRef>
          </c:xVal>
          <c:yVal>
            <c:numRef>
              <c:f>'5LeverTailRectangle'!$BL$183:$BL$211</c:f>
              <c:numCache>
                <c:formatCode>General</c:formatCode>
                <c:ptCount val="29"/>
              </c:numCache>
            </c:numRef>
          </c:yVal>
          <c:smooth val="0"/>
        </c:ser>
        <c:ser>
          <c:idx val="13"/>
          <c:order val="13"/>
          <c:spPr>
            <a:ln w="28575">
              <a:noFill/>
            </a:ln>
          </c:spPr>
          <c:xVal>
            <c:numRef>
              <c:f>'5LeverTailRectangle'!$AY$183:$AY$211</c:f>
              <c:numCache>
                <c:formatCode>General</c:formatCode>
                <c:ptCount val="29"/>
                <c:pt idx="0">
                  <c:v>-52.630091862955695</c:v>
                </c:pt>
                <c:pt idx="1">
                  <c:v>-54.993819829410697</c:v>
                </c:pt>
                <c:pt idx="2">
                  <c:v>-57.325835394749546</c:v>
                </c:pt>
                <c:pt idx="3">
                  <c:v>-59.624475512051248</c:v>
                </c:pt>
                <c:pt idx="4">
                  <c:v>-61.888096995078456</c:v>
                </c:pt>
                <c:pt idx="5">
                  <c:v>-64.115074615332276</c:v>
                </c:pt>
                <c:pt idx="6">
                  <c:v>-66.30379967749289</c:v>
                </c:pt>
                <c:pt idx="7">
                  <c:v>-68.452678998667324</c:v>
                </c:pt>
                <c:pt idx="8">
                  <c:v>-70.560134234811926</c:v>
                </c:pt>
                <c:pt idx="9">
                  <c:v>-72.62460151099414</c:v>
                </c:pt>
                <c:pt idx="10">
                  <c:v>-74.644531322041644</c:v>
                </c:pt>
                <c:pt idx="11">
                  <c:v>-76.618388677470904</c:v>
                </c:pt>
                <c:pt idx="12">
                  <c:v>-78.544653470010275</c:v>
                </c:pt>
                <c:pt idx="13">
                  <c:v>-80.421821050989195</c:v>
                </c:pt>
                <c:pt idx="14">
                  <c:v>-82.248402998682764</c:v>
                </c:pt>
                <c:pt idx="15">
                  <c:v>-84.022928067629167</c:v>
                </c:pt>
                <c:pt idx="16">
                  <c:v>-85.743943308162585</c:v>
                </c:pt>
                <c:pt idx="17">
                  <c:v>-87.410015346074147</c:v>
                </c:pt>
                <c:pt idx="18">
                  <c:v>-89.019731812542062</c:v>
                </c:pt>
                <c:pt idx="19">
                  <c:v>-90.571702914357161</c:v>
                </c:pt>
                <c:pt idx="20">
                  <c:v>-92.064563134086512</c:v>
                </c:pt>
                <c:pt idx="21">
                  <c:v>-93.496973049239003</c:v>
                </c:pt>
                <c:pt idx="22">
                  <c:v>-94.867621258778129</c:v>
                </c:pt>
                <c:pt idx="23">
                  <c:v>-96.175226404524849</c:v>
                </c:pt>
                <c:pt idx="24">
                  <c:v>-97.418539274155421</c:v>
                </c:pt>
                <c:pt idx="25">
                  <c:v>-98.596344971669311</c:v>
                </c:pt>
                <c:pt idx="26">
                  <c:v>-99.707465140420894</c:v>
                </c:pt>
                <c:pt idx="27">
                  <c:v>-100.75076022311241</c:v>
                </c:pt>
                <c:pt idx="28">
                  <c:v>-101.72513174256733</c:v>
                </c:pt>
              </c:numCache>
            </c:numRef>
          </c:xVal>
          <c:yVal>
            <c:numRef>
              <c:f>'5LeverTailRectangle'!$BM$183:$BM$211</c:f>
              <c:numCache>
                <c:formatCode>General</c:formatCode>
                <c:ptCount val="29"/>
              </c:numCache>
            </c:numRef>
          </c:yVal>
          <c:smooth val="0"/>
        </c:ser>
        <c:ser>
          <c:idx val="14"/>
          <c:order val="14"/>
          <c:spPr>
            <a:ln w="28575">
              <a:noFill/>
            </a:ln>
          </c:spPr>
          <c:xVal>
            <c:numRef>
              <c:f>'5LeverTailRectangle'!$AY$183:$AY$211</c:f>
              <c:numCache>
                <c:formatCode>General</c:formatCode>
                <c:ptCount val="29"/>
                <c:pt idx="0">
                  <c:v>-52.630091862955695</c:v>
                </c:pt>
                <c:pt idx="1">
                  <c:v>-54.993819829410697</c:v>
                </c:pt>
                <c:pt idx="2">
                  <c:v>-57.325835394749546</c:v>
                </c:pt>
                <c:pt idx="3">
                  <c:v>-59.624475512051248</c:v>
                </c:pt>
                <c:pt idx="4">
                  <c:v>-61.888096995078456</c:v>
                </c:pt>
                <c:pt idx="5">
                  <c:v>-64.115074615332276</c:v>
                </c:pt>
                <c:pt idx="6">
                  <c:v>-66.30379967749289</c:v>
                </c:pt>
                <c:pt idx="7">
                  <c:v>-68.452678998667324</c:v>
                </c:pt>
                <c:pt idx="8">
                  <c:v>-70.560134234811926</c:v>
                </c:pt>
                <c:pt idx="9">
                  <c:v>-72.62460151099414</c:v>
                </c:pt>
                <c:pt idx="10">
                  <c:v>-74.644531322041644</c:v>
                </c:pt>
                <c:pt idx="11">
                  <c:v>-76.618388677470904</c:v>
                </c:pt>
                <c:pt idx="12">
                  <c:v>-78.544653470010275</c:v>
                </c:pt>
                <c:pt idx="13">
                  <c:v>-80.421821050989195</c:v>
                </c:pt>
                <c:pt idx="14">
                  <c:v>-82.248402998682764</c:v>
                </c:pt>
                <c:pt idx="15">
                  <c:v>-84.022928067629167</c:v>
                </c:pt>
                <c:pt idx="16">
                  <c:v>-85.743943308162585</c:v>
                </c:pt>
                <c:pt idx="17">
                  <c:v>-87.410015346074147</c:v>
                </c:pt>
                <c:pt idx="18">
                  <c:v>-89.019731812542062</c:v>
                </c:pt>
                <c:pt idx="19">
                  <c:v>-90.571702914357161</c:v>
                </c:pt>
                <c:pt idx="20">
                  <c:v>-92.064563134086512</c:v>
                </c:pt>
                <c:pt idx="21">
                  <c:v>-93.496973049239003</c:v>
                </c:pt>
                <c:pt idx="22">
                  <c:v>-94.867621258778129</c:v>
                </c:pt>
                <c:pt idx="23">
                  <c:v>-96.175226404524849</c:v>
                </c:pt>
                <c:pt idx="24">
                  <c:v>-97.418539274155421</c:v>
                </c:pt>
                <c:pt idx="25">
                  <c:v>-98.596344971669311</c:v>
                </c:pt>
                <c:pt idx="26">
                  <c:v>-99.707465140420894</c:v>
                </c:pt>
                <c:pt idx="27">
                  <c:v>-100.75076022311241</c:v>
                </c:pt>
                <c:pt idx="28">
                  <c:v>-101.72513174256733</c:v>
                </c:pt>
              </c:numCache>
            </c:numRef>
          </c:xVal>
          <c:yVal>
            <c:numRef>
              <c:f>'5LeverTailRectangle'!$BN$183:$BN$211</c:f>
              <c:numCache>
                <c:formatCode>General</c:formatCode>
                <c:ptCount val="29"/>
              </c:numCache>
            </c:numRef>
          </c:yVal>
          <c:smooth val="0"/>
        </c:ser>
        <c:ser>
          <c:idx val="15"/>
          <c:order val="15"/>
          <c:spPr>
            <a:ln w="28575">
              <a:noFill/>
            </a:ln>
          </c:spPr>
          <c:xVal>
            <c:numRef>
              <c:f>'5LeverTailRectangle'!$AY$183:$AY$211</c:f>
              <c:numCache>
                <c:formatCode>General</c:formatCode>
                <c:ptCount val="29"/>
                <c:pt idx="0">
                  <c:v>-52.630091862955695</c:v>
                </c:pt>
                <c:pt idx="1">
                  <c:v>-54.993819829410697</c:v>
                </c:pt>
                <c:pt idx="2">
                  <c:v>-57.325835394749546</c:v>
                </c:pt>
                <c:pt idx="3">
                  <c:v>-59.624475512051248</c:v>
                </c:pt>
                <c:pt idx="4">
                  <c:v>-61.888096995078456</c:v>
                </c:pt>
                <c:pt idx="5">
                  <c:v>-64.115074615332276</c:v>
                </c:pt>
                <c:pt idx="6">
                  <c:v>-66.30379967749289</c:v>
                </c:pt>
                <c:pt idx="7">
                  <c:v>-68.452678998667324</c:v>
                </c:pt>
                <c:pt idx="8">
                  <c:v>-70.560134234811926</c:v>
                </c:pt>
                <c:pt idx="9">
                  <c:v>-72.62460151099414</c:v>
                </c:pt>
                <c:pt idx="10">
                  <c:v>-74.644531322041644</c:v>
                </c:pt>
                <c:pt idx="11">
                  <c:v>-76.618388677470904</c:v>
                </c:pt>
                <c:pt idx="12">
                  <c:v>-78.544653470010275</c:v>
                </c:pt>
                <c:pt idx="13">
                  <c:v>-80.421821050989195</c:v>
                </c:pt>
                <c:pt idx="14">
                  <c:v>-82.248402998682764</c:v>
                </c:pt>
                <c:pt idx="15">
                  <c:v>-84.022928067629167</c:v>
                </c:pt>
                <c:pt idx="16">
                  <c:v>-85.743943308162585</c:v>
                </c:pt>
                <c:pt idx="17">
                  <c:v>-87.410015346074147</c:v>
                </c:pt>
                <c:pt idx="18">
                  <c:v>-89.019731812542062</c:v>
                </c:pt>
                <c:pt idx="19">
                  <c:v>-90.571702914357161</c:v>
                </c:pt>
                <c:pt idx="20">
                  <c:v>-92.064563134086512</c:v>
                </c:pt>
                <c:pt idx="21">
                  <c:v>-93.496973049239003</c:v>
                </c:pt>
                <c:pt idx="22">
                  <c:v>-94.867621258778129</c:v>
                </c:pt>
                <c:pt idx="23">
                  <c:v>-96.175226404524849</c:v>
                </c:pt>
                <c:pt idx="24">
                  <c:v>-97.418539274155421</c:v>
                </c:pt>
                <c:pt idx="25">
                  <c:v>-98.596344971669311</c:v>
                </c:pt>
                <c:pt idx="26">
                  <c:v>-99.707465140420894</c:v>
                </c:pt>
                <c:pt idx="27">
                  <c:v>-100.75076022311241</c:v>
                </c:pt>
                <c:pt idx="28">
                  <c:v>-101.72513174256733</c:v>
                </c:pt>
              </c:numCache>
            </c:numRef>
          </c:xVal>
          <c:yVal>
            <c:numRef>
              <c:f>'5LeverTailRectangle'!$BO$183:$BO$211</c:f>
              <c:numCache>
                <c:formatCode>General</c:formatCode>
                <c:ptCount val="29"/>
                <c:pt idx="0">
                  <c:v>98.410218992331124</c:v>
                </c:pt>
                <c:pt idx="1">
                  <c:v>96.857084347569554</c:v>
                </c:pt>
                <c:pt idx="2">
                  <c:v>95.245395576975156</c:v>
                </c:pt>
                <c:pt idx="3">
                  <c:v>93.575695631364809</c:v>
                </c:pt>
                <c:pt idx="4">
                  <c:v>91.848569977400587</c:v>
                </c:pt>
                <c:pt idx="5">
                  <c:v>90.064646493583368</c:v>
                </c:pt>
                <c:pt idx="6">
                  <c:v>88.224595518981275</c:v>
                </c:pt>
                <c:pt idx="7">
                  <c:v>86.32913002869627</c:v>
                </c:pt>
                <c:pt idx="8">
                  <c:v>84.379005913568776</c:v>
                </c:pt>
                <c:pt idx="9">
                  <c:v>82.375022344105417</c:v>
                </c:pt>
                <c:pt idx="10">
                  <c:v>80.318022200360048</c:v>
                </c:pt>
                <c:pt idx="11">
                  <c:v>78.208892550703069</c:v>
                </c:pt>
                <c:pt idx="12">
                  <c:v>76.048565163233263</c:v>
                </c:pt>
                <c:pt idx="13">
                  <c:v>73.838017034132406</c:v>
                </c:pt>
                <c:pt idx="14">
                  <c:v>71.578270917630903</c:v>
                </c:pt>
                <c:pt idx="15">
                  <c:v>69.270395842512329</c:v>
                </c:pt>
                <c:pt idx="16">
                  <c:v>66.915507600298938</c:v>
                </c:pt>
                <c:pt idx="17">
                  <c:v>64.514769190474993</c:v>
                </c:pt>
                <c:pt idx="18">
                  <c:v>62.069391208362894</c:v>
                </c:pt>
                <c:pt idx="19">
                  <c:v>59.580632161598629</c:v>
                </c:pt>
                <c:pt idx="20">
                  <c:v>57.049798701590817</c:v>
                </c:pt>
                <c:pt idx="21">
                  <c:v>54.47824575690386</c:v>
                </c:pt>
                <c:pt idx="22">
                  <c:v>51.867376556203979</c:v>
                </c:pt>
                <c:pt idx="23">
                  <c:v>49.218642529253216</c:v>
                </c:pt>
                <c:pt idx="24">
                  <c:v>46.533543075434004</c:v>
                </c:pt>
                <c:pt idx="25">
                  <c:v>43.813625190438827</c:v>
                </c:pt>
                <c:pt idx="26">
                  <c:v>41.060482943056698</c:v>
                </c:pt>
                <c:pt idx="27">
                  <c:v>38.275756795420236</c:v>
                </c:pt>
                <c:pt idx="28">
                  <c:v>35.461132761629614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135552"/>
        <c:axId val="128137088"/>
      </c:scatterChart>
      <c:valAx>
        <c:axId val="128135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8137088"/>
        <c:crosses val="autoZero"/>
        <c:crossBetween val="midCat"/>
      </c:valAx>
      <c:valAx>
        <c:axId val="1281370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813555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Траектория стопы 5-звенного механизма</a:t>
            </a:r>
          </a:p>
        </c:rich>
      </c:tx>
      <c:layout>
        <c:manualLayout>
          <c:xMode val="edge"/>
          <c:yMode val="edge"/>
          <c:x val="0.44247787610619471"/>
          <c:y val="0.79772079772079774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9701354898205291E-2"/>
          <c:y val="1.0526122785751393E-2"/>
          <c:w val="0.9198197451492105"/>
          <c:h val="0.94604122738215291"/>
        </c:manualLayout>
      </c:layout>
      <c:scatterChart>
        <c:scatterStyle val="lineMarker"/>
        <c:varyColors val="0"/>
        <c:ser>
          <c:idx val="0"/>
          <c:order val="0"/>
          <c:tx>
            <c:strRef>
              <c:f>CALC60!$AZ$5</c:f>
              <c:strCache>
                <c:ptCount val="1"/>
                <c:pt idx="0">
                  <c:v>Y</c:v>
                </c:pt>
              </c:strCache>
            </c:strRef>
          </c:tx>
          <c:spPr>
            <a:ln>
              <a:noFill/>
            </a:ln>
          </c:spPr>
          <c:marker>
            <c:symbol val="plus"/>
            <c:size val="10"/>
          </c:marker>
          <c:xVal>
            <c:numRef>
              <c:f>CALC60!$AY$6:$AY$581</c:f>
              <c:numCache>
                <c:formatCode>General</c:formatCode>
                <c:ptCount val="576"/>
                <c:pt idx="0">
                  <c:v>-19.833506546880365</c:v>
                </c:pt>
                <c:pt idx="1">
                  <c:v>-18.245852614565919</c:v>
                </c:pt>
                <c:pt idx="2">
                  <c:v>-16.629666681765414</c:v>
                </c:pt>
                <c:pt idx="3">
                  <c:v>-14.98231154257417</c:v>
                </c:pt>
                <c:pt idx="4">
                  <c:v>-13.301143585556035</c:v>
                </c:pt>
                <c:pt idx="5">
                  <c:v>-11.583569246398675</c:v>
                </c:pt>
                <c:pt idx="6">
                  <c:v>-9.8270793278644781</c:v>
                </c:pt>
                <c:pt idx="7">
                  <c:v>-8.029252658232803</c:v>
                </c:pt>
                <c:pt idx="8">
                  <c:v>-6.1877185053343773</c:v>
                </c:pt>
                <c:pt idx="9">
                  <c:v>-4.3000630515963358</c:v>
                </c:pt>
                <c:pt idx="10">
                  <c:v>-2.3636564525099644</c:v>
                </c:pt>
                <c:pt idx="11">
                  <c:v>-0.37535794962416702</c:v>
                </c:pt>
                <c:pt idx="12">
                  <c:v>-3.0678010204149508</c:v>
                </c:pt>
                <c:pt idx="13">
                  <c:v>5.8156608222448263</c:v>
                </c:pt>
                <c:pt idx="14">
                  <c:v>-8.9906603193697858</c:v>
                </c:pt>
                <c:pt idx="15">
                  <c:v>-19.434156555154736</c:v>
                </c:pt>
                <c:pt idx="16">
                  <c:v>-12</c:v>
                </c:pt>
                <c:pt idx="17">
                  <c:v>-29.167117021908272</c:v>
                </c:pt>
                <c:pt idx="18">
                  <c:v>-14</c:v>
                </c:pt>
                <c:pt idx="19">
                  <c:v>-19.833506546880365</c:v>
                </c:pt>
                <c:pt idx="20">
                  <c:v>1.5130248501190131</c:v>
                </c:pt>
                <c:pt idx="21">
                  <c:v>12</c:v>
                </c:pt>
                <c:pt idx="22">
                  <c:v>-12</c:v>
                </c:pt>
                <c:pt idx="23">
                  <c:v>-28.772550131225248</c:v>
                </c:pt>
                <c:pt idx="24">
                  <c:v>-11.666666666666666</c:v>
                </c:pt>
                <c:pt idx="25">
                  <c:v>-18.245852614565919</c:v>
                </c:pt>
                <c:pt idx="26">
                  <c:v>4.3925078710812571</c:v>
                </c:pt>
                <c:pt idx="27">
                  <c:v>12</c:v>
                </c:pt>
                <c:pt idx="28">
                  <c:v>-12</c:v>
                </c:pt>
                <c:pt idx="29">
                  <c:v>-28.303800039278563</c:v>
                </c:pt>
                <c:pt idx="30">
                  <c:v>-9.3333333333333321</c:v>
                </c:pt>
                <c:pt idx="31">
                  <c:v>-16.629666681765414</c:v>
                </c:pt>
                <c:pt idx="32">
                  <c:v>6.4527131206909987</c:v>
                </c:pt>
                <c:pt idx="33">
                  <c:v>12</c:v>
                </c:pt>
                <c:pt idx="34">
                  <c:v>-12</c:v>
                </c:pt>
                <c:pt idx="35">
                  <c:v>-27.754010010716058</c:v>
                </c:pt>
                <c:pt idx="36">
                  <c:v>-6.9999999999999982</c:v>
                </c:pt>
                <c:pt idx="37">
                  <c:v>-14.98231154257417</c:v>
                </c:pt>
                <c:pt idx="38">
                  <c:v>8.2375052570320868</c:v>
                </c:pt>
                <c:pt idx="39">
                  <c:v>12</c:v>
                </c:pt>
                <c:pt idx="40">
                  <c:v>-12</c:v>
                </c:pt>
                <c:pt idx="41">
                  <c:v>-27.116306655803694</c:v>
                </c:pt>
                <c:pt idx="42">
                  <c:v>-4.6666666666666643</c:v>
                </c:pt>
                <c:pt idx="43">
                  <c:v>-13.301143585556035</c:v>
                </c:pt>
                <c:pt idx="44">
                  <c:v>9.8664661885771885</c:v>
                </c:pt>
                <c:pt idx="45">
                  <c:v>12</c:v>
                </c:pt>
                <c:pt idx="46">
                  <c:v>-12</c:v>
                </c:pt>
                <c:pt idx="47">
                  <c:v>-26.383946707329393</c:v>
                </c:pt>
                <c:pt idx="48">
                  <c:v>-2.3333333333333308</c:v>
                </c:pt>
                <c:pt idx="49">
                  <c:v>-11.583569246398675</c:v>
                </c:pt>
                <c:pt idx="50">
                  <c:v>11.388844623449907</c:v>
                </c:pt>
                <c:pt idx="51">
                  <c:v>12</c:v>
                </c:pt>
                <c:pt idx="52">
                  <c:v>-12</c:v>
                </c:pt>
                <c:pt idx="53">
                  <c:v>-25.550406252475348</c:v>
                </c:pt>
                <c:pt idx="54">
                  <c:v>0</c:v>
                </c:pt>
                <c:pt idx="55">
                  <c:v>-9.8270793278644781</c:v>
                </c:pt>
                <c:pt idx="56">
                  <c:v>12.829698097369761</c:v>
                </c:pt>
                <c:pt idx="57">
                  <c:v>12</c:v>
                </c:pt>
                <c:pt idx="58">
                  <c:v>-12</c:v>
                </c:pt>
                <c:pt idx="59">
                  <c:v>-24.609390244767855</c:v>
                </c:pt>
                <c:pt idx="60">
                  <c:v>2.3333333333333335</c:v>
                </c:pt>
                <c:pt idx="61">
                  <c:v>-8.029252658232803</c:v>
                </c:pt>
                <c:pt idx="62">
                  <c:v>14.203132463376605</c:v>
                </c:pt>
                <c:pt idx="63">
                  <c:v>12</c:v>
                </c:pt>
                <c:pt idx="64">
                  <c:v>-12</c:v>
                </c:pt>
                <c:pt idx="65">
                  <c:v>-23.554734780566797</c:v>
                </c:pt>
                <c:pt idx="66">
                  <c:v>4.666666666666667</c:v>
                </c:pt>
                <c:pt idx="67">
                  <c:v>-6.1877185053343773</c:v>
                </c:pt>
                <c:pt idx="68">
                  <c:v>15.517506829265256</c:v>
                </c:pt>
                <c:pt idx="69">
                  <c:v>12</c:v>
                </c:pt>
                <c:pt idx="70">
                  <c:v>-12</c:v>
                </c:pt>
                <c:pt idx="71">
                  <c:v>-22.380163934182676</c:v>
                </c:pt>
                <c:pt idx="72">
                  <c:v>7</c:v>
                </c:pt>
                <c:pt idx="73">
                  <c:v>-4.3000630515963358</c:v>
                </c:pt>
                <c:pt idx="74">
                  <c:v>16.777941702150098</c:v>
                </c:pt>
                <c:pt idx="75">
                  <c:v>12</c:v>
                </c:pt>
                <c:pt idx="76">
                  <c:v>-12</c:v>
                </c:pt>
                <c:pt idx="77">
                  <c:v>-21.078840109892809</c:v>
                </c:pt>
                <c:pt idx="78">
                  <c:v>9.3333333333333339</c:v>
                </c:pt>
                <c:pt idx="79">
                  <c:v>-2.3636564525099644</c:v>
                </c:pt>
                <c:pt idx="80">
                  <c:v>17.987756355580007</c:v>
                </c:pt>
                <c:pt idx="81">
                  <c:v>12</c:v>
                </c:pt>
                <c:pt idx="82">
                  <c:v>-12</c:v>
                </c:pt>
                <c:pt idx="83">
                  <c:v>-19.642597335724307</c:v>
                </c:pt>
                <c:pt idx="84">
                  <c:v>11.666666666666668</c:v>
                </c:pt>
                <c:pt idx="85">
                  <c:v>-0.37535794962416702</c:v>
                </c:pt>
                <c:pt idx="86">
                  <c:v>19.149459663035739</c:v>
                </c:pt>
                <c:pt idx="87">
                  <c:v>12</c:v>
                </c:pt>
                <c:pt idx="88">
                  <c:v>-12</c:v>
                </c:pt>
                <c:pt idx="89">
                  <c:v>-30.376282653093735</c:v>
                </c:pt>
                <c:pt idx="90">
                  <c:v>14.000000000000002</c:v>
                </c:pt>
                <c:pt idx="91">
                  <c:v>-3.0678010204149508</c:v>
                </c:pt>
                <c:pt idx="92">
                  <c:v>26.896999319700733</c:v>
                </c:pt>
                <c:pt idx="93">
                  <c:v>12</c:v>
                </c:pt>
                <c:pt idx="94">
                  <c:v>-12</c:v>
                </c:pt>
                <c:pt idx="95">
                  <c:v>-24.879281862192261</c:v>
                </c:pt>
                <c:pt idx="96">
                  <c:v>25</c:v>
                </c:pt>
                <c:pt idx="97">
                  <c:v>5.8156608222448263</c:v>
                </c:pt>
                <c:pt idx="98">
                  <c:v>31.34962606454722</c:v>
                </c:pt>
                <c:pt idx="99">
                  <c:v>12</c:v>
                </c:pt>
                <c:pt idx="100">
                  <c:v>-12</c:v>
                </c:pt>
                <c:pt idx="101">
                  <c:v>-23.375716830330454</c:v>
                </c:pt>
                <c:pt idx="102">
                  <c:v>0</c:v>
                </c:pt>
                <c:pt idx="103">
                  <c:v>-8.9906603193697858</c:v>
                </c:pt>
                <c:pt idx="104">
                  <c:v>22.648032351271631</c:v>
                </c:pt>
                <c:pt idx="105">
                  <c:v>12</c:v>
                </c:pt>
                <c:pt idx="106">
                  <c:v>-12</c:v>
                </c:pt>
                <c:pt idx="107">
                  <c:v>-10.52880704336475</c:v>
                </c:pt>
                <c:pt idx="108">
                  <c:v>-25</c:v>
                </c:pt>
                <c:pt idx="109">
                  <c:v>-19.434156555154736</c:v>
                </c:pt>
                <c:pt idx="110">
                  <c:v>20.32293673094285</c:v>
                </c:pt>
                <c:pt idx="111">
                  <c:v>12</c:v>
                </c:pt>
                <c:pt idx="112">
                  <c:v>60</c:v>
                </c:pt>
                <c:pt idx="113">
                  <c:v>59.977621104822219</c:v>
                </c:pt>
                <c:pt idx="114">
                  <c:v>59.910498330815244</c:v>
                </c:pt>
                <c:pt idx="115">
                  <c:v>59.7986734039103</c:v>
                </c:pt>
                <c:pt idx="116">
                  <c:v>59.642215838505066</c:v>
                </c:pt>
                <c:pt idx="117">
                  <c:v>59.441222894251112</c:v>
                </c:pt>
                <c:pt idx="118">
                  <c:v>59.195819515593755</c:v>
                </c:pt>
                <c:pt idx="119">
                  <c:v>58.906158254102053</c:v>
                </c:pt>
                <c:pt idx="120">
                  <c:v>58.572419173637371</c:v>
                </c:pt>
                <c:pt idx="121">
                  <c:v>58.19480973841911</c:v>
                </c:pt>
                <c:pt idx="122">
                  <c:v>57.77356468405749</c:v>
                </c:pt>
                <c:pt idx="123">
                  <c:v>57.308945871633512</c:v>
                </c:pt>
                <c:pt idx="124">
                  <c:v>56.801242124916655</c:v>
                </c:pt>
                <c:pt idx="125">
                  <c:v>56.250769050821617</c:v>
                </c:pt>
                <c:pt idx="126">
                  <c:v>55.657868843215709</c:v>
                </c:pt>
                <c:pt idx="127">
                  <c:v>55.022910070198847</c:v>
                </c:pt>
                <c:pt idx="128">
                  <c:v>54.346287444988349</c:v>
                </c:pt>
                <c:pt idx="129">
                  <c:v>53.628421580551006</c:v>
                </c:pt>
                <c:pt idx="130">
                  <c:v>52.869758728134926</c:v>
                </c:pt>
                <c:pt idx="131">
                  <c:v>52.070770499863713</c:v>
                </c:pt>
                <c:pt idx="132">
                  <c:v>51.231953575565385</c:v>
                </c:pt>
                <c:pt idx="133">
                  <c:v>50.353829394018334</c:v>
                </c:pt>
                <c:pt idx="134">
                  <c:v>49.436943828806236</c:v>
                </c:pt>
                <c:pt idx="135">
                  <c:v>48.481866848983351</c:v>
                </c:pt>
                <c:pt idx="136">
                  <c:v>47.489192164761299</c:v>
                </c:pt>
                <c:pt idx="137">
                  <c:v>46.45953685843741</c:v>
                </c:pt>
                <c:pt idx="138">
                  <c:v>45.39354100079418</c:v>
                </c:pt>
                <c:pt idx="139">
                  <c:v>44.29186725320821</c:v>
                </c:pt>
                <c:pt idx="140">
                  <c:v>43.155200455716098</c:v>
                </c:pt>
                <c:pt idx="141">
                  <c:v>41.984247201293201</c:v>
                </c:pt>
                <c:pt idx="142">
                  <c:v>40.779735396610057</c:v>
                </c:pt>
                <c:pt idx="143">
                  <c:v>39.542413809539362</c:v>
                </c:pt>
                <c:pt idx="144">
                  <c:v>38.27305160369496</c:v>
                </c:pt>
                <c:pt idx="145">
                  <c:v>36.97243786029204</c:v>
                </c:pt>
                <c:pt idx="146">
                  <c:v>35.641381087625909</c:v>
                </c:pt>
                <c:pt idx="147">
                  <c:v>34.280708718474088</c:v>
                </c:pt>
                <c:pt idx="148">
                  <c:v>32.891266595734379</c:v>
                </c:pt>
                <c:pt idx="149">
                  <c:v>31.473918446618441</c:v>
                </c:pt>
                <c:pt idx="150">
                  <c:v>30.029545345727961</c:v>
                </c:pt>
                <c:pt idx="151">
                  <c:v>28.559045167346859</c:v>
                </c:pt>
                <c:pt idx="152">
                  <c:v>27.063332027290457</c:v>
                </c:pt>
                <c:pt idx="153">
                  <c:v>25.54333571465812</c:v>
                </c:pt>
                <c:pt idx="154">
                  <c:v>24.00000111384292</c:v>
                </c:pt>
                <c:pt idx="155">
                  <c:v>22.434287617157558</c:v>
                </c:pt>
                <c:pt idx="156">
                  <c:v>20.847168528441451</c:v>
                </c:pt>
                <c:pt idx="157">
                  <c:v>19.239630458020226</c:v>
                </c:pt>
                <c:pt idx="158">
                  <c:v>17.612672709393095</c:v>
                </c:pt>
                <c:pt idx="159">
                  <c:v>15.967306658029923</c:v>
                </c:pt>
                <c:pt idx="160">
                  <c:v>14.304555122663807</c:v>
                </c:pt>
                <c:pt idx="161">
                  <c:v>12.625451729470267</c:v>
                </c:pt>
                <c:pt idx="162">
                  <c:v>10.931040269527855</c:v>
                </c:pt>
                <c:pt idx="163">
                  <c:v>9.2223740499601874</c:v>
                </c:pt>
                <c:pt idx="164">
                  <c:v>7.50051523916229</c:v>
                </c:pt>
                <c:pt idx="165">
                  <c:v>5.7665342065185783</c:v>
                </c:pt>
                <c:pt idx="166">
                  <c:v>4.0215088570226385</c:v>
                </c:pt>
                <c:pt idx="167">
                  <c:v>2.2665239612127621</c:v>
                </c:pt>
                <c:pt idx="168">
                  <c:v>0.50267048083958699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2.8515696384297637</c:v>
                </c:pt>
                <c:pt idx="177">
                  <c:v>1.9753111994832171</c:v>
                </c:pt>
                <c:pt idx="178">
                  <c:v>0.92563316887902047</c:v>
                </c:pt>
                <c:pt idx="179">
                  <c:v>-0.21601377837397351</c:v>
                </c:pt>
                <c:pt idx="180">
                  <c:v>-1.4157664759720063</c:v>
                </c:pt>
                <c:pt idx="181">
                  <c:v>-2.6556123420946562</c:v>
                </c:pt>
                <c:pt idx="182">
                  <c:v>-3.9245681685754725</c:v>
                </c:pt>
                <c:pt idx="183">
                  <c:v>-5.2153144569239593</c:v>
                </c:pt>
                <c:pt idx="184">
                  <c:v>-6.5226550874579061</c:v>
                </c:pt>
                <c:pt idx="185">
                  <c:v>-7.8427215966531474</c:v>
                </c:pt>
                <c:pt idx="186">
                  <c:v>-9.1725245020797033</c:v>
                </c:pt>
                <c:pt idx="187">
                  <c:v>-10.509682805443534</c:v>
                </c:pt>
                <c:pt idx="188">
                  <c:v>-11.852251962601201</c:v>
                </c:pt>
                <c:pt idx="189">
                  <c:v>-13.198609507350314</c:v>
                </c:pt>
                <c:pt idx="190">
                  <c:v>-14.547376030315508</c:v>
                </c:pt>
                <c:pt idx="191">
                  <c:v>-15.897358663204308</c:v>
                </c:pt>
                <c:pt idx="192">
                  <c:v>-17.247509325359044</c:v>
                </c:pt>
                <c:pt idx="193">
                  <c:v>-18.596892885306229</c:v>
                </c:pt>
                <c:pt idx="194">
                  <c:v>-19.944662101015112</c:v>
                </c:pt>
                <c:pt idx="195">
                  <c:v>-21.290037250525245</c:v>
                </c:pt>
                <c:pt idx="196">
                  <c:v>-22.632289027455251</c:v>
                </c:pt>
                <c:pt idx="197">
                  <c:v>-23.97072370792359</c:v>
                </c:pt>
                <c:pt idx="198">
                  <c:v>-25.30466988534544</c:v>
                </c:pt>
                <c:pt idx="199">
                  <c:v>-26.633466270137497</c:v>
                </c:pt>
                <c:pt idx="200">
                  <c:v>-27.956450194805811</c:v>
                </c:pt>
                <c:pt idx="201">
                  <c:v>-29.272946571435931</c:v>
                </c:pt>
                <c:pt idx="202">
                  <c:v>-30.582257131227855</c:v>
                </c:pt>
                <c:pt idx="203">
                  <c:v>-31.883649842884822</c:v>
                </c:pt>
                <c:pt idx="204">
                  <c:v>-33.176348463939625</c:v>
                </c:pt>
                <c:pt idx="205">
                  <c:v>-34.459522230103559</c:v>
                </c:pt>
                <c:pt idx="206">
                  <c:v>-35.732275734705851</c:v>
                </c:pt>
                <c:pt idx="207">
                  <c:v>-36.99363909448315</c:v>
                </c:pt>
                <c:pt idx="208">
                  <c:v>-38.242558539797471</c:v>
                </c:pt>
                <c:pt idx="209">
                  <c:v>-39.477887606536221</c:v>
                </c:pt>
                <c:pt idx="210">
                  <c:v>-40.698379142616446</c:v>
                </c:pt>
                <c:pt idx="211">
                  <c:v>-41.902678372794895</c:v>
                </c:pt>
                <c:pt idx="212">
                  <c:v>-43.089317289558807</c:v>
                </c:pt>
                <c:pt idx="213">
                  <c:v>-44.25671065311036</c:v>
                </c:pt>
                <c:pt idx="214">
                  <c:v>-45.403153887555582</c:v>
                </c:pt>
                <c:pt idx="215">
                  <c:v>-46.526823151096757</c:v>
                </c:pt>
                <c:pt idx="216">
                  <c:v>-47.625777833297384</c:v>
                </c:pt>
                <c:pt idx="217">
                  <c:v>-48.697965690882285</c:v>
                </c:pt>
                <c:pt idx="218">
                  <c:v>-49.741230774414589</c:v>
                </c:pt>
                <c:pt idx="219">
                  <c:v>-50.753324222038465</c:v>
                </c:pt>
                <c:pt idx="220">
                  <c:v>-51.731917905092047</c:v>
                </c:pt>
                <c:pt idx="221">
                  <c:v>-52.674620807053785</c:v>
                </c:pt>
                <c:pt idx="222">
                  <c:v>-53.578997906712083</c:v>
                </c:pt>
                <c:pt idx="223">
                  <c:v>-54.442591224662408</c:v>
                </c:pt>
                <c:pt idx="224">
                  <c:v>-55.262942586197084</c:v>
                </c:pt>
                <c:pt idx="225">
                  <c:v>-56.037617560739605</c:v>
                </c:pt>
                <c:pt idx="226">
                  <c:v>-56.764229965340405</c:v>
                </c:pt>
                <c:pt idx="227">
                  <c:v>-57.440466273599569</c:v>
                </c:pt>
                <c:pt idx="228">
                  <c:v>-58.064109256288212</c:v>
                </c:pt>
                <c:pt idx="229">
                  <c:v>-58.633060198267984</c:v>
                </c:pt>
                <c:pt idx="230">
                  <c:v>-59.145359087855262</c:v>
                </c:pt>
                <c:pt idx="231">
                  <c:v>-59.599202256688159</c:v>
                </c:pt>
                <c:pt idx="232">
                  <c:v>-59.992957055132891</c:v>
                </c:pt>
                <c:pt idx="233">
                  <c:v>-60.325173273076174</c:v>
                </c:pt>
                <c:pt idx="234">
                  <c:v>-60.594591150128096</c:v>
                </c:pt>
                <c:pt idx="235">
                  <c:v>-60.800145953957085</c:v>
                </c:pt>
                <c:pt idx="236">
                  <c:v>-60.940969232303956</c:v>
                </c:pt>
                <c:pt idx="237">
                  <c:v>-61.016386955989681</c:v>
                </c:pt>
                <c:pt idx="238">
                  <c:v>-61.025914861512376</c:v>
                </c:pt>
                <c:pt idx="239">
                  <c:v>-60.969251369261414</c:v>
                </c:pt>
              </c:numCache>
            </c:numRef>
          </c:xVal>
          <c:yVal>
            <c:numRef>
              <c:f>CALC60!$AZ$6:$AZ$581</c:f>
              <c:numCache>
                <c:formatCode>General</c:formatCode>
                <c:ptCount val="576"/>
                <c:pt idx="0">
                  <c:v>40.86965234584153</c:v>
                </c:pt>
                <c:pt idx="1">
                  <c:v>41.113117984579134</c:v>
                </c:pt>
                <c:pt idx="2">
                  <c:v>41.378412536251915</c:v>
                </c:pt>
                <c:pt idx="3">
                  <c:v>41.661987500311113</c:v>
                </c:pt>
                <c:pt idx="4">
                  <c:v>41.95988336128007</c:v>
                </c:pt>
                <c:pt idx="5">
                  <c:v>42.267737438384209</c:v>
                </c:pt>
                <c:pt idx="6">
                  <c:v>42.580800480926449</c:v>
                </c:pt>
                <c:pt idx="7">
                  <c:v>42.89395394695736</c:v>
                </c:pt>
                <c:pt idx="8">
                  <c:v>43.201716678801894</c:v>
                </c:pt>
                <c:pt idx="9">
                  <c:v>43.498225094514225</c:v>
                </c:pt>
                <c:pt idx="10">
                  <c:v>43.777163319837754</c:v>
                </c:pt>
                <c:pt idx="11">
                  <c:v>44.0316048664262</c:v>
                </c:pt>
                <c:pt idx="12">
                  <c:v>24.57454229643842</c:v>
                </c:pt>
                <c:pt idx="13">
                  <c:v>24.346582421735683</c:v>
                </c:pt>
                <c:pt idx="14">
                  <c:v>12.134725666200417</c:v>
                </c:pt>
                <c:pt idx="15">
                  <c:v>10.790070620957902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CALC60!$BA$5</c:f>
              <c:strCache>
                <c:ptCount val="1"/>
                <c:pt idx="0">
                  <c:v>R0</c:v>
                </c:pt>
              </c:strCache>
            </c:strRef>
          </c:tx>
          <c:xVal>
            <c:numRef>
              <c:f>CALC60!$AY$6:$AY$581</c:f>
              <c:numCache>
                <c:formatCode>General</c:formatCode>
                <c:ptCount val="576"/>
                <c:pt idx="0">
                  <c:v>-19.833506546880365</c:v>
                </c:pt>
                <c:pt idx="1">
                  <c:v>-18.245852614565919</c:v>
                </c:pt>
                <c:pt idx="2">
                  <c:v>-16.629666681765414</c:v>
                </c:pt>
                <c:pt idx="3">
                  <c:v>-14.98231154257417</c:v>
                </c:pt>
                <c:pt idx="4">
                  <c:v>-13.301143585556035</c:v>
                </c:pt>
                <c:pt idx="5">
                  <c:v>-11.583569246398675</c:v>
                </c:pt>
                <c:pt idx="6">
                  <c:v>-9.8270793278644781</c:v>
                </c:pt>
                <c:pt idx="7">
                  <c:v>-8.029252658232803</c:v>
                </c:pt>
                <c:pt idx="8">
                  <c:v>-6.1877185053343773</c:v>
                </c:pt>
                <c:pt idx="9">
                  <c:v>-4.3000630515963358</c:v>
                </c:pt>
                <c:pt idx="10">
                  <c:v>-2.3636564525099644</c:v>
                </c:pt>
                <c:pt idx="11">
                  <c:v>-0.37535794962416702</c:v>
                </c:pt>
                <c:pt idx="12">
                  <c:v>-3.0678010204149508</c:v>
                </c:pt>
                <c:pt idx="13">
                  <c:v>5.8156608222448263</c:v>
                </c:pt>
                <c:pt idx="14">
                  <c:v>-8.9906603193697858</c:v>
                </c:pt>
                <c:pt idx="15">
                  <c:v>-19.434156555154736</c:v>
                </c:pt>
                <c:pt idx="16">
                  <c:v>-12</c:v>
                </c:pt>
                <c:pt idx="17">
                  <c:v>-29.167117021908272</c:v>
                </c:pt>
                <c:pt idx="18">
                  <c:v>-14</c:v>
                </c:pt>
                <c:pt idx="19">
                  <c:v>-19.833506546880365</c:v>
                </c:pt>
                <c:pt idx="20">
                  <c:v>1.5130248501190131</c:v>
                </c:pt>
                <c:pt idx="21">
                  <c:v>12</c:v>
                </c:pt>
                <c:pt idx="22">
                  <c:v>-12</c:v>
                </c:pt>
                <c:pt idx="23">
                  <c:v>-28.772550131225248</c:v>
                </c:pt>
                <c:pt idx="24">
                  <c:v>-11.666666666666666</c:v>
                </c:pt>
                <c:pt idx="25">
                  <c:v>-18.245852614565919</c:v>
                </c:pt>
                <c:pt idx="26">
                  <c:v>4.3925078710812571</c:v>
                </c:pt>
                <c:pt idx="27">
                  <c:v>12</c:v>
                </c:pt>
                <c:pt idx="28">
                  <c:v>-12</c:v>
                </c:pt>
                <c:pt idx="29">
                  <c:v>-28.303800039278563</c:v>
                </c:pt>
                <c:pt idx="30">
                  <c:v>-9.3333333333333321</c:v>
                </c:pt>
                <c:pt idx="31">
                  <c:v>-16.629666681765414</c:v>
                </c:pt>
                <c:pt idx="32">
                  <c:v>6.4527131206909987</c:v>
                </c:pt>
                <c:pt idx="33">
                  <c:v>12</c:v>
                </c:pt>
                <c:pt idx="34">
                  <c:v>-12</c:v>
                </c:pt>
                <c:pt idx="35">
                  <c:v>-27.754010010716058</c:v>
                </c:pt>
                <c:pt idx="36">
                  <c:v>-6.9999999999999982</c:v>
                </c:pt>
                <c:pt idx="37">
                  <c:v>-14.98231154257417</c:v>
                </c:pt>
                <c:pt idx="38">
                  <c:v>8.2375052570320868</c:v>
                </c:pt>
                <c:pt idx="39">
                  <c:v>12</c:v>
                </c:pt>
                <c:pt idx="40">
                  <c:v>-12</c:v>
                </c:pt>
                <c:pt idx="41">
                  <c:v>-27.116306655803694</c:v>
                </c:pt>
                <c:pt idx="42">
                  <c:v>-4.6666666666666643</c:v>
                </c:pt>
                <c:pt idx="43">
                  <c:v>-13.301143585556035</c:v>
                </c:pt>
                <c:pt idx="44">
                  <c:v>9.8664661885771885</c:v>
                </c:pt>
                <c:pt idx="45">
                  <c:v>12</c:v>
                </c:pt>
                <c:pt idx="46">
                  <c:v>-12</c:v>
                </c:pt>
                <c:pt idx="47">
                  <c:v>-26.383946707329393</c:v>
                </c:pt>
                <c:pt idx="48">
                  <c:v>-2.3333333333333308</c:v>
                </c:pt>
                <c:pt idx="49">
                  <c:v>-11.583569246398675</c:v>
                </c:pt>
                <c:pt idx="50">
                  <c:v>11.388844623449907</c:v>
                </c:pt>
                <c:pt idx="51">
                  <c:v>12</c:v>
                </c:pt>
                <c:pt idx="52">
                  <c:v>-12</c:v>
                </c:pt>
                <c:pt idx="53">
                  <c:v>-25.550406252475348</c:v>
                </c:pt>
                <c:pt idx="54">
                  <c:v>0</c:v>
                </c:pt>
                <c:pt idx="55">
                  <c:v>-9.8270793278644781</c:v>
                </c:pt>
                <c:pt idx="56">
                  <c:v>12.829698097369761</c:v>
                </c:pt>
                <c:pt idx="57">
                  <c:v>12</c:v>
                </c:pt>
                <c:pt idx="58">
                  <c:v>-12</c:v>
                </c:pt>
                <c:pt idx="59">
                  <c:v>-24.609390244767855</c:v>
                </c:pt>
                <c:pt idx="60">
                  <c:v>2.3333333333333335</c:v>
                </c:pt>
                <c:pt idx="61">
                  <c:v>-8.029252658232803</c:v>
                </c:pt>
                <c:pt idx="62">
                  <c:v>14.203132463376605</c:v>
                </c:pt>
                <c:pt idx="63">
                  <c:v>12</c:v>
                </c:pt>
                <c:pt idx="64">
                  <c:v>-12</c:v>
                </c:pt>
                <c:pt idx="65">
                  <c:v>-23.554734780566797</c:v>
                </c:pt>
                <c:pt idx="66">
                  <c:v>4.666666666666667</c:v>
                </c:pt>
                <c:pt idx="67">
                  <c:v>-6.1877185053343773</c:v>
                </c:pt>
                <c:pt idx="68">
                  <c:v>15.517506829265256</c:v>
                </c:pt>
                <c:pt idx="69">
                  <c:v>12</c:v>
                </c:pt>
                <c:pt idx="70">
                  <c:v>-12</c:v>
                </c:pt>
                <c:pt idx="71">
                  <c:v>-22.380163934182676</c:v>
                </c:pt>
                <c:pt idx="72">
                  <c:v>7</c:v>
                </c:pt>
                <c:pt idx="73">
                  <c:v>-4.3000630515963358</c:v>
                </c:pt>
                <c:pt idx="74">
                  <c:v>16.777941702150098</c:v>
                </c:pt>
                <c:pt idx="75">
                  <c:v>12</c:v>
                </c:pt>
                <c:pt idx="76">
                  <c:v>-12</c:v>
                </c:pt>
                <c:pt idx="77">
                  <c:v>-21.078840109892809</c:v>
                </c:pt>
                <c:pt idx="78">
                  <c:v>9.3333333333333339</c:v>
                </c:pt>
                <c:pt idx="79">
                  <c:v>-2.3636564525099644</c:v>
                </c:pt>
                <c:pt idx="80">
                  <c:v>17.987756355580007</c:v>
                </c:pt>
                <c:pt idx="81">
                  <c:v>12</c:v>
                </c:pt>
                <c:pt idx="82">
                  <c:v>-12</c:v>
                </c:pt>
                <c:pt idx="83">
                  <c:v>-19.642597335724307</c:v>
                </c:pt>
                <c:pt idx="84">
                  <c:v>11.666666666666668</c:v>
                </c:pt>
                <c:pt idx="85">
                  <c:v>-0.37535794962416702</c:v>
                </c:pt>
                <c:pt idx="86">
                  <c:v>19.149459663035739</c:v>
                </c:pt>
                <c:pt idx="87">
                  <c:v>12</c:v>
                </c:pt>
                <c:pt idx="88">
                  <c:v>-12</c:v>
                </c:pt>
                <c:pt idx="89">
                  <c:v>-30.376282653093735</c:v>
                </c:pt>
                <c:pt idx="90">
                  <c:v>14.000000000000002</c:v>
                </c:pt>
                <c:pt idx="91">
                  <c:v>-3.0678010204149508</c:v>
                </c:pt>
                <c:pt idx="92">
                  <c:v>26.896999319700733</c:v>
                </c:pt>
                <c:pt idx="93">
                  <c:v>12</c:v>
                </c:pt>
                <c:pt idx="94">
                  <c:v>-12</c:v>
                </c:pt>
                <c:pt idx="95">
                  <c:v>-24.879281862192261</c:v>
                </c:pt>
                <c:pt idx="96">
                  <c:v>25</c:v>
                </c:pt>
                <c:pt idx="97">
                  <c:v>5.8156608222448263</c:v>
                </c:pt>
                <c:pt idx="98">
                  <c:v>31.34962606454722</c:v>
                </c:pt>
                <c:pt idx="99">
                  <c:v>12</c:v>
                </c:pt>
                <c:pt idx="100">
                  <c:v>-12</c:v>
                </c:pt>
                <c:pt idx="101">
                  <c:v>-23.375716830330454</c:v>
                </c:pt>
                <c:pt idx="102">
                  <c:v>0</c:v>
                </c:pt>
                <c:pt idx="103">
                  <c:v>-8.9906603193697858</c:v>
                </c:pt>
                <c:pt idx="104">
                  <c:v>22.648032351271631</c:v>
                </c:pt>
                <c:pt idx="105">
                  <c:v>12</c:v>
                </c:pt>
                <c:pt idx="106">
                  <c:v>-12</c:v>
                </c:pt>
                <c:pt idx="107">
                  <c:v>-10.52880704336475</c:v>
                </c:pt>
                <c:pt idx="108">
                  <c:v>-25</c:v>
                </c:pt>
                <c:pt idx="109">
                  <c:v>-19.434156555154736</c:v>
                </c:pt>
                <c:pt idx="110">
                  <c:v>20.32293673094285</c:v>
                </c:pt>
                <c:pt idx="111">
                  <c:v>12</c:v>
                </c:pt>
                <c:pt idx="112">
                  <c:v>60</c:v>
                </c:pt>
                <c:pt idx="113">
                  <c:v>59.977621104822219</c:v>
                </c:pt>
                <c:pt idx="114">
                  <c:v>59.910498330815244</c:v>
                </c:pt>
                <c:pt idx="115">
                  <c:v>59.7986734039103</c:v>
                </c:pt>
                <c:pt idx="116">
                  <c:v>59.642215838505066</c:v>
                </c:pt>
                <c:pt idx="117">
                  <c:v>59.441222894251112</c:v>
                </c:pt>
                <c:pt idx="118">
                  <c:v>59.195819515593755</c:v>
                </c:pt>
                <c:pt idx="119">
                  <c:v>58.906158254102053</c:v>
                </c:pt>
                <c:pt idx="120">
                  <c:v>58.572419173637371</c:v>
                </c:pt>
                <c:pt idx="121">
                  <c:v>58.19480973841911</c:v>
                </c:pt>
                <c:pt idx="122">
                  <c:v>57.77356468405749</c:v>
                </c:pt>
                <c:pt idx="123">
                  <c:v>57.308945871633512</c:v>
                </c:pt>
                <c:pt idx="124">
                  <c:v>56.801242124916655</c:v>
                </c:pt>
                <c:pt idx="125">
                  <c:v>56.250769050821617</c:v>
                </c:pt>
                <c:pt idx="126">
                  <c:v>55.657868843215709</c:v>
                </c:pt>
                <c:pt idx="127">
                  <c:v>55.022910070198847</c:v>
                </c:pt>
                <c:pt idx="128">
                  <c:v>54.346287444988349</c:v>
                </c:pt>
                <c:pt idx="129">
                  <c:v>53.628421580551006</c:v>
                </c:pt>
                <c:pt idx="130">
                  <c:v>52.869758728134926</c:v>
                </c:pt>
                <c:pt idx="131">
                  <c:v>52.070770499863713</c:v>
                </c:pt>
                <c:pt idx="132">
                  <c:v>51.231953575565385</c:v>
                </c:pt>
                <c:pt idx="133">
                  <c:v>50.353829394018334</c:v>
                </c:pt>
                <c:pt idx="134">
                  <c:v>49.436943828806236</c:v>
                </c:pt>
                <c:pt idx="135">
                  <c:v>48.481866848983351</c:v>
                </c:pt>
                <c:pt idx="136">
                  <c:v>47.489192164761299</c:v>
                </c:pt>
                <c:pt idx="137">
                  <c:v>46.45953685843741</c:v>
                </c:pt>
                <c:pt idx="138">
                  <c:v>45.39354100079418</c:v>
                </c:pt>
                <c:pt idx="139">
                  <c:v>44.29186725320821</c:v>
                </c:pt>
                <c:pt idx="140">
                  <c:v>43.155200455716098</c:v>
                </c:pt>
                <c:pt idx="141">
                  <c:v>41.984247201293201</c:v>
                </c:pt>
                <c:pt idx="142">
                  <c:v>40.779735396610057</c:v>
                </c:pt>
                <c:pt idx="143">
                  <c:v>39.542413809539362</c:v>
                </c:pt>
                <c:pt idx="144">
                  <c:v>38.27305160369496</c:v>
                </c:pt>
                <c:pt idx="145">
                  <c:v>36.97243786029204</c:v>
                </c:pt>
                <c:pt idx="146">
                  <c:v>35.641381087625909</c:v>
                </c:pt>
                <c:pt idx="147">
                  <c:v>34.280708718474088</c:v>
                </c:pt>
                <c:pt idx="148">
                  <c:v>32.891266595734379</c:v>
                </c:pt>
                <c:pt idx="149">
                  <c:v>31.473918446618441</c:v>
                </c:pt>
                <c:pt idx="150">
                  <c:v>30.029545345727961</c:v>
                </c:pt>
                <c:pt idx="151">
                  <c:v>28.559045167346859</c:v>
                </c:pt>
                <c:pt idx="152">
                  <c:v>27.063332027290457</c:v>
                </c:pt>
                <c:pt idx="153">
                  <c:v>25.54333571465812</c:v>
                </c:pt>
                <c:pt idx="154">
                  <c:v>24.00000111384292</c:v>
                </c:pt>
                <c:pt idx="155">
                  <c:v>22.434287617157558</c:v>
                </c:pt>
                <c:pt idx="156">
                  <c:v>20.847168528441451</c:v>
                </c:pt>
                <c:pt idx="157">
                  <c:v>19.239630458020226</c:v>
                </c:pt>
                <c:pt idx="158">
                  <c:v>17.612672709393095</c:v>
                </c:pt>
                <c:pt idx="159">
                  <c:v>15.967306658029923</c:v>
                </c:pt>
                <c:pt idx="160">
                  <c:v>14.304555122663807</c:v>
                </c:pt>
                <c:pt idx="161">
                  <c:v>12.625451729470267</c:v>
                </c:pt>
                <c:pt idx="162">
                  <c:v>10.931040269527855</c:v>
                </c:pt>
                <c:pt idx="163">
                  <c:v>9.2223740499601874</c:v>
                </c:pt>
                <c:pt idx="164">
                  <c:v>7.50051523916229</c:v>
                </c:pt>
                <c:pt idx="165">
                  <c:v>5.7665342065185783</c:v>
                </c:pt>
                <c:pt idx="166">
                  <c:v>4.0215088570226385</c:v>
                </c:pt>
                <c:pt idx="167">
                  <c:v>2.2665239612127621</c:v>
                </c:pt>
                <c:pt idx="168">
                  <c:v>0.50267048083958699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2.8515696384297637</c:v>
                </c:pt>
                <c:pt idx="177">
                  <c:v>1.9753111994832171</c:v>
                </c:pt>
                <c:pt idx="178">
                  <c:v>0.92563316887902047</c:v>
                </c:pt>
                <c:pt idx="179">
                  <c:v>-0.21601377837397351</c:v>
                </c:pt>
                <c:pt idx="180">
                  <c:v>-1.4157664759720063</c:v>
                </c:pt>
                <c:pt idx="181">
                  <c:v>-2.6556123420946562</c:v>
                </c:pt>
                <c:pt idx="182">
                  <c:v>-3.9245681685754725</c:v>
                </c:pt>
                <c:pt idx="183">
                  <c:v>-5.2153144569239593</c:v>
                </c:pt>
                <c:pt idx="184">
                  <c:v>-6.5226550874579061</c:v>
                </c:pt>
                <c:pt idx="185">
                  <c:v>-7.8427215966531474</c:v>
                </c:pt>
                <c:pt idx="186">
                  <c:v>-9.1725245020797033</c:v>
                </c:pt>
                <c:pt idx="187">
                  <c:v>-10.509682805443534</c:v>
                </c:pt>
                <c:pt idx="188">
                  <c:v>-11.852251962601201</c:v>
                </c:pt>
                <c:pt idx="189">
                  <c:v>-13.198609507350314</c:v>
                </c:pt>
                <c:pt idx="190">
                  <c:v>-14.547376030315508</c:v>
                </c:pt>
                <c:pt idx="191">
                  <c:v>-15.897358663204308</c:v>
                </c:pt>
                <c:pt idx="192">
                  <c:v>-17.247509325359044</c:v>
                </c:pt>
                <c:pt idx="193">
                  <c:v>-18.596892885306229</c:v>
                </c:pt>
                <c:pt idx="194">
                  <c:v>-19.944662101015112</c:v>
                </c:pt>
                <c:pt idx="195">
                  <c:v>-21.290037250525245</c:v>
                </c:pt>
                <c:pt idx="196">
                  <c:v>-22.632289027455251</c:v>
                </c:pt>
                <c:pt idx="197">
                  <c:v>-23.97072370792359</c:v>
                </c:pt>
                <c:pt idx="198">
                  <c:v>-25.30466988534544</c:v>
                </c:pt>
                <c:pt idx="199">
                  <c:v>-26.633466270137497</c:v>
                </c:pt>
                <c:pt idx="200">
                  <c:v>-27.956450194805811</c:v>
                </c:pt>
                <c:pt idx="201">
                  <c:v>-29.272946571435931</c:v>
                </c:pt>
                <c:pt idx="202">
                  <c:v>-30.582257131227855</c:v>
                </c:pt>
                <c:pt idx="203">
                  <c:v>-31.883649842884822</c:v>
                </c:pt>
                <c:pt idx="204">
                  <c:v>-33.176348463939625</c:v>
                </c:pt>
                <c:pt idx="205">
                  <c:v>-34.459522230103559</c:v>
                </c:pt>
                <c:pt idx="206">
                  <c:v>-35.732275734705851</c:v>
                </c:pt>
                <c:pt idx="207">
                  <c:v>-36.99363909448315</c:v>
                </c:pt>
                <c:pt idx="208">
                  <c:v>-38.242558539797471</c:v>
                </c:pt>
                <c:pt idx="209">
                  <c:v>-39.477887606536221</c:v>
                </c:pt>
                <c:pt idx="210">
                  <c:v>-40.698379142616446</c:v>
                </c:pt>
                <c:pt idx="211">
                  <c:v>-41.902678372794895</c:v>
                </c:pt>
                <c:pt idx="212">
                  <c:v>-43.089317289558807</c:v>
                </c:pt>
                <c:pt idx="213">
                  <c:v>-44.25671065311036</c:v>
                </c:pt>
                <c:pt idx="214">
                  <c:v>-45.403153887555582</c:v>
                </c:pt>
                <c:pt idx="215">
                  <c:v>-46.526823151096757</c:v>
                </c:pt>
                <c:pt idx="216">
                  <c:v>-47.625777833297384</c:v>
                </c:pt>
                <c:pt idx="217">
                  <c:v>-48.697965690882285</c:v>
                </c:pt>
                <c:pt idx="218">
                  <c:v>-49.741230774414589</c:v>
                </c:pt>
                <c:pt idx="219">
                  <c:v>-50.753324222038465</c:v>
                </c:pt>
                <c:pt idx="220">
                  <c:v>-51.731917905092047</c:v>
                </c:pt>
                <c:pt idx="221">
                  <c:v>-52.674620807053785</c:v>
                </c:pt>
                <c:pt idx="222">
                  <c:v>-53.578997906712083</c:v>
                </c:pt>
                <c:pt idx="223">
                  <c:v>-54.442591224662408</c:v>
                </c:pt>
                <c:pt idx="224">
                  <c:v>-55.262942586197084</c:v>
                </c:pt>
                <c:pt idx="225">
                  <c:v>-56.037617560739605</c:v>
                </c:pt>
                <c:pt idx="226">
                  <c:v>-56.764229965340405</c:v>
                </c:pt>
                <c:pt idx="227">
                  <c:v>-57.440466273599569</c:v>
                </c:pt>
                <c:pt idx="228">
                  <c:v>-58.064109256288212</c:v>
                </c:pt>
                <c:pt idx="229">
                  <c:v>-58.633060198267984</c:v>
                </c:pt>
                <c:pt idx="230">
                  <c:v>-59.145359087855262</c:v>
                </c:pt>
                <c:pt idx="231">
                  <c:v>-59.599202256688159</c:v>
                </c:pt>
                <c:pt idx="232">
                  <c:v>-59.992957055132891</c:v>
                </c:pt>
                <c:pt idx="233">
                  <c:v>-60.325173273076174</c:v>
                </c:pt>
                <c:pt idx="234">
                  <c:v>-60.594591150128096</c:v>
                </c:pt>
                <c:pt idx="235">
                  <c:v>-60.800145953957085</c:v>
                </c:pt>
                <c:pt idx="236">
                  <c:v>-60.940969232303956</c:v>
                </c:pt>
                <c:pt idx="237">
                  <c:v>-61.016386955989681</c:v>
                </c:pt>
                <c:pt idx="238">
                  <c:v>-61.025914861512376</c:v>
                </c:pt>
                <c:pt idx="239">
                  <c:v>-60.969251369261414</c:v>
                </c:pt>
              </c:numCache>
            </c:numRef>
          </c:xVal>
          <c:yVal>
            <c:numRef>
              <c:f>CALC60!$BA$6:$BA$581</c:f>
              <c:numCache>
                <c:formatCode>General</c:formatCode>
                <c:ptCount val="576"/>
                <c:pt idx="16">
                  <c:v>0</c:v>
                </c:pt>
                <c:pt idx="17">
                  <c:v>10.261096099155651</c:v>
                </c:pt>
                <c:pt idx="18">
                  <c:v>60</c:v>
                </c:pt>
                <c:pt idx="19">
                  <c:v>40.86965234584153</c:v>
                </c:pt>
                <c:pt idx="20">
                  <c:v>17.030071996494279</c:v>
                </c:pt>
                <c:pt idx="21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CALC60!$BB$5</c:f>
              <c:strCache>
                <c:ptCount val="1"/>
                <c:pt idx="0">
                  <c:v>R1</c:v>
                </c:pt>
              </c:strCache>
            </c:strRef>
          </c:tx>
          <c:xVal>
            <c:numRef>
              <c:f>CALC60!$AY$6:$AY$581</c:f>
              <c:numCache>
                <c:formatCode>General</c:formatCode>
                <c:ptCount val="576"/>
                <c:pt idx="0">
                  <c:v>-19.833506546880365</c:v>
                </c:pt>
                <c:pt idx="1">
                  <c:v>-18.245852614565919</c:v>
                </c:pt>
                <c:pt idx="2">
                  <c:v>-16.629666681765414</c:v>
                </c:pt>
                <c:pt idx="3">
                  <c:v>-14.98231154257417</c:v>
                </c:pt>
                <c:pt idx="4">
                  <c:v>-13.301143585556035</c:v>
                </c:pt>
                <c:pt idx="5">
                  <c:v>-11.583569246398675</c:v>
                </c:pt>
                <c:pt idx="6">
                  <c:v>-9.8270793278644781</c:v>
                </c:pt>
                <c:pt idx="7">
                  <c:v>-8.029252658232803</c:v>
                </c:pt>
                <c:pt idx="8">
                  <c:v>-6.1877185053343773</c:v>
                </c:pt>
                <c:pt idx="9">
                  <c:v>-4.3000630515963358</c:v>
                </c:pt>
                <c:pt idx="10">
                  <c:v>-2.3636564525099644</c:v>
                </c:pt>
                <c:pt idx="11">
                  <c:v>-0.37535794962416702</c:v>
                </c:pt>
                <c:pt idx="12">
                  <c:v>-3.0678010204149508</c:v>
                </c:pt>
                <c:pt idx="13">
                  <c:v>5.8156608222448263</c:v>
                </c:pt>
                <c:pt idx="14">
                  <c:v>-8.9906603193697858</c:v>
                </c:pt>
                <c:pt idx="15">
                  <c:v>-19.434156555154736</c:v>
                </c:pt>
                <c:pt idx="16">
                  <c:v>-12</c:v>
                </c:pt>
                <c:pt idx="17">
                  <c:v>-29.167117021908272</c:v>
                </c:pt>
                <c:pt idx="18">
                  <c:v>-14</c:v>
                </c:pt>
                <c:pt idx="19">
                  <c:v>-19.833506546880365</c:v>
                </c:pt>
                <c:pt idx="20">
                  <c:v>1.5130248501190131</c:v>
                </c:pt>
                <c:pt idx="21">
                  <c:v>12</c:v>
                </c:pt>
                <c:pt idx="22">
                  <c:v>-12</c:v>
                </c:pt>
                <c:pt idx="23">
                  <c:v>-28.772550131225248</c:v>
                </c:pt>
                <c:pt idx="24">
                  <c:v>-11.666666666666666</c:v>
                </c:pt>
                <c:pt idx="25">
                  <c:v>-18.245852614565919</c:v>
                </c:pt>
                <c:pt idx="26">
                  <c:v>4.3925078710812571</c:v>
                </c:pt>
                <c:pt idx="27">
                  <c:v>12</c:v>
                </c:pt>
                <c:pt idx="28">
                  <c:v>-12</c:v>
                </c:pt>
                <c:pt idx="29">
                  <c:v>-28.303800039278563</c:v>
                </c:pt>
                <c:pt idx="30">
                  <c:v>-9.3333333333333321</c:v>
                </c:pt>
                <c:pt idx="31">
                  <c:v>-16.629666681765414</c:v>
                </c:pt>
                <c:pt idx="32">
                  <c:v>6.4527131206909987</c:v>
                </c:pt>
                <c:pt idx="33">
                  <c:v>12</c:v>
                </c:pt>
                <c:pt idx="34">
                  <c:v>-12</c:v>
                </c:pt>
                <c:pt idx="35">
                  <c:v>-27.754010010716058</c:v>
                </c:pt>
                <c:pt idx="36">
                  <c:v>-6.9999999999999982</c:v>
                </c:pt>
                <c:pt idx="37">
                  <c:v>-14.98231154257417</c:v>
                </c:pt>
                <c:pt idx="38">
                  <c:v>8.2375052570320868</c:v>
                </c:pt>
                <c:pt idx="39">
                  <c:v>12</c:v>
                </c:pt>
                <c:pt idx="40">
                  <c:v>-12</c:v>
                </c:pt>
                <c:pt idx="41">
                  <c:v>-27.116306655803694</c:v>
                </c:pt>
                <c:pt idx="42">
                  <c:v>-4.6666666666666643</c:v>
                </c:pt>
                <c:pt idx="43">
                  <c:v>-13.301143585556035</c:v>
                </c:pt>
                <c:pt idx="44">
                  <c:v>9.8664661885771885</c:v>
                </c:pt>
                <c:pt idx="45">
                  <c:v>12</c:v>
                </c:pt>
                <c:pt idx="46">
                  <c:v>-12</c:v>
                </c:pt>
                <c:pt idx="47">
                  <c:v>-26.383946707329393</c:v>
                </c:pt>
                <c:pt idx="48">
                  <c:v>-2.3333333333333308</c:v>
                </c:pt>
                <c:pt idx="49">
                  <c:v>-11.583569246398675</c:v>
                </c:pt>
                <c:pt idx="50">
                  <c:v>11.388844623449907</c:v>
                </c:pt>
                <c:pt idx="51">
                  <c:v>12</c:v>
                </c:pt>
                <c:pt idx="52">
                  <c:v>-12</c:v>
                </c:pt>
                <c:pt idx="53">
                  <c:v>-25.550406252475348</c:v>
                </c:pt>
                <c:pt idx="54">
                  <c:v>0</c:v>
                </c:pt>
                <c:pt idx="55">
                  <c:v>-9.8270793278644781</c:v>
                </c:pt>
                <c:pt idx="56">
                  <c:v>12.829698097369761</c:v>
                </c:pt>
                <c:pt idx="57">
                  <c:v>12</c:v>
                </c:pt>
                <c:pt idx="58">
                  <c:v>-12</c:v>
                </c:pt>
                <c:pt idx="59">
                  <c:v>-24.609390244767855</c:v>
                </c:pt>
                <c:pt idx="60">
                  <c:v>2.3333333333333335</c:v>
                </c:pt>
                <c:pt idx="61">
                  <c:v>-8.029252658232803</c:v>
                </c:pt>
                <c:pt idx="62">
                  <c:v>14.203132463376605</c:v>
                </c:pt>
                <c:pt idx="63">
                  <c:v>12</c:v>
                </c:pt>
                <c:pt idx="64">
                  <c:v>-12</c:v>
                </c:pt>
                <c:pt idx="65">
                  <c:v>-23.554734780566797</c:v>
                </c:pt>
                <c:pt idx="66">
                  <c:v>4.666666666666667</c:v>
                </c:pt>
                <c:pt idx="67">
                  <c:v>-6.1877185053343773</c:v>
                </c:pt>
                <c:pt idx="68">
                  <c:v>15.517506829265256</c:v>
                </c:pt>
                <c:pt idx="69">
                  <c:v>12</c:v>
                </c:pt>
                <c:pt idx="70">
                  <c:v>-12</c:v>
                </c:pt>
                <c:pt idx="71">
                  <c:v>-22.380163934182676</c:v>
                </c:pt>
                <c:pt idx="72">
                  <c:v>7</c:v>
                </c:pt>
                <c:pt idx="73">
                  <c:v>-4.3000630515963358</c:v>
                </c:pt>
                <c:pt idx="74">
                  <c:v>16.777941702150098</c:v>
                </c:pt>
                <c:pt idx="75">
                  <c:v>12</c:v>
                </c:pt>
                <c:pt idx="76">
                  <c:v>-12</c:v>
                </c:pt>
                <c:pt idx="77">
                  <c:v>-21.078840109892809</c:v>
                </c:pt>
                <c:pt idx="78">
                  <c:v>9.3333333333333339</c:v>
                </c:pt>
                <c:pt idx="79">
                  <c:v>-2.3636564525099644</c:v>
                </c:pt>
                <c:pt idx="80">
                  <c:v>17.987756355580007</c:v>
                </c:pt>
                <c:pt idx="81">
                  <c:v>12</c:v>
                </c:pt>
                <c:pt idx="82">
                  <c:v>-12</c:v>
                </c:pt>
                <c:pt idx="83">
                  <c:v>-19.642597335724307</c:v>
                </c:pt>
                <c:pt idx="84">
                  <c:v>11.666666666666668</c:v>
                </c:pt>
                <c:pt idx="85">
                  <c:v>-0.37535794962416702</c:v>
                </c:pt>
                <c:pt idx="86">
                  <c:v>19.149459663035739</c:v>
                </c:pt>
                <c:pt idx="87">
                  <c:v>12</c:v>
                </c:pt>
                <c:pt idx="88">
                  <c:v>-12</c:v>
                </c:pt>
                <c:pt idx="89">
                  <c:v>-30.376282653093735</c:v>
                </c:pt>
                <c:pt idx="90">
                  <c:v>14.000000000000002</c:v>
                </c:pt>
                <c:pt idx="91">
                  <c:v>-3.0678010204149508</c:v>
                </c:pt>
                <c:pt idx="92">
                  <c:v>26.896999319700733</c:v>
                </c:pt>
                <c:pt idx="93">
                  <c:v>12</c:v>
                </c:pt>
                <c:pt idx="94">
                  <c:v>-12</c:v>
                </c:pt>
                <c:pt idx="95">
                  <c:v>-24.879281862192261</c:v>
                </c:pt>
                <c:pt idx="96">
                  <c:v>25</c:v>
                </c:pt>
                <c:pt idx="97">
                  <c:v>5.8156608222448263</c:v>
                </c:pt>
                <c:pt idx="98">
                  <c:v>31.34962606454722</c:v>
                </c:pt>
                <c:pt idx="99">
                  <c:v>12</c:v>
                </c:pt>
                <c:pt idx="100">
                  <c:v>-12</c:v>
                </c:pt>
                <c:pt idx="101">
                  <c:v>-23.375716830330454</c:v>
                </c:pt>
                <c:pt idx="102">
                  <c:v>0</c:v>
                </c:pt>
                <c:pt idx="103">
                  <c:v>-8.9906603193697858</c:v>
                </c:pt>
                <c:pt idx="104">
                  <c:v>22.648032351271631</c:v>
                </c:pt>
                <c:pt idx="105">
                  <c:v>12</c:v>
                </c:pt>
                <c:pt idx="106">
                  <c:v>-12</c:v>
                </c:pt>
                <c:pt idx="107">
                  <c:v>-10.52880704336475</c:v>
                </c:pt>
                <c:pt idx="108">
                  <c:v>-25</c:v>
                </c:pt>
                <c:pt idx="109">
                  <c:v>-19.434156555154736</c:v>
                </c:pt>
                <c:pt idx="110">
                  <c:v>20.32293673094285</c:v>
                </c:pt>
                <c:pt idx="111">
                  <c:v>12</c:v>
                </c:pt>
                <c:pt idx="112">
                  <c:v>60</c:v>
                </c:pt>
                <c:pt idx="113">
                  <c:v>59.977621104822219</c:v>
                </c:pt>
                <c:pt idx="114">
                  <c:v>59.910498330815244</c:v>
                </c:pt>
                <c:pt idx="115">
                  <c:v>59.7986734039103</c:v>
                </c:pt>
                <c:pt idx="116">
                  <c:v>59.642215838505066</c:v>
                </c:pt>
                <c:pt idx="117">
                  <c:v>59.441222894251112</c:v>
                </c:pt>
                <c:pt idx="118">
                  <c:v>59.195819515593755</c:v>
                </c:pt>
                <c:pt idx="119">
                  <c:v>58.906158254102053</c:v>
                </c:pt>
                <c:pt idx="120">
                  <c:v>58.572419173637371</c:v>
                </c:pt>
                <c:pt idx="121">
                  <c:v>58.19480973841911</c:v>
                </c:pt>
                <c:pt idx="122">
                  <c:v>57.77356468405749</c:v>
                </c:pt>
                <c:pt idx="123">
                  <c:v>57.308945871633512</c:v>
                </c:pt>
                <c:pt idx="124">
                  <c:v>56.801242124916655</c:v>
                </c:pt>
                <c:pt idx="125">
                  <c:v>56.250769050821617</c:v>
                </c:pt>
                <c:pt idx="126">
                  <c:v>55.657868843215709</c:v>
                </c:pt>
                <c:pt idx="127">
                  <c:v>55.022910070198847</c:v>
                </c:pt>
                <c:pt idx="128">
                  <c:v>54.346287444988349</c:v>
                </c:pt>
                <c:pt idx="129">
                  <c:v>53.628421580551006</c:v>
                </c:pt>
                <c:pt idx="130">
                  <c:v>52.869758728134926</c:v>
                </c:pt>
                <c:pt idx="131">
                  <c:v>52.070770499863713</c:v>
                </c:pt>
                <c:pt idx="132">
                  <c:v>51.231953575565385</c:v>
                </c:pt>
                <c:pt idx="133">
                  <c:v>50.353829394018334</c:v>
                </c:pt>
                <c:pt idx="134">
                  <c:v>49.436943828806236</c:v>
                </c:pt>
                <c:pt idx="135">
                  <c:v>48.481866848983351</c:v>
                </c:pt>
                <c:pt idx="136">
                  <c:v>47.489192164761299</c:v>
                </c:pt>
                <c:pt idx="137">
                  <c:v>46.45953685843741</c:v>
                </c:pt>
                <c:pt idx="138">
                  <c:v>45.39354100079418</c:v>
                </c:pt>
                <c:pt idx="139">
                  <c:v>44.29186725320821</c:v>
                </c:pt>
                <c:pt idx="140">
                  <c:v>43.155200455716098</c:v>
                </c:pt>
                <c:pt idx="141">
                  <c:v>41.984247201293201</c:v>
                </c:pt>
                <c:pt idx="142">
                  <c:v>40.779735396610057</c:v>
                </c:pt>
                <c:pt idx="143">
                  <c:v>39.542413809539362</c:v>
                </c:pt>
                <c:pt idx="144">
                  <c:v>38.27305160369496</c:v>
                </c:pt>
                <c:pt idx="145">
                  <c:v>36.97243786029204</c:v>
                </c:pt>
                <c:pt idx="146">
                  <c:v>35.641381087625909</c:v>
                </c:pt>
                <c:pt idx="147">
                  <c:v>34.280708718474088</c:v>
                </c:pt>
                <c:pt idx="148">
                  <c:v>32.891266595734379</c:v>
                </c:pt>
                <c:pt idx="149">
                  <c:v>31.473918446618441</c:v>
                </c:pt>
                <c:pt idx="150">
                  <c:v>30.029545345727961</c:v>
                </c:pt>
                <c:pt idx="151">
                  <c:v>28.559045167346859</c:v>
                </c:pt>
                <c:pt idx="152">
                  <c:v>27.063332027290457</c:v>
                </c:pt>
                <c:pt idx="153">
                  <c:v>25.54333571465812</c:v>
                </c:pt>
                <c:pt idx="154">
                  <c:v>24.00000111384292</c:v>
                </c:pt>
                <c:pt idx="155">
                  <c:v>22.434287617157558</c:v>
                </c:pt>
                <c:pt idx="156">
                  <c:v>20.847168528441451</c:v>
                </c:pt>
                <c:pt idx="157">
                  <c:v>19.239630458020226</c:v>
                </c:pt>
                <c:pt idx="158">
                  <c:v>17.612672709393095</c:v>
                </c:pt>
                <c:pt idx="159">
                  <c:v>15.967306658029923</c:v>
                </c:pt>
                <c:pt idx="160">
                  <c:v>14.304555122663807</c:v>
                </c:pt>
                <c:pt idx="161">
                  <c:v>12.625451729470267</c:v>
                </c:pt>
                <c:pt idx="162">
                  <c:v>10.931040269527855</c:v>
                </c:pt>
                <c:pt idx="163">
                  <c:v>9.2223740499601874</c:v>
                </c:pt>
                <c:pt idx="164">
                  <c:v>7.50051523916229</c:v>
                </c:pt>
                <c:pt idx="165">
                  <c:v>5.7665342065185783</c:v>
                </c:pt>
                <c:pt idx="166">
                  <c:v>4.0215088570226385</c:v>
                </c:pt>
                <c:pt idx="167">
                  <c:v>2.2665239612127621</c:v>
                </c:pt>
                <c:pt idx="168">
                  <c:v>0.50267048083958699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2.8515696384297637</c:v>
                </c:pt>
                <c:pt idx="177">
                  <c:v>1.9753111994832171</c:v>
                </c:pt>
                <c:pt idx="178">
                  <c:v>0.92563316887902047</c:v>
                </c:pt>
                <c:pt idx="179">
                  <c:v>-0.21601377837397351</c:v>
                </c:pt>
                <c:pt idx="180">
                  <c:v>-1.4157664759720063</c:v>
                </c:pt>
                <c:pt idx="181">
                  <c:v>-2.6556123420946562</c:v>
                </c:pt>
                <c:pt idx="182">
                  <c:v>-3.9245681685754725</c:v>
                </c:pt>
                <c:pt idx="183">
                  <c:v>-5.2153144569239593</c:v>
                </c:pt>
                <c:pt idx="184">
                  <c:v>-6.5226550874579061</c:v>
                </c:pt>
                <c:pt idx="185">
                  <c:v>-7.8427215966531474</c:v>
                </c:pt>
                <c:pt idx="186">
                  <c:v>-9.1725245020797033</c:v>
                </c:pt>
                <c:pt idx="187">
                  <c:v>-10.509682805443534</c:v>
                </c:pt>
                <c:pt idx="188">
                  <c:v>-11.852251962601201</c:v>
                </c:pt>
                <c:pt idx="189">
                  <c:v>-13.198609507350314</c:v>
                </c:pt>
                <c:pt idx="190">
                  <c:v>-14.547376030315508</c:v>
                </c:pt>
                <c:pt idx="191">
                  <c:v>-15.897358663204308</c:v>
                </c:pt>
                <c:pt idx="192">
                  <c:v>-17.247509325359044</c:v>
                </c:pt>
                <c:pt idx="193">
                  <c:v>-18.596892885306229</c:v>
                </c:pt>
                <c:pt idx="194">
                  <c:v>-19.944662101015112</c:v>
                </c:pt>
                <c:pt idx="195">
                  <c:v>-21.290037250525245</c:v>
                </c:pt>
                <c:pt idx="196">
                  <c:v>-22.632289027455251</c:v>
                </c:pt>
                <c:pt idx="197">
                  <c:v>-23.97072370792359</c:v>
                </c:pt>
                <c:pt idx="198">
                  <c:v>-25.30466988534544</c:v>
                </c:pt>
                <c:pt idx="199">
                  <c:v>-26.633466270137497</c:v>
                </c:pt>
                <c:pt idx="200">
                  <c:v>-27.956450194805811</c:v>
                </c:pt>
                <c:pt idx="201">
                  <c:v>-29.272946571435931</c:v>
                </c:pt>
                <c:pt idx="202">
                  <c:v>-30.582257131227855</c:v>
                </c:pt>
                <c:pt idx="203">
                  <c:v>-31.883649842884822</c:v>
                </c:pt>
                <c:pt idx="204">
                  <c:v>-33.176348463939625</c:v>
                </c:pt>
                <c:pt idx="205">
                  <c:v>-34.459522230103559</c:v>
                </c:pt>
                <c:pt idx="206">
                  <c:v>-35.732275734705851</c:v>
                </c:pt>
                <c:pt idx="207">
                  <c:v>-36.99363909448315</c:v>
                </c:pt>
                <c:pt idx="208">
                  <c:v>-38.242558539797471</c:v>
                </c:pt>
                <c:pt idx="209">
                  <c:v>-39.477887606536221</c:v>
                </c:pt>
                <c:pt idx="210">
                  <c:v>-40.698379142616446</c:v>
                </c:pt>
                <c:pt idx="211">
                  <c:v>-41.902678372794895</c:v>
                </c:pt>
                <c:pt idx="212">
                  <c:v>-43.089317289558807</c:v>
                </c:pt>
                <c:pt idx="213">
                  <c:v>-44.25671065311036</c:v>
                </c:pt>
                <c:pt idx="214">
                  <c:v>-45.403153887555582</c:v>
                </c:pt>
                <c:pt idx="215">
                  <c:v>-46.526823151096757</c:v>
                </c:pt>
                <c:pt idx="216">
                  <c:v>-47.625777833297384</c:v>
                </c:pt>
                <c:pt idx="217">
                  <c:v>-48.697965690882285</c:v>
                </c:pt>
                <c:pt idx="218">
                  <c:v>-49.741230774414589</c:v>
                </c:pt>
                <c:pt idx="219">
                  <c:v>-50.753324222038465</c:v>
                </c:pt>
                <c:pt idx="220">
                  <c:v>-51.731917905092047</c:v>
                </c:pt>
                <c:pt idx="221">
                  <c:v>-52.674620807053785</c:v>
                </c:pt>
                <c:pt idx="222">
                  <c:v>-53.578997906712083</c:v>
                </c:pt>
                <c:pt idx="223">
                  <c:v>-54.442591224662408</c:v>
                </c:pt>
                <c:pt idx="224">
                  <c:v>-55.262942586197084</c:v>
                </c:pt>
                <c:pt idx="225">
                  <c:v>-56.037617560739605</c:v>
                </c:pt>
                <c:pt idx="226">
                  <c:v>-56.764229965340405</c:v>
                </c:pt>
                <c:pt idx="227">
                  <c:v>-57.440466273599569</c:v>
                </c:pt>
                <c:pt idx="228">
                  <c:v>-58.064109256288212</c:v>
                </c:pt>
                <c:pt idx="229">
                  <c:v>-58.633060198267984</c:v>
                </c:pt>
                <c:pt idx="230">
                  <c:v>-59.145359087855262</c:v>
                </c:pt>
                <c:pt idx="231">
                  <c:v>-59.599202256688159</c:v>
                </c:pt>
                <c:pt idx="232">
                  <c:v>-59.992957055132891</c:v>
                </c:pt>
                <c:pt idx="233">
                  <c:v>-60.325173273076174</c:v>
                </c:pt>
                <c:pt idx="234">
                  <c:v>-60.594591150128096</c:v>
                </c:pt>
                <c:pt idx="235">
                  <c:v>-60.800145953957085</c:v>
                </c:pt>
                <c:pt idx="236">
                  <c:v>-60.940969232303956</c:v>
                </c:pt>
                <c:pt idx="237">
                  <c:v>-61.016386955989681</c:v>
                </c:pt>
                <c:pt idx="238">
                  <c:v>-61.025914861512376</c:v>
                </c:pt>
                <c:pt idx="239">
                  <c:v>-60.969251369261414</c:v>
                </c:pt>
              </c:numCache>
            </c:numRef>
          </c:xVal>
          <c:yVal>
            <c:numRef>
              <c:f>CALC60!$BB$6:$BB$581</c:f>
              <c:numCache>
                <c:formatCode>General</c:formatCode>
                <c:ptCount val="576"/>
                <c:pt idx="22">
                  <c:v>0</c:v>
                </c:pt>
                <c:pt idx="23">
                  <c:v>10.894106759874163</c:v>
                </c:pt>
                <c:pt idx="24">
                  <c:v>60</c:v>
                </c:pt>
                <c:pt idx="25">
                  <c:v>41.113117984579134</c:v>
                </c:pt>
                <c:pt idx="26">
                  <c:v>18.496650061793332</c:v>
                </c:pt>
                <c:pt idx="27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CALC60!$BC$5</c:f>
              <c:strCache>
                <c:ptCount val="1"/>
                <c:pt idx="0">
                  <c:v>R2</c:v>
                </c:pt>
              </c:strCache>
            </c:strRef>
          </c:tx>
          <c:xVal>
            <c:numRef>
              <c:f>CALC60!$AY$6:$AY$581</c:f>
              <c:numCache>
                <c:formatCode>General</c:formatCode>
                <c:ptCount val="576"/>
                <c:pt idx="0">
                  <c:v>-19.833506546880365</c:v>
                </c:pt>
                <c:pt idx="1">
                  <c:v>-18.245852614565919</c:v>
                </c:pt>
                <c:pt idx="2">
                  <c:v>-16.629666681765414</c:v>
                </c:pt>
                <c:pt idx="3">
                  <c:v>-14.98231154257417</c:v>
                </c:pt>
                <c:pt idx="4">
                  <c:v>-13.301143585556035</c:v>
                </c:pt>
                <c:pt idx="5">
                  <c:v>-11.583569246398675</c:v>
                </c:pt>
                <c:pt idx="6">
                  <c:v>-9.8270793278644781</c:v>
                </c:pt>
                <c:pt idx="7">
                  <c:v>-8.029252658232803</c:v>
                </c:pt>
                <c:pt idx="8">
                  <c:v>-6.1877185053343773</c:v>
                </c:pt>
                <c:pt idx="9">
                  <c:v>-4.3000630515963358</c:v>
                </c:pt>
                <c:pt idx="10">
                  <c:v>-2.3636564525099644</c:v>
                </c:pt>
                <c:pt idx="11">
                  <c:v>-0.37535794962416702</c:v>
                </c:pt>
                <c:pt idx="12">
                  <c:v>-3.0678010204149508</c:v>
                </c:pt>
                <c:pt idx="13">
                  <c:v>5.8156608222448263</c:v>
                </c:pt>
                <c:pt idx="14">
                  <c:v>-8.9906603193697858</c:v>
                </c:pt>
                <c:pt idx="15">
                  <c:v>-19.434156555154736</c:v>
                </c:pt>
                <c:pt idx="16">
                  <c:v>-12</c:v>
                </c:pt>
                <c:pt idx="17">
                  <c:v>-29.167117021908272</c:v>
                </c:pt>
                <c:pt idx="18">
                  <c:v>-14</c:v>
                </c:pt>
                <c:pt idx="19">
                  <c:v>-19.833506546880365</c:v>
                </c:pt>
                <c:pt idx="20">
                  <c:v>1.5130248501190131</c:v>
                </c:pt>
                <c:pt idx="21">
                  <c:v>12</c:v>
                </c:pt>
                <c:pt idx="22">
                  <c:v>-12</c:v>
                </c:pt>
                <c:pt idx="23">
                  <c:v>-28.772550131225248</c:v>
                </c:pt>
                <c:pt idx="24">
                  <c:v>-11.666666666666666</c:v>
                </c:pt>
                <c:pt idx="25">
                  <c:v>-18.245852614565919</c:v>
                </c:pt>
                <c:pt idx="26">
                  <c:v>4.3925078710812571</c:v>
                </c:pt>
                <c:pt idx="27">
                  <c:v>12</c:v>
                </c:pt>
                <c:pt idx="28">
                  <c:v>-12</c:v>
                </c:pt>
                <c:pt idx="29">
                  <c:v>-28.303800039278563</c:v>
                </c:pt>
                <c:pt idx="30">
                  <c:v>-9.3333333333333321</c:v>
                </c:pt>
                <c:pt idx="31">
                  <c:v>-16.629666681765414</c:v>
                </c:pt>
                <c:pt idx="32">
                  <c:v>6.4527131206909987</c:v>
                </c:pt>
                <c:pt idx="33">
                  <c:v>12</c:v>
                </c:pt>
                <c:pt idx="34">
                  <c:v>-12</c:v>
                </c:pt>
                <c:pt idx="35">
                  <c:v>-27.754010010716058</c:v>
                </c:pt>
                <c:pt idx="36">
                  <c:v>-6.9999999999999982</c:v>
                </c:pt>
                <c:pt idx="37">
                  <c:v>-14.98231154257417</c:v>
                </c:pt>
                <c:pt idx="38">
                  <c:v>8.2375052570320868</c:v>
                </c:pt>
                <c:pt idx="39">
                  <c:v>12</c:v>
                </c:pt>
                <c:pt idx="40">
                  <c:v>-12</c:v>
                </c:pt>
                <c:pt idx="41">
                  <c:v>-27.116306655803694</c:v>
                </c:pt>
                <c:pt idx="42">
                  <c:v>-4.6666666666666643</c:v>
                </c:pt>
                <c:pt idx="43">
                  <c:v>-13.301143585556035</c:v>
                </c:pt>
                <c:pt idx="44">
                  <c:v>9.8664661885771885</c:v>
                </c:pt>
                <c:pt idx="45">
                  <c:v>12</c:v>
                </c:pt>
                <c:pt idx="46">
                  <c:v>-12</c:v>
                </c:pt>
                <c:pt idx="47">
                  <c:v>-26.383946707329393</c:v>
                </c:pt>
                <c:pt idx="48">
                  <c:v>-2.3333333333333308</c:v>
                </c:pt>
                <c:pt idx="49">
                  <c:v>-11.583569246398675</c:v>
                </c:pt>
                <c:pt idx="50">
                  <c:v>11.388844623449907</c:v>
                </c:pt>
                <c:pt idx="51">
                  <c:v>12</c:v>
                </c:pt>
                <c:pt idx="52">
                  <c:v>-12</c:v>
                </c:pt>
                <c:pt idx="53">
                  <c:v>-25.550406252475348</c:v>
                </c:pt>
                <c:pt idx="54">
                  <c:v>0</c:v>
                </c:pt>
                <c:pt idx="55">
                  <c:v>-9.8270793278644781</c:v>
                </c:pt>
                <c:pt idx="56">
                  <c:v>12.829698097369761</c:v>
                </c:pt>
                <c:pt idx="57">
                  <c:v>12</c:v>
                </c:pt>
                <c:pt idx="58">
                  <c:v>-12</c:v>
                </c:pt>
                <c:pt idx="59">
                  <c:v>-24.609390244767855</c:v>
                </c:pt>
                <c:pt idx="60">
                  <c:v>2.3333333333333335</c:v>
                </c:pt>
                <c:pt idx="61">
                  <c:v>-8.029252658232803</c:v>
                </c:pt>
                <c:pt idx="62">
                  <c:v>14.203132463376605</c:v>
                </c:pt>
                <c:pt idx="63">
                  <c:v>12</c:v>
                </c:pt>
                <c:pt idx="64">
                  <c:v>-12</c:v>
                </c:pt>
                <c:pt idx="65">
                  <c:v>-23.554734780566797</c:v>
                </c:pt>
                <c:pt idx="66">
                  <c:v>4.666666666666667</c:v>
                </c:pt>
                <c:pt idx="67">
                  <c:v>-6.1877185053343773</c:v>
                </c:pt>
                <c:pt idx="68">
                  <c:v>15.517506829265256</c:v>
                </c:pt>
                <c:pt idx="69">
                  <c:v>12</c:v>
                </c:pt>
                <c:pt idx="70">
                  <c:v>-12</c:v>
                </c:pt>
                <c:pt idx="71">
                  <c:v>-22.380163934182676</c:v>
                </c:pt>
                <c:pt idx="72">
                  <c:v>7</c:v>
                </c:pt>
                <c:pt idx="73">
                  <c:v>-4.3000630515963358</c:v>
                </c:pt>
                <c:pt idx="74">
                  <c:v>16.777941702150098</c:v>
                </c:pt>
                <c:pt idx="75">
                  <c:v>12</c:v>
                </c:pt>
                <c:pt idx="76">
                  <c:v>-12</c:v>
                </c:pt>
                <c:pt idx="77">
                  <c:v>-21.078840109892809</c:v>
                </c:pt>
                <c:pt idx="78">
                  <c:v>9.3333333333333339</c:v>
                </c:pt>
                <c:pt idx="79">
                  <c:v>-2.3636564525099644</c:v>
                </c:pt>
                <c:pt idx="80">
                  <c:v>17.987756355580007</c:v>
                </c:pt>
                <c:pt idx="81">
                  <c:v>12</c:v>
                </c:pt>
                <c:pt idx="82">
                  <c:v>-12</c:v>
                </c:pt>
                <c:pt idx="83">
                  <c:v>-19.642597335724307</c:v>
                </c:pt>
                <c:pt idx="84">
                  <c:v>11.666666666666668</c:v>
                </c:pt>
                <c:pt idx="85">
                  <c:v>-0.37535794962416702</c:v>
                </c:pt>
                <c:pt idx="86">
                  <c:v>19.149459663035739</c:v>
                </c:pt>
                <c:pt idx="87">
                  <c:v>12</c:v>
                </c:pt>
                <c:pt idx="88">
                  <c:v>-12</c:v>
                </c:pt>
                <c:pt idx="89">
                  <c:v>-30.376282653093735</c:v>
                </c:pt>
                <c:pt idx="90">
                  <c:v>14.000000000000002</c:v>
                </c:pt>
                <c:pt idx="91">
                  <c:v>-3.0678010204149508</c:v>
                </c:pt>
                <c:pt idx="92">
                  <c:v>26.896999319700733</c:v>
                </c:pt>
                <c:pt idx="93">
                  <c:v>12</c:v>
                </c:pt>
                <c:pt idx="94">
                  <c:v>-12</c:v>
                </c:pt>
                <c:pt idx="95">
                  <c:v>-24.879281862192261</c:v>
                </c:pt>
                <c:pt idx="96">
                  <c:v>25</c:v>
                </c:pt>
                <c:pt idx="97">
                  <c:v>5.8156608222448263</c:v>
                </c:pt>
                <c:pt idx="98">
                  <c:v>31.34962606454722</c:v>
                </c:pt>
                <c:pt idx="99">
                  <c:v>12</c:v>
                </c:pt>
                <c:pt idx="100">
                  <c:v>-12</c:v>
                </c:pt>
                <c:pt idx="101">
                  <c:v>-23.375716830330454</c:v>
                </c:pt>
                <c:pt idx="102">
                  <c:v>0</c:v>
                </c:pt>
                <c:pt idx="103">
                  <c:v>-8.9906603193697858</c:v>
                </c:pt>
                <c:pt idx="104">
                  <c:v>22.648032351271631</c:v>
                </c:pt>
                <c:pt idx="105">
                  <c:v>12</c:v>
                </c:pt>
                <c:pt idx="106">
                  <c:v>-12</c:v>
                </c:pt>
                <c:pt idx="107">
                  <c:v>-10.52880704336475</c:v>
                </c:pt>
                <c:pt idx="108">
                  <c:v>-25</c:v>
                </c:pt>
                <c:pt idx="109">
                  <c:v>-19.434156555154736</c:v>
                </c:pt>
                <c:pt idx="110">
                  <c:v>20.32293673094285</c:v>
                </c:pt>
                <c:pt idx="111">
                  <c:v>12</c:v>
                </c:pt>
                <c:pt idx="112">
                  <c:v>60</c:v>
                </c:pt>
                <c:pt idx="113">
                  <c:v>59.977621104822219</c:v>
                </c:pt>
                <c:pt idx="114">
                  <c:v>59.910498330815244</c:v>
                </c:pt>
                <c:pt idx="115">
                  <c:v>59.7986734039103</c:v>
                </c:pt>
                <c:pt idx="116">
                  <c:v>59.642215838505066</c:v>
                </c:pt>
                <c:pt idx="117">
                  <c:v>59.441222894251112</c:v>
                </c:pt>
                <c:pt idx="118">
                  <c:v>59.195819515593755</c:v>
                </c:pt>
                <c:pt idx="119">
                  <c:v>58.906158254102053</c:v>
                </c:pt>
                <c:pt idx="120">
                  <c:v>58.572419173637371</c:v>
                </c:pt>
                <c:pt idx="121">
                  <c:v>58.19480973841911</c:v>
                </c:pt>
                <c:pt idx="122">
                  <c:v>57.77356468405749</c:v>
                </c:pt>
                <c:pt idx="123">
                  <c:v>57.308945871633512</c:v>
                </c:pt>
                <c:pt idx="124">
                  <c:v>56.801242124916655</c:v>
                </c:pt>
                <c:pt idx="125">
                  <c:v>56.250769050821617</c:v>
                </c:pt>
                <c:pt idx="126">
                  <c:v>55.657868843215709</c:v>
                </c:pt>
                <c:pt idx="127">
                  <c:v>55.022910070198847</c:v>
                </c:pt>
                <c:pt idx="128">
                  <c:v>54.346287444988349</c:v>
                </c:pt>
                <c:pt idx="129">
                  <c:v>53.628421580551006</c:v>
                </c:pt>
                <c:pt idx="130">
                  <c:v>52.869758728134926</c:v>
                </c:pt>
                <c:pt idx="131">
                  <c:v>52.070770499863713</c:v>
                </c:pt>
                <c:pt idx="132">
                  <c:v>51.231953575565385</c:v>
                </c:pt>
                <c:pt idx="133">
                  <c:v>50.353829394018334</c:v>
                </c:pt>
                <c:pt idx="134">
                  <c:v>49.436943828806236</c:v>
                </c:pt>
                <c:pt idx="135">
                  <c:v>48.481866848983351</c:v>
                </c:pt>
                <c:pt idx="136">
                  <c:v>47.489192164761299</c:v>
                </c:pt>
                <c:pt idx="137">
                  <c:v>46.45953685843741</c:v>
                </c:pt>
                <c:pt idx="138">
                  <c:v>45.39354100079418</c:v>
                </c:pt>
                <c:pt idx="139">
                  <c:v>44.29186725320821</c:v>
                </c:pt>
                <c:pt idx="140">
                  <c:v>43.155200455716098</c:v>
                </c:pt>
                <c:pt idx="141">
                  <c:v>41.984247201293201</c:v>
                </c:pt>
                <c:pt idx="142">
                  <c:v>40.779735396610057</c:v>
                </c:pt>
                <c:pt idx="143">
                  <c:v>39.542413809539362</c:v>
                </c:pt>
                <c:pt idx="144">
                  <c:v>38.27305160369496</c:v>
                </c:pt>
                <c:pt idx="145">
                  <c:v>36.97243786029204</c:v>
                </c:pt>
                <c:pt idx="146">
                  <c:v>35.641381087625909</c:v>
                </c:pt>
                <c:pt idx="147">
                  <c:v>34.280708718474088</c:v>
                </c:pt>
                <c:pt idx="148">
                  <c:v>32.891266595734379</c:v>
                </c:pt>
                <c:pt idx="149">
                  <c:v>31.473918446618441</c:v>
                </c:pt>
                <c:pt idx="150">
                  <c:v>30.029545345727961</c:v>
                </c:pt>
                <c:pt idx="151">
                  <c:v>28.559045167346859</c:v>
                </c:pt>
                <c:pt idx="152">
                  <c:v>27.063332027290457</c:v>
                </c:pt>
                <c:pt idx="153">
                  <c:v>25.54333571465812</c:v>
                </c:pt>
                <c:pt idx="154">
                  <c:v>24.00000111384292</c:v>
                </c:pt>
                <c:pt idx="155">
                  <c:v>22.434287617157558</c:v>
                </c:pt>
                <c:pt idx="156">
                  <c:v>20.847168528441451</c:v>
                </c:pt>
                <c:pt idx="157">
                  <c:v>19.239630458020226</c:v>
                </c:pt>
                <c:pt idx="158">
                  <c:v>17.612672709393095</c:v>
                </c:pt>
                <c:pt idx="159">
                  <c:v>15.967306658029923</c:v>
                </c:pt>
                <c:pt idx="160">
                  <c:v>14.304555122663807</c:v>
                </c:pt>
                <c:pt idx="161">
                  <c:v>12.625451729470267</c:v>
                </c:pt>
                <c:pt idx="162">
                  <c:v>10.931040269527855</c:v>
                </c:pt>
                <c:pt idx="163">
                  <c:v>9.2223740499601874</c:v>
                </c:pt>
                <c:pt idx="164">
                  <c:v>7.50051523916229</c:v>
                </c:pt>
                <c:pt idx="165">
                  <c:v>5.7665342065185783</c:v>
                </c:pt>
                <c:pt idx="166">
                  <c:v>4.0215088570226385</c:v>
                </c:pt>
                <c:pt idx="167">
                  <c:v>2.2665239612127621</c:v>
                </c:pt>
                <c:pt idx="168">
                  <c:v>0.50267048083958699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2.8515696384297637</c:v>
                </c:pt>
                <c:pt idx="177">
                  <c:v>1.9753111994832171</c:v>
                </c:pt>
                <c:pt idx="178">
                  <c:v>0.92563316887902047</c:v>
                </c:pt>
                <c:pt idx="179">
                  <c:v>-0.21601377837397351</c:v>
                </c:pt>
                <c:pt idx="180">
                  <c:v>-1.4157664759720063</c:v>
                </c:pt>
                <c:pt idx="181">
                  <c:v>-2.6556123420946562</c:v>
                </c:pt>
                <c:pt idx="182">
                  <c:v>-3.9245681685754725</c:v>
                </c:pt>
                <c:pt idx="183">
                  <c:v>-5.2153144569239593</c:v>
                </c:pt>
                <c:pt idx="184">
                  <c:v>-6.5226550874579061</c:v>
                </c:pt>
                <c:pt idx="185">
                  <c:v>-7.8427215966531474</c:v>
                </c:pt>
                <c:pt idx="186">
                  <c:v>-9.1725245020797033</c:v>
                </c:pt>
                <c:pt idx="187">
                  <c:v>-10.509682805443534</c:v>
                </c:pt>
                <c:pt idx="188">
                  <c:v>-11.852251962601201</c:v>
                </c:pt>
                <c:pt idx="189">
                  <c:v>-13.198609507350314</c:v>
                </c:pt>
                <c:pt idx="190">
                  <c:v>-14.547376030315508</c:v>
                </c:pt>
                <c:pt idx="191">
                  <c:v>-15.897358663204308</c:v>
                </c:pt>
                <c:pt idx="192">
                  <c:v>-17.247509325359044</c:v>
                </c:pt>
                <c:pt idx="193">
                  <c:v>-18.596892885306229</c:v>
                </c:pt>
                <c:pt idx="194">
                  <c:v>-19.944662101015112</c:v>
                </c:pt>
                <c:pt idx="195">
                  <c:v>-21.290037250525245</c:v>
                </c:pt>
                <c:pt idx="196">
                  <c:v>-22.632289027455251</c:v>
                </c:pt>
                <c:pt idx="197">
                  <c:v>-23.97072370792359</c:v>
                </c:pt>
                <c:pt idx="198">
                  <c:v>-25.30466988534544</c:v>
                </c:pt>
                <c:pt idx="199">
                  <c:v>-26.633466270137497</c:v>
                </c:pt>
                <c:pt idx="200">
                  <c:v>-27.956450194805811</c:v>
                </c:pt>
                <c:pt idx="201">
                  <c:v>-29.272946571435931</c:v>
                </c:pt>
                <c:pt idx="202">
                  <c:v>-30.582257131227855</c:v>
                </c:pt>
                <c:pt idx="203">
                  <c:v>-31.883649842884822</c:v>
                </c:pt>
                <c:pt idx="204">
                  <c:v>-33.176348463939625</c:v>
                </c:pt>
                <c:pt idx="205">
                  <c:v>-34.459522230103559</c:v>
                </c:pt>
                <c:pt idx="206">
                  <c:v>-35.732275734705851</c:v>
                </c:pt>
                <c:pt idx="207">
                  <c:v>-36.99363909448315</c:v>
                </c:pt>
                <c:pt idx="208">
                  <c:v>-38.242558539797471</c:v>
                </c:pt>
                <c:pt idx="209">
                  <c:v>-39.477887606536221</c:v>
                </c:pt>
                <c:pt idx="210">
                  <c:v>-40.698379142616446</c:v>
                </c:pt>
                <c:pt idx="211">
                  <c:v>-41.902678372794895</c:v>
                </c:pt>
                <c:pt idx="212">
                  <c:v>-43.089317289558807</c:v>
                </c:pt>
                <c:pt idx="213">
                  <c:v>-44.25671065311036</c:v>
                </c:pt>
                <c:pt idx="214">
                  <c:v>-45.403153887555582</c:v>
                </c:pt>
                <c:pt idx="215">
                  <c:v>-46.526823151096757</c:v>
                </c:pt>
                <c:pt idx="216">
                  <c:v>-47.625777833297384</c:v>
                </c:pt>
                <c:pt idx="217">
                  <c:v>-48.697965690882285</c:v>
                </c:pt>
                <c:pt idx="218">
                  <c:v>-49.741230774414589</c:v>
                </c:pt>
                <c:pt idx="219">
                  <c:v>-50.753324222038465</c:v>
                </c:pt>
                <c:pt idx="220">
                  <c:v>-51.731917905092047</c:v>
                </c:pt>
                <c:pt idx="221">
                  <c:v>-52.674620807053785</c:v>
                </c:pt>
                <c:pt idx="222">
                  <c:v>-53.578997906712083</c:v>
                </c:pt>
                <c:pt idx="223">
                  <c:v>-54.442591224662408</c:v>
                </c:pt>
                <c:pt idx="224">
                  <c:v>-55.262942586197084</c:v>
                </c:pt>
                <c:pt idx="225">
                  <c:v>-56.037617560739605</c:v>
                </c:pt>
                <c:pt idx="226">
                  <c:v>-56.764229965340405</c:v>
                </c:pt>
                <c:pt idx="227">
                  <c:v>-57.440466273599569</c:v>
                </c:pt>
                <c:pt idx="228">
                  <c:v>-58.064109256288212</c:v>
                </c:pt>
                <c:pt idx="229">
                  <c:v>-58.633060198267984</c:v>
                </c:pt>
                <c:pt idx="230">
                  <c:v>-59.145359087855262</c:v>
                </c:pt>
                <c:pt idx="231">
                  <c:v>-59.599202256688159</c:v>
                </c:pt>
                <c:pt idx="232">
                  <c:v>-59.992957055132891</c:v>
                </c:pt>
                <c:pt idx="233">
                  <c:v>-60.325173273076174</c:v>
                </c:pt>
                <c:pt idx="234">
                  <c:v>-60.594591150128096</c:v>
                </c:pt>
                <c:pt idx="235">
                  <c:v>-60.800145953957085</c:v>
                </c:pt>
                <c:pt idx="236">
                  <c:v>-60.940969232303956</c:v>
                </c:pt>
                <c:pt idx="237">
                  <c:v>-61.016386955989681</c:v>
                </c:pt>
                <c:pt idx="238">
                  <c:v>-61.025914861512376</c:v>
                </c:pt>
                <c:pt idx="239">
                  <c:v>-60.969251369261414</c:v>
                </c:pt>
              </c:numCache>
            </c:numRef>
          </c:xVal>
          <c:yVal>
            <c:numRef>
              <c:f>CALC60!$BC$6:$BC$581</c:f>
              <c:numCache>
                <c:formatCode>General</c:formatCode>
                <c:ptCount val="576"/>
                <c:pt idx="28">
                  <c:v>0</c:v>
                </c:pt>
                <c:pt idx="29">
                  <c:v>11.58387259422428</c:v>
                </c:pt>
                <c:pt idx="30">
                  <c:v>60</c:v>
                </c:pt>
                <c:pt idx="31">
                  <c:v>41.378412536251915</c:v>
                </c:pt>
                <c:pt idx="32">
                  <c:v>19.215296205852415</c:v>
                </c:pt>
                <c:pt idx="33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CALC60!$BD$5</c:f>
              <c:strCache>
                <c:ptCount val="1"/>
                <c:pt idx="0">
                  <c:v>R3</c:v>
                </c:pt>
              </c:strCache>
            </c:strRef>
          </c:tx>
          <c:xVal>
            <c:numRef>
              <c:f>CALC60!$AY$6:$AY$581</c:f>
              <c:numCache>
                <c:formatCode>General</c:formatCode>
                <c:ptCount val="576"/>
                <c:pt idx="0">
                  <c:v>-19.833506546880365</c:v>
                </c:pt>
                <c:pt idx="1">
                  <c:v>-18.245852614565919</c:v>
                </c:pt>
                <c:pt idx="2">
                  <c:v>-16.629666681765414</c:v>
                </c:pt>
                <c:pt idx="3">
                  <c:v>-14.98231154257417</c:v>
                </c:pt>
                <c:pt idx="4">
                  <c:v>-13.301143585556035</c:v>
                </c:pt>
                <c:pt idx="5">
                  <c:v>-11.583569246398675</c:v>
                </c:pt>
                <c:pt idx="6">
                  <c:v>-9.8270793278644781</c:v>
                </c:pt>
                <c:pt idx="7">
                  <c:v>-8.029252658232803</c:v>
                </c:pt>
                <c:pt idx="8">
                  <c:v>-6.1877185053343773</c:v>
                </c:pt>
                <c:pt idx="9">
                  <c:v>-4.3000630515963358</c:v>
                </c:pt>
                <c:pt idx="10">
                  <c:v>-2.3636564525099644</c:v>
                </c:pt>
                <c:pt idx="11">
                  <c:v>-0.37535794962416702</c:v>
                </c:pt>
                <c:pt idx="12">
                  <c:v>-3.0678010204149508</c:v>
                </c:pt>
                <c:pt idx="13">
                  <c:v>5.8156608222448263</c:v>
                </c:pt>
                <c:pt idx="14">
                  <c:v>-8.9906603193697858</c:v>
                </c:pt>
                <c:pt idx="15">
                  <c:v>-19.434156555154736</c:v>
                </c:pt>
                <c:pt idx="16">
                  <c:v>-12</c:v>
                </c:pt>
                <c:pt idx="17">
                  <c:v>-29.167117021908272</c:v>
                </c:pt>
                <c:pt idx="18">
                  <c:v>-14</c:v>
                </c:pt>
                <c:pt idx="19">
                  <c:v>-19.833506546880365</c:v>
                </c:pt>
                <c:pt idx="20">
                  <c:v>1.5130248501190131</c:v>
                </c:pt>
                <c:pt idx="21">
                  <c:v>12</c:v>
                </c:pt>
                <c:pt idx="22">
                  <c:v>-12</c:v>
                </c:pt>
                <c:pt idx="23">
                  <c:v>-28.772550131225248</c:v>
                </c:pt>
                <c:pt idx="24">
                  <c:v>-11.666666666666666</c:v>
                </c:pt>
                <c:pt idx="25">
                  <c:v>-18.245852614565919</c:v>
                </c:pt>
                <c:pt idx="26">
                  <c:v>4.3925078710812571</c:v>
                </c:pt>
                <c:pt idx="27">
                  <c:v>12</c:v>
                </c:pt>
                <c:pt idx="28">
                  <c:v>-12</c:v>
                </c:pt>
                <c:pt idx="29">
                  <c:v>-28.303800039278563</c:v>
                </c:pt>
                <c:pt idx="30">
                  <c:v>-9.3333333333333321</c:v>
                </c:pt>
                <c:pt idx="31">
                  <c:v>-16.629666681765414</c:v>
                </c:pt>
                <c:pt idx="32">
                  <c:v>6.4527131206909987</c:v>
                </c:pt>
                <c:pt idx="33">
                  <c:v>12</c:v>
                </c:pt>
                <c:pt idx="34">
                  <c:v>-12</c:v>
                </c:pt>
                <c:pt idx="35">
                  <c:v>-27.754010010716058</c:v>
                </c:pt>
                <c:pt idx="36">
                  <c:v>-6.9999999999999982</c:v>
                </c:pt>
                <c:pt idx="37">
                  <c:v>-14.98231154257417</c:v>
                </c:pt>
                <c:pt idx="38">
                  <c:v>8.2375052570320868</c:v>
                </c:pt>
                <c:pt idx="39">
                  <c:v>12</c:v>
                </c:pt>
                <c:pt idx="40">
                  <c:v>-12</c:v>
                </c:pt>
                <c:pt idx="41">
                  <c:v>-27.116306655803694</c:v>
                </c:pt>
                <c:pt idx="42">
                  <c:v>-4.6666666666666643</c:v>
                </c:pt>
                <c:pt idx="43">
                  <c:v>-13.301143585556035</c:v>
                </c:pt>
                <c:pt idx="44">
                  <c:v>9.8664661885771885</c:v>
                </c:pt>
                <c:pt idx="45">
                  <c:v>12</c:v>
                </c:pt>
                <c:pt idx="46">
                  <c:v>-12</c:v>
                </c:pt>
                <c:pt idx="47">
                  <c:v>-26.383946707329393</c:v>
                </c:pt>
                <c:pt idx="48">
                  <c:v>-2.3333333333333308</c:v>
                </c:pt>
                <c:pt idx="49">
                  <c:v>-11.583569246398675</c:v>
                </c:pt>
                <c:pt idx="50">
                  <c:v>11.388844623449907</c:v>
                </c:pt>
                <c:pt idx="51">
                  <c:v>12</c:v>
                </c:pt>
                <c:pt idx="52">
                  <c:v>-12</c:v>
                </c:pt>
                <c:pt idx="53">
                  <c:v>-25.550406252475348</c:v>
                </c:pt>
                <c:pt idx="54">
                  <c:v>0</c:v>
                </c:pt>
                <c:pt idx="55">
                  <c:v>-9.8270793278644781</c:v>
                </c:pt>
                <c:pt idx="56">
                  <c:v>12.829698097369761</c:v>
                </c:pt>
                <c:pt idx="57">
                  <c:v>12</c:v>
                </c:pt>
                <c:pt idx="58">
                  <c:v>-12</c:v>
                </c:pt>
                <c:pt idx="59">
                  <c:v>-24.609390244767855</c:v>
                </c:pt>
                <c:pt idx="60">
                  <c:v>2.3333333333333335</c:v>
                </c:pt>
                <c:pt idx="61">
                  <c:v>-8.029252658232803</c:v>
                </c:pt>
                <c:pt idx="62">
                  <c:v>14.203132463376605</c:v>
                </c:pt>
                <c:pt idx="63">
                  <c:v>12</c:v>
                </c:pt>
                <c:pt idx="64">
                  <c:v>-12</c:v>
                </c:pt>
                <c:pt idx="65">
                  <c:v>-23.554734780566797</c:v>
                </c:pt>
                <c:pt idx="66">
                  <c:v>4.666666666666667</c:v>
                </c:pt>
                <c:pt idx="67">
                  <c:v>-6.1877185053343773</c:v>
                </c:pt>
                <c:pt idx="68">
                  <c:v>15.517506829265256</c:v>
                </c:pt>
                <c:pt idx="69">
                  <c:v>12</c:v>
                </c:pt>
                <c:pt idx="70">
                  <c:v>-12</c:v>
                </c:pt>
                <c:pt idx="71">
                  <c:v>-22.380163934182676</c:v>
                </c:pt>
                <c:pt idx="72">
                  <c:v>7</c:v>
                </c:pt>
                <c:pt idx="73">
                  <c:v>-4.3000630515963358</c:v>
                </c:pt>
                <c:pt idx="74">
                  <c:v>16.777941702150098</c:v>
                </c:pt>
                <c:pt idx="75">
                  <c:v>12</c:v>
                </c:pt>
                <c:pt idx="76">
                  <c:v>-12</c:v>
                </c:pt>
                <c:pt idx="77">
                  <c:v>-21.078840109892809</c:v>
                </c:pt>
                <c:pt idx="78">
                  <c:v>9.3333333333333339</c:v>
                </c:pt>
                <c:pt idx="79">
                  <c:v>-2.3636564525099644</c:v>
                </c:pt>
                <c:pt idx="80">
                  <c:v>17.987756355580007</c:v>
                </c:pt>
                <c:pt idx="81">
                  <c:v>12</c:v>
                </c:pt>
                <c:pt idx="82">
                  <c:v>-12</c:v>
                </c:pt>
                <c:pt idx="83">
                  <c:v>-19.642597335724307</c:v>
                </c:pt>
                <c:pt idx="84">
                  <c:v>11.666666666666668</c:v>
                </c:pt>
                <c:pt idx="85">
                  <c:v>-0.37535794962416702</c:v>
                </c:pt>
                <c:pt idx="86">
                  <c:v>19.149459663035739</c:v>
                </c:pt>
                <c:pt idx="87">
                  <c:v>12</c:v>
                </c:pt>
                <c:pt idx="88">
                  <c:v>-12</c:v>
                </c:pt>
                <c:pt idx="89">
                  <c:v>-30.376282653093735</c:v>
                </c:pt>
                <c:pt idx="90">
                  <c:v>14.000000000000002</c:v>
                </c:pt>
                <c:pt idx="91">
                  <c:v>-3.0678010204149508</c:v>
                </c:pt>
                <c:pt idx="92">
                  <c:v>26.896999319700733</c:v>
                </c:pt>
                <c:pt idx="93">
                  <c:v>12</c:v>
                </c:pt>
                <c:pt idx="94">
                  <c:v>-12</c:v>
                </c:pt>
                <c:pt idx="95">
                  <c:v>-24.879281862192261</c:v>
                </c:pt>
                <c:pt idx="96">
                  <c:v>25</c:v>
                </c:pt>
                <c:pt idx="97">
                  <c:v>5.8156608222448263</c:v>
                </c:pt>
                <c:pt idx="98">
                  <c:v>31.34962606454722</c:v>
                </c:pt>
                <c:pt idx="99">
                  <c:v>12</c:v>
                </c:pt>
                <c:pt idx="100">
                  <c:v>-12</c:v>
                </c:pt>
                <c:pt idx="101">
                  <c:v>-23.375716830330454</c:v>
                </c:pt>
                <c:pt idx="102">
                  <c:v>0</c:v>
                </c:pt>
                <c:pt idx="103">
                  <c:v>-8.9906603193697858</c:v>
                </c:pt>
                <c:pt idx="104">
                  <c:v>22.648032351271631</c:v>
                </c:pt>
                <c:pt idx="105">
                  <c:v>12</c:v>
                </c:pt>
                <c:pt idx="106">
                  <c:v>-12</c:v>
                </c:pt>
                <c:pt idx="107">
                  <c:v>-10.52880704336475</c:v>
                </c:pt>
                <c:pt idx="108">
                  <c:v>-25</c:v>
                </c:pt>
                <c:pt idx="109">
                  <c:v>-19.434156555154736</c:v>
                </c:pt>
                <c:pt idx="110">
                  <c:v>20.32293673094285</c:v>
                </c:pt>
                <c:pt idx="111">
                  <c:v>12</c:v>
                </c:pt>
                <c:pt idx="112">
                  <c:v>60</c:v>
                </c:pt>
                <c:pt idx="113">
                  <c:v>59.977621104822219</c:v>
                </c:pt>
                <c:pt idx="114">
                  <c:v>59.910498330815244</c:v>
                </c:pt>
                <c:pt idx="115">
                  <c:v>59.7986734039103</c:v>
                </c:pt>
                <c:pt idx="116">
                  <c:v>59.642215838505066</c:v>
                </c:pt>
                <c:pt idx="117">
                  <c:v>59.441222894251112</c:v>
                </c:pt>
                <c:pt idx="118">
                  <c:v>59.195819515593755</c:v>
                </c:pt>
                <c:pt idx="119">
                  <c:v>58.906158254102053</c:v>
                </c:pt>
                <c:pt idx="120">
                  <c:v>58.572419173637371</c:v>
                </c:pt>
                <c:pt idx="121">
                  <c:v>58.19480973841911</c:v>
                </c:pt>
                <c:pt idx="122">
                  <c:v>57.77356468405749</c:v>
                </c:pt>
                <c:pt idx="123">
                  <c:v>57.308945871633512</c:v>
                </c:pt>
                <c:pt idx="124">
                  <c:v>56.801242124916655</c:v>
                </c:pt>
                <c:pt idx="125">
                  <c:v>56.250769050821617</c:v>
                </c:pt>
                <c:pt idx="126">
                  <c:v>55.657868843215709</c:v>
                </c:pt>
                <c:pt idx="127">
                  <c:v>55.022910070198847</c:v>
                </c:pt>
                <c:pt idx="128">
                  <c:v>54.346287444988349</c:v>
                </c:pt>
                <c:pt idx="129">
                  <c:v>53.628421580551006</c:v>
                </c:pt>
                <c:pt idx="130">
                  <c:v>52.869758728134926</c:v>
                </c:pt>
                <c:pt idx="131">
                  <c:v>52.070770499863713</c:v>
                </c:pt>
                <c:pt idx="132">
                  <c:v>51.231953575565385</c:v>
                </c:pt>
                <c:pt idx="133">
                  <c:v>50.353829394018334</c:v>
                </c:pt>
                <c:pt idx="134">
                  <c:v>49.436943828806236</c:v>
                </c:pt>
                <c:pt idx="135">
                  <c:v>48.481866848983351</c:v>
                </c:pt>
                <c:pt idx="136">
                  <c:v>47.489192164761299</c:v>
                </c:pt>
                <c:pt idx="137">
                  <c:v>46.45953685843741</c:v>
                </c:pt>
                <c:pt idx="138">
                  <c:v>45.39354100079418</c:v>
                </c:pt>
                <c:pt idx="139">
                  <c:v>44.29186725320821</c:v>
                </c:pt>
                <c:pt idx="140">
                  <c:v>43.155200455716098</c:v>
                </c:pt>
                <c:pt idx="141">
                  <c:v>41.984247201293201</c:v>
                </c:pt>
                <c:pt idx="142">
                  <c:v>40.779735396610057</c:v>
                </c:pt>
                <c:pt idx="143">
                  <c:v>39.542413809539362</c:v>
                </c:pt>
                <c:pt idx="144">
                  <c:v>38.27305160369496</c:v>
                </c:pt>
                <c:pt idx="145">
                  <c:v>36.97243786029204</c:v>
                </c:pt>
                <c:pt idx="146">
                  <c:v>35.641381087625909</c:v>
                </c:pt>
                <c:pt idx="147">
                  <c:v>34.280708718474088</c:v>
                </c:pt>
                <c:pt idx="148">
                  <c:v>32.891266595734379</c:v>
                </c:pt>
                <c:pt idx="149">
                  <c:v>31.473918446618441</c:v>
                </c:pt>
                <c:pt idx="150">
                  <c:v>30.029545345727961</c:v>
                </c:pt>
                <c:pt idx="151">
                  <c:v>28.559045167346859</c:v>
                </c:pt>
                <c:pt idx="152">
                  <c:v>27.063332027290457</c:v>
                </c:pt>
                <c:pt idx="153">
                  <c:v>25.54333571465812</c:v>
                </c:pt>
                <c:pt idx="154">
                  <c:v>24.00000111384292</c:v>
                </c:pt>
                <c:pt idx="155">
                  <c:v>22.434287617157558</c:v>
                </c:pt>
                <c:pt idx="156">
                  <c:v>20.847168528441451</c:v>
                </c:pt>
                <c:pt idx="157">
                  <c:v>19.239630458020226</c:v>
                </c:pt>
                <c:pt idx="158">
                  <c:v>17.612672709393095</c:v>
                </c:pt>
                <c:pt idx="159">
                  <c:v>15.967306658029923</c:v>
                </c:pt>
                <c:pt idx="160">
                  <c:v>14.304555122663807</c:v>
                </c:pt>
                <c:pt idx="161">
                  <c:v>12.625451729470267</c:v>
                </c:pt>
                <c:pt idx="162">
                  <c:v>10.931040269527855</c:v>
                </c:pt>
                <c:pt idx="163">
                  <c:v>9.2223740499601874</c:v>
                </c:pt>
                <c:pt idx="164">
                  <c:v>7.50051523916229</c:v>
                </c:pt>
                <c:pt idx="165">
                  <c:v>5.7665342065185783</c:v>
                </c:pt>
                <c:pt idx="166">
                  <c:v>4.0215088570226385</c:v>
                </c:pt>
                <c:pt idx="167">
                  <c:v>2.2665239612127621</c:v>
                </c:pt>
                <c:pt idx="168">
                  <c:v>0.50267048083958699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2.8515696384297637</c:v>
                </c:pt>
                <c:pt idx="177">
                  <c:v>1.9753111994832171</c:v>
                </c:pt>
                <c:pt idx="178">
                  <c:v>0.92563316887902047</c:v>
                </c:pt>
                <c:pt idx="179">
                  <c:v>-0.21601377837397351</c:v>
                </c:pt>
                <c:pt idx="180">
                  <c:v>-1.4157664759720063</c:v>
                </c:pt>
                <c:pt idx="181">
                  <c:v>-2.6556123420946562</c:v>
                </c:pt>
                <c:pt idx="182">
                  <c:v>-3.9245681685754725</c:v>
                </c:pt>
                <c:pt idx="183">
                  <c:v>-5.2153144569239593</c:v>
                </c:pt>
                <c:pt idx="184">
                  <c:v>-6.5226550874579061</c:v>
                </c:pt>
                <c:pt idx="185">
                  <c:v>-7.8427215966531474</c:v>
                </c:pt>
                <c:pt idx="186">
                  <c:v>-9.1725245020797033</c:v>
                </c:pt>
                <c:pt idx="187">
                  <c:v>-10.509682805443534</c:v>
                </c:pt>
                <c:pt idx="188">
                  <c:v>-11.852251962601201</c:v>
                </c:pt>
                <c:pt idx="189">
                  <c:v>-13.198609507350314</c:v>
                </c:pt>
                <c:pt idx="190">
                  <c:v>-14.547376030315508</c:v>
                </c:pt>
                <c:pt idx="191">
                  <c:v>-15.897358663204308</c:v>
                </c:pt>
                <c:pt idx="192">
                  <c:v>-17.247509325359044</c:v>
                </c:pt>
                <c:pt idx="193">
                  <c:v>-18.596892885306229</c:v>
                </c:pt>
                <c:pt idx="194">
                  <c:v>-19.944662101015112</c:v>
                </c:pt>
                <c:pt idx="195">
                  <c:v>-21.290037250525245</c:v>
                </c:pt>
                <c:pt idx="196">
                  <c:v>-22.632289027455251</c:v>
                </c:pt>
                <c:pt idx="197">
                  <c:v>-23.97072370792359</c:v>
                </c:pt>
                <c:pt idx="198">
                  <c:v>-25.30466988534544</c:v>
                </c:pt>
                <c:pt idx="199">
                  <c:v>-26.633466270137497</c:v>
                </c:pt>
                <c:pt idx="200">
                  <c:v>-27.956450194805811</c:v>
                </c:pt>
                <c:pt idx="201">
                  <c:v>-29.272946571435931</c:v>
                </c:pt>
                <c:pt idx="202">
                  <c:v>-30.582257131227855</c:v>
                </c:pt>
                <c:pt idx="203">
                  <c:v>-31.883649842884822</c:v>
                </c:pt>
                <c:pt idx="204">
                  <c:v>-33.176348463939625</c:v>
                </c:pt>
                <c:pt idx="205">
                  <c:v>-34.459522230103559</c:v>
                </c:pt>
                <c:pt idx="206">
                  <c:v>-35.732275734705851</c:v>
                </c:pt>
                <c:pt idx="207">
                  <c:v>-36.99363909448315</c:v>
                </c:pt>
                <c:pt idx="208">
                  <c:v>-38.242558539797471</c:v>
                </c:pt>
                <c:pt idx="209">
                  <c:v>-39.477887606536221</c:v>
                </c:pt>
                <c:pt idx="210">
                  <c:v>-40.698379142616446</c:v>
                </c:pt>
                <c:pt idx="211">
                  <c:v>-41.902678372794895</c:v>
                </c:pt>
                <c:pt idx="212">
                  <c:v>-43.089317289558807</c:v>
                </c:pt>
                <c:pt idx="213">
                  <c:v>-44.25671065311036</c:v>
                </c:pt>
                <c:pt idx="214">
                  <c:v>-45.403153887555582</c:v>
                </c:pt>
                <c:pt idx="215">
                  <c:v>-46.526823151096757</c:v>
                </c:pt>
                <c:pt idx="216">
                  <c:v>-47.625777833297384</c:v>
                </c:pt>
                <c:pt idx="217">
                  <c:v>-48.697965690882285</c:v>
                </c:pt>
                <c:pt idx="218">
                  <c:v>-49.741230774414589</c:v>
                </c:pt>
                <c:pt idx="219">
                  <c:v>-50.753324222038465</c:v>
                </c:pt>
                <c:pt idx="220">
                  <c:v>-51.731917905092047</c:v>
                </c:pt>
                <c:pt idx="221">
                  <c:v>-52.674620807053785</c:v>
                </c:pt>
                <c:pt idx="222">
                  <c:v>-53.578997906712083</c:v>
                </c:pt>
                <c:pt idx="223">
                  <c:v>-54.442591224662408</c:v>
                </c:pt>
                <c:pt idx="224">
                  <c:v>-55.262942586197084</c:v>
                </c:pt>
                <c:pt idx="225">
                  <c:v>-56.037617560739605</c:v>
                </c:pt>
                <c:pt idx="226">
                  <c:v>-56.764229965340405</c:v>
                </c:pt>
                <c:pt idx="227">
                  <c:v>-57.440466273599569</c:v>
                </c:pt>
                <c:pt idx="228">
                  <c:v>-58.064109256288212</c:v>
                </c:pt>
                <c:pt idx="229">
                  <c:v>-58.633060198267984</c:v>
                </c:pt>
                <c:pt idx="230">
                  <c:v>-59.145359087855262</c:v>
                </c:pt>
                <c:pt idx="231">
                  <c:v>-59.599202256688159</c:v>
                </c:pt>
                <c:pt idx="232">
                  <c:v>-59.992957055132891</c:v>
                </c:pt>
                <c:pt idx="233">
                  <c:v>-60.325173273076174</c:v>
                </c:pt>
                <c:pt idx="234">
                  <c:v>-60.594591150128096</c:v>
                </c:pt>
                <c:pt idx="235">
                  <c:v>-60.800145953957085</c:v>
                </c:pt>
                <c:pt idx="236">
                  <c:v>-60.940969232303956</c:v>
                </c:pt>
                <c:pt idx="237">
                  <c:v>-61.016386955989681</c:v>
                </c:pt>
                <c:pt idx="238">
                  <c:v>-61.025914861512376</c:v>
                </c:pt>
                <c:pt idx="239">
                  <c:v>-60.969251369261414</c:v>
                </c:pt>
              </c:numCache>
            </c:numRef>
          </c:xVal>
          <c:yVal>
            <c:numRef>
              <c:f>CALC60!$BD$6:$BD$581</c:f>
              <c:numCache>
                <c:formatCode>General</c:formatCode>
                <c:ptCount val="576"/>
                <c:pt idx="34">
                  <c:v>0</c:v>
                </c:pt>
                <c:pt idx="35">
                  <c:v>12.321167500779229</c:v>
                </c:pt>
                <c:pt idx="36">
                  <c:v>60</c:v>
                </c:pt>
                <c:pt idx="37">
                  <c:v>41.661987500311113</c:v>
                </c:pt>
                <c:pt idx="38">
                  <c:v>19.64290287378978</c:v>
                </c:pt>
                <c:pt idx="39">
                  <c:v>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CALC60!$BE$5</c:f>
              <c:strCache>
                <c:ptCount val="1"/>
                <c:pt idx="0">
                  <c:v>R4</c:v>
                </c:pt>
              </c:strCache>
            </c:strRef>
          </c:tx>
          <c:xVal>
            <c:numRef>
              <c:f>CALC60!$AY$6:$AY$581</c:f>
              <c:numCache>
                <c:formatCode>General</c:formatCode>
                <c:ptCount val="576"/>
                <c:pt idx="0">
                  <c:v>-19.833506546880365</c:v>
                </c:pt>
                <c:pt idx="1">
                  <c:v>-18.245852614565919</c:v>
                </c:pt>
                <c:pt idx="2">
                  <c:v>-16.629666681765414</c:v>
                </c:pt>
                <c:pt idx="3">
                  <c:v>-14.98231154257417</c:v>
                </c:pt>
                <c:pt idx="4">
                  <c:v>-13.301143585556035</c:v>
                </c:pt>
                <c:pt idx="5">
                  <c:v>-11.583569246398675</c:v>
                </c:pt>
                <c:pt idx="6">
                  <c:v>-9.8270793278644781</c:v>
                </c:pt>
                <c:pt idx="7">
                  <c:v>-8.029252658232803</c:v>
                </c:pt>
                <c:pt idx="8">
                  <c:v>-6.1877185053343773</c:v>
                </c:pt>
                <c:pt idx="9">
                  <c:v>-4.3000630515963358</c:v>
                </c:pt>
                <c:pt idx="10">
                  <c:v>-2.3636564525099644</c:v>
                </c:pt>
                <c:pt idx="11">
                  <c:v>-0.37535794962416702</c:v>
                </c:pt>
                <c:pt idx="12">
                  <c:v>-3.0678010204149508</c:v>
                </c:pt>
                <c:pt idx="13">
                  <c:v>5.8156608222448263</c:v>
                </c:pt>
                <c:pt idx="14">
                  <c:v>-8.9906603193697858</c:v>
                </c:pt>
                <c:pt idx="15">
                  <c:v>-19.434156555154736</c:v>
                </c:pt>
                <c:pt idx="16">
                  <c:v>-12</c:v>
                </c:pt>
                <c:pt idx="17">
                  <c:v>-29.167117021908272</c:v>
                </c:pt>
                <c:pt idx="18">
                  <c:v>-14</c:v>
                </c:pt>
                <c:pt idx="19">
                  <c:v>-19.833506546880365</c:v>
                </c:pt>
                <c:pt idx="20">
                  <c:v>1.5130248501190131</c:v>
                </c:pt>
                <c:pt idx="21">
                  <c:v>12</c:v>
                </c:pt>
                <c:pt idx="22">
                  <c:v>-12</c:v>
                </c:pt>
                <c:pt idx="23">
                  <c:v>-28.772550131225248</c:v>
                </c:pt>
                <c:pt idx="24">
                  <c:v>-11.666666666666666</c:v>
                </c:pt>
                <c:pt idx="25">
                  <c:v>-18.245852614565919</c:v>
                </c:pt>
                <c:pt idx="26">
                  <c:v>4.3925078710812571</c:v>
                </c:pt>
                <c:pt idx="27">
                  <c:v>12</c:v>
                </c:pt>
                <c:pt idx="28">
                  <c:v>-12</c:v>
                </c:pt>
                <c:pt idx="29">
                  <c:v>-28.303800039278563</c:v>
                </c:pt>
                <c:pt idx="30">
                  <c:v>-9.3333333333333321</c:v>
                </c:pt>
                <c:pt idx="31">
                  <c:v>-16.629666681765414</c:v>
                </c:pt>
                <c:pt idx="32">
                  <c:v>6.4527131206909987</c:v>
                </c:pt>
                <c:pt idx="33">
                  <c:v>12</c:v>
                </c:pt>
                <c:pt idx="34">
                  <c:v>-12</c:v>
                </c:pt>
                <c:pt idx="35">
                  <c:v>-27.754010010716058</c:v>
                </c:pt>
                <c:pt idx="36">
                  <c:v>-6.9999999999999982</c:v>
                </c:pt>
                <c:pt idx="37">
                  <c:v>-14.98231154257417</c:v>
                </c:pt>
                <c:pt idx="38">
                  <c:v>8.2375052570320868</c:v>
                </c:pt>
                <c:pt idx="39">
                  <c:v>12</c:v>
                </c:pt>
                <c:pt idx="40">
                  <c:v>-12</c:v>
                </c:pt>
                <c:pt idx="41">
                  <c:v>-27.116306655803694</c:v>
                </c:pt>
                <c:pt idx="42">
                  <c:v>-4.6666666666666643</c:v>
                </c:pt>
                <c:pt idx="43">
                  <c:v>-13.301143585556035</c:v>
                </c:pt>
                <c:pt idx="44">
                  <c:v>9.8664661885771885</c:v>
                </c:pt>
                <c:pt idx="45">
                  <c:v>12</c:v>
                </c:pt>
                <c:pt idx="46">
                  <c:v>-12</c:v>
                </c:pt>
                <c:pt idx="47">
                  <c:v>-26.383946707329393</c:v>
                </c:pt>
                <c:pt idx="48">
                  <c:v>-2.3333333333333308</c:v>
                </c:pt>
                <c:pt idx="49">
                  <c:v>-11.583569246398675</c:v>
                </c:pt>
                <c:pt idx="50">
                  <c:v>11.388844623449907</c:v>
                </c:pt>
                <c:pt idx="51">
                  <c:v>12</c:v>
                </c:pt>
                <c:pt idx="52">
                  <c:v>-12</c:v>
                </c:pt>
                <c:pt idx="53">
                  <c:v>-25.550406252475348</c:v>
                </c:pt>
                <c:pt idx="54">
                  <c:v>0</c:v>
                </c:pt>
                <c:pt idx="55">
                  <c:v>-9.8270793278644781</c:v>
                </c:pt>
                <c:pt idx="56">
                  <c:v>12.829698097369761</c:v>
                </c:pt>
                <c:pt idx="57">
                  <c:v>12</c:v>
                </c:pt>
                <c:pt idx="58">
                  <c:v>-12</c:v>
                </c:pt>
                <c:pt idx="59">
                  <c:v>-24.609390244767855</c:v>
                </c:pt>
                <c:pt idx="60">
                  <c:v>2.3333333333333335</c:v>
                </c:pt>
                <c:pt idx="61">
                  <c:v>-8.029252658232803</c:v>
                </c:pt>
                <c:pt idx="62">
                  <c:v>14.203132463376605</c:v>
                </c:pt>
                <c:pt idx="63">
                  <c:v>12</c:v>
                </c:pt>
                <c:pt idx="64">
                  <c:v>-12</c:v>
                </c:pt>
                <c:pt idx="65">
                  <c:v>-23.554734780566797</c:v>
                </c:pt>
                <c:pt idx="66">
                  <c:v>4.666666666666667</c:v>
                </c:pt>
                <c:pt idx="67">
                  <c:v>-6.1877185053343773</c:v>
                </c:pt>
                <c:pt idx="68">
                  <c:v>15.517506829265256</c:v>
                </c:pt>
                <c:pt idx="69">
                  <c:v>12</c:v>
                </c:pt>
                <c:pt idx="70">
                  <c:v>-12</c:v>
                </c:pt>
                <c:pt idx="71">
                  <c:v>-22.380163934182676</c:v>
                </c:pt>
                <c:pt idx="72">
                  <c:v>7</c:v>
                </c:pt>
                <c:pt idx="73">
                  <c:v>-4.3000630515963358</c:v>
                </c:pt>
                <c:pt idx="74">
                  <c:v>16.777941702150098</c:v>
                </c:pt>
                <c:pt idx="75">
                  <c:v>12</c:v>
                </c:pt>
                <c:pt idx="76">
                  <c:v>-12</c:v>
                </c:pt>
                <c:pt idx="77">
                  <c:v>-21.078840109892809</c:v>
                </c:pt>
                <c:pt idx="78">
                  <c:v>9.3333333333333339</c:v>
                </c:pt>
                <c:pt idx="79">
                  <c:v>-2.3636564525099644</c:v>
                </c:pt>
                <c:pt idx="80">
                  <c:v>17.987756355580007</c:v>
                </c:pt>
                <c:pt idx="81">
                  <c:v>12</c:v>
                </c:pt>
                <c:pt idx="82">
                  <c:v>-12</c:v>
                </c:pt>
                <c:pt idx="83">
                  <c:v>-19.642597335724307</c:v>
                </c:pt>
                <c:pt idx="84">
                  <c:v>11.666666666666668</c:v>
                </c:pt>
                <c:pt idx="85">
                  <c:v>-0.37535794962416702</c:v>
                </c:pt>
                <c:pt idx="86">
                  <c:v>19.149459663035739</c:v>
                </c:pt>
                <c:pt idx="87">
                  <c:v>12</c:v>
                </c:pt>
                <c:pt idx="88">
                  <c:v>-12</c:v>
                </c:pt>
                <c:pt idx="89">
                  <c:v>-30.376282653093735</c:v>
                </c:pt>
                <c:pt idx="90">
                  <c:v>14.000000000000002</c:v>
                </c:pt>
                <c:pt idx="91">
                  <c:v>-3.0678010204149508</c:v>
                </c:pt>
                <c:pt idx="92">
                  <c:v>26.896999319700733</c:v>
                </c:pt>
                <c:pt idx="93">
                  <c:v>12</c:v>
                </c:pt>
                <c:pt idx="94">
                  <c:v>-12</c:v>
                </c:pt>
                <c:pt idx="95">
                  <c:v>-24.879281862192261</c:v>
                </c:pt>
                <c:pt idx="96">
                  <c:v>25</c:v>
                </c:pt>
                <c:pt idx="97">
                  <c:v>5.8156608222448263</c:v>
                </c:pt>
                <c:pt idx="98">
                  <c:v>31.34962606454722</c:v>
                </c:pt>
                <c:pt idx="99">
                  <c:v>12</c:v>
                </c:pt>
                <c:pt idx="100">
                  <c:v>-12</c:v>
                </c:pt>
                <c:pt idx="101">
                  <c:v>-23.375716830330454</c:v>
                </c:pt>
                <c:pt idx="102">
                  <c:v>0</c:v>
                </c:pt>
                <c:pt idx="103">
                  <c:v>-8.9906603193697858</c:v>
                </c:pt>
                <c:pt idx="104">
                  <c:v>22.648032351271631</c:v>
                </c:pt>
                <c:pt idx="105">
                  <c:v>12</c:v>
                </c:pt>
                <c:pt idx="106">
                  <c:v>-12</c:v>
                </c:pt>
                <c:pt idx="107">
                  <c:v>-10.52880704336475</c:v>
                </c:pt>
                <c:pt idx="108">
                  <c:v>-25</c:v>
                </c:pt>
                <c:pt idx="109">
                  <c:v>-19.434156555154736</c:v>
                </c:pt>
                <c:pt idx="110">
                  <c:v>20.32293673094285</c:v>
                </c:pt>
                <c:pt idx="111">
                  <c:v>12</c:v>
                </c:pt>
                <c:pt idx="112">
                  <c:v>60</c:v>
                </c:pt>
                <c:pt idx="113">
                  <c:v>59.977621104822219</c:v>
                </c:pt>
                <c:pt idx="114">
                  <c:v>59.910498330815244</c:v>
                </c:pt>
                <c:pt idx="115">
                  <c:v>59.7986734039103</c:v>
                </c:pt>
                <c:pt idx="116">
                  <c:v>59.642215838505066</c:v>
                </c:pt>
                <c:pt idx="117">
                  <c:v>59.441222894251112</c:v>
                </c:pt>
                <c:pt idx="118">
                  <c:v>59.195819515593755</c:v>
                </c:pt>
                <c:pt idx="119">
                  <c:v>58.906158254102053</c:v>
                </c:pt>
                <c:pt idx="120">
                  <c:v>58.572419173637371</c:v>
                </c:pt>
                <c:pt idx="121">
                  <c:v>58.19480973841911</c:v>
                </c:pt>
                <c:pt idx="122">
                  <c:v>57.77356468405749</c:v>
                </c:pt>
                <c:pt idx="123">
                  <c:v>57.308945871633512</c:v>
                </c:pt>
                <c:pt idx="124">
                  <c:v>56.801242124916655</c:v>
                </c:pt>
                <c:pt idx="125">
                  <c:v>56.250769050821617</c:v>
                </c:pt>
                <c:pt idx="126">
                  <c:v>55.657868843215709</c:v>
                </c:pt>
                <c:pt idx="127">
                  <c:v>55.022910070198847</c:v>
                </c:pt>
                <c:pt idx="128">
                  <c:v>54.346287444988349</c:v>
                </c:pt>
                <c:pt idx="129">
                  <c:v>53.628421580551006</c:v>
                </c:pt>
                <c:pt idx="130">
                  <c:v>52.869758728134926</c:v>
                </c:pt>
                <c:pt idx="131">
                  <c:v>52.070770499863713</c:v>
                </c:pt>
                <c:pt idx="132">
                  <c:v>51.231953575565385</c:v>
                </c:pt>
                <c:pt idx="133">
                  <c:v>50.353829394018334</c:v>
                </c:pt>
                <c:pt idx="134">
                  <c:v>49.436943828806236</c:v>
                </c:pt>
                <c:pt idx="135">
                  <c:v>48.481866848983351</c:v>
                </c:pt>
                <c:pt idx="136">
                  <c:v>47.489192164761299</c:v>
                </c:pt>
                <c:pt idx="137">
                  <c:v>46.45953685843741</c:v>
                </c:pt>
                <c:pt idx="138">
                  <c:v>45.39354100079418</c:v>
                </c:pt>
                <c:pt idx="139">
                  <c:v>44.29186725320821</c:v>
                </c:pt>
                <c:pt idx="140">
                  <c:v>43.155200455716098</c:v>
                </c:pt>
                <c:pt idx="141">
                  <c:v>41.984247201293201</c:v>
                </c:pt>
                <c:pt idx="142">
                  <c:v>40.779735396610057</c:v>
                </c:pt>
                <c:pt idx="143">
                  <c:v>39.542413809539362</c:v>
                </c:pt>
                <c:pt idx="144">
                  <c:v>38.27305160369496</c:v>
                </c:pt>
                <c:pt idx="145">
                  <c:v>36.97243786029204</c:v>
                </c:pt>
                <c:pt idx="146">
                  <c:v>35.641381087625909</c:v>
                </c:pt>
                <c:pt idx="147">
                  <c:v>34.280708718474088</c:v>
                </c:pt>
                <c:pt idx="148">
                  <c:v>32.891266595734379</c:v>
                </c:pt>
                <c:pt idx="149">
                  <c:v>31.473918446618441</c:v>
                </c:pt>
                <c:pt idx="150">
                  <c:v>30.029545345727961</c:v>
                </c:pt>
                <c:pt idx="151">
                  <c:v>28.559045167346859</c:v>
                </c:pt>
                <c:pt idx="152">
                  <c:v>27.063332027290457</c:v>
                </c:pt>
                <c:pt idx="153">
                  <c:v>25.54333571465812</c:v>
                </c:pt>
                <c:pt idx="154">
                  <c:v>24.00000111384292</c:v>
                </c:pt>
                <c:pt idx="155">
                  <c:v>22.434287617157558</c:v>
                </c:pt>
                <c:pt idx="156">
                  <c:v>20.847168528441451</c:v>
                </c:pt>
                <c:pt idx="157">
                  <c:v>19.239630458020226</c:v>
                </c:pt>
                <c:pt idx="158">
                  <c:v>17.612672709393095</c:v>
                </c:pt>
                <c:pt idx="159">
                  <c:v>15.967306658029923</c:v>
                </c:pt>
                <c:pt idx="160">
                  <c:v>14.304555122663807</c:v>
                </c:pt>
                <c:pt idx="161">
                  <c:v>12.625451729470267</c:v>
                </c:pt>
                <c:pt idx="162">
                  <c:v>10.931040269527855</c:v>
                </c:pt>
                <c:pt idx="163">
                  <c:v>9.2223740499601874</c:v>
                </c:pt>
                <c:pt idx="164">
                  <c:v>7.50051523916229</c:v>
                </c:pt>
                <c:pt idx="165">
                  <c:v>5.7665342065185783</c:v>
                </c:pt>
                <c:pt idx="166">
                  <c:v>4.0215088570226385</c:v>
                </c:pt>
                <c:pt idx="167">
                  <c:v>2.2665239612127621</c:v>
                </c:pt>
                <c:pt idx="168">
                  <c:v>0.50267048083958699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2.8515696384297637</c:v>
                </c:pt>
                <c:pt idx="177">
                  <c:v>1.9753111994832171</c:v>
                </c:pt>
                <c:pt idx="178">
                  <c:v>0.92563316887902047</c:v>
                </c:pt>
                <c:pt idx="179">
                  <c:v>-0.21601377837397351</c:v>
                </c:pt>
                <c:pt idx="180">
                  <c:v>-1.4157664759720063</c:v>
                </c:pt>
                <c:pt idx="181">
                  <c:v>-2.6556123420946562</c:v>
                </c:pt>
                <c:pt idx="182">
                  <c:v>-3.9245681685754725</c:v>
                </c:pt>
                <c:pt idx="183">
                  <c:v>-5.2153144569239593</c:v>
                </c:pt>
                <c:pt idx="184">
                  <c:v>-6.5226550874579061</c:v>
                </c:pt>
                <c:pt idx="185">
                  <c:v>-7.8427215966531474</c:v>
                </c:pt>
                <c:pt idx="186">
                  <c:v>-9.1725245020797033</c:v>
                </c:pt>
                <c:pt idx="187">
                  <c:v>-10.509682805443534</c:v>
                </c:pt>
                <c:pt idx="188">
                  <c:v>-11.852251962601201</c:v>
                </c:pt>
                <c:pt idx="189">
                  <c:v>-13.198609507350314</c:v>
                </c:pt>
                <c:pt idx="190">
                  <c:v>-14.547376030315508</c:v>
                </c:pt>
                <c:pt idx="191">
                  <c:v>-15.897358663204308</c:v>
                </c:pt>
                <c:pt idx="192">
                  <c:v>-17.247509325359044</c:v>
                </c:pt>
                <c:pt idx="193">
                  <c:v>-18.596892885306229</c:v>
                </c:pt>
                <c:pt idx="194">
                  <c:v>-19.944662101015112</c:v>
                </c:pt>
                <c:pt idx="195">
                  <c:v>-21.290037250525245</c:v>
                </c:pt>
                <c:pt idx="196">
                  <c:v>-22.632289027455251</c:v>
                </c:pt>
                <c:pt idx="197">
                  <c:v>-23.97072370792359</c:v>
                </c:pt>
                <c:pt idx="198">
                  <c:v>-25.30466988534544</c:v>
                </c:pt>
                <c:pt idx="199">
                  <c:v>-26.633466270137497</c:v>
                </c:pt>
                <c:pt idx="200">
                  <c:v>-27.956450194805811</c:v>
                </c:pt>
                <c:pt idx="201">
                  <c:v>-29.272946571435931</c:v>
                </c:pt>
                <c:pt idx="202">
                  <c:v>-30.582257131227855</c:v>
                </c:pt>
                <c:pt idx="203">
                  <c:v>-31.883649842884822</c:v>
                </c:pt>
                <c:pt idx="204">
                  <c:v>-33.176348463939625</c:v>
                </c:pt>
                <c:pt idx="205">
                  <c:v>-34.459522230103559</c:v>
                </c:pt>
                <c:pt idx="206">
                  <c:v>-35.732275734705851</c:v>
                </c:pt>
                <c:pt idx="207">
                  <c:v>-36.99363909448315</c:v>
                </c:pt>
                <c:pt idx="208">
                  <c:v>-38.242558539797471</c:v>
                </c:pt>
                <c:pt idx="209">
                  <c:v>-39.477887606536221</c:v>
                </c:pt>
                <c:pt idx="210">
                  <c:v>-40.698379142616446</c:v>
                </c:pt>
                <c:pt idx="211">
                  <c:v>-41.902678372794895</c:v>
                </c:pt>
                <c:pt idx="212">
                  <c:v>-43.089317289558807</c:v>
                </c:pt>
                <c:pt idx="213">
                  <c:v>-44.25671065311036</c:v>
                </c:pt>
                <c:pt idx="214">
                  <c:v>-45.403153887555582</c:v>
                </c:pt>
                <c:pt idx="215">
                  <c:v>-46.526823151096757</c:v>
                </c:pt>
                <c:pt idx="216">
                  <c:v>-47.625777833297384</c:v>
                </c:pt>
                <c:pt idx="217">
                  <c:v>-48.697965690882285</c:v>
                </c:pt>
                <c:pt idx="218">
                  <c:v>-49.741230774414589</c:v>
                </c:pt>
                <c:pt idx="219">
                  <c:v>-50.753324222038465</c:v>
                </c:pt>
                <c:pt idx="220">
                  <c:v>-51.731917905092047</c:v>
                </c:pt>
                <c:pt idx="221">
                  <c:v>-52.674620807053785</c:v>
                </c:pt>
                <c:pt idx="222">
                  <c:v>-53.578997906712083</c:v>
                </c:pt>
                <c:pt idx="223">
                  <c:v>-54.442591224662408</c:v>
                </c:pt>
                <c:pt idx="224">
                  <c:v>-55.262942586197084</c:v>
                </c:pt>
                <c:pt idx="225">
                  <c:v>-56.037617560739605</c:v>
                </c:pt>
                <c:pt idx="226">
                  <c:v>-56.764229965340405</c:v>
                </c:pt>
                <c:pt idx="227">
                  <c:v>-57.440466273599569</c:v>
                </c:pt>
                <c:pt idx="228">
                  <c:v>-58.064109256288212</c:v>
                </c:pt>
                <c:pt idx="229">
                  <c:v>-58.633060198267984</c:v>
                </c:pt>
                <c:pt idx="230">
                  <c:v>-59.145359087855262</c:v>
                </c:pt>
                <c:pt idx="231">
                  <c:v>-59.599202256688159</c:v>
                </c:pt>
                <c:pt idx="232">
                  <c:v>-59.992957055132891</c:v>
                </c:pt>
                <c:pt idx="233">
                  <c:v>-60.325173273076174</c:v>
                </c:pt>
                <c:pt idx="234">
                  <c:v>-60.594591150128096</c:v>
                </c:pt>
                <c:pt idx="235">
                  <c:v>-60.800145953957085</c:v>
                </c:pt>
                <c:pt idx="236">
                  <c:v>-60.940969232303956</c:v>
                </c:pt>
                <c:pt idx="237">
                  <c:v>-61.016386955989681</c:v>
                </c:pt>
                <c:pt idx="238">
                  <c:v>-61.025914861512376</c:v>
                </c:pt>
                <c:pt idx="239">
                  <c:v>-60.969251369261414</c:v>
                </c:pt>
              </c:numCache>
            </c:numRef>
          </c:xVal>
          <c:yVal>
            <c:numRef>
              <c:f>CALC60!$BE$6:$BE$581</c:f>
              <c:numCache>
                <c:formatCode>General</c:formatCode>
                <c:ptCount val="576"/>
                <c:pt idx="40">
                  <c:v>0</c:v>
                </c:pt>
                <c:pt idx="41">
                  <c:v>13.095696739299708</c:v>
                </c:pt>
                <c:pt idx="42">
                  <c:v>60</c:v>
                </c:pt>
                <c:pt idx="43">
                  <c:v>41.95988336128007</c:v>
                </c:pt>
                <c:pt idx="44">
                  <c:v>19.885875225282785</c:v>
                </c:pt>
                <c:pt idx="45">
                  <c:v>0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CALC60!$BF$5</c:f>
              <c:strCache>
                <c:ptCount val="1"/>
                <c:pt idx="0">
                  <c:v>R5</c:v>
                </c:pt>
              </c:strCache>
            </c:strRef>
          </c:tx>
          <c:xVal>
            <c:numRef>
              <c:f>CALC60!$AY$6:$AY$581</c:f>
              <c:numCache>
                <c:formatCode>General</c:formatCode>
                <c:ptCount val="576"/>
                <c:pt idx="0">
                  <c:v>-19.833506546880365</c:v>
                </c:pt>
                <c:pt idx="1">
                  <c:v>-18.245852614565919</c:v>
                </c:pt>
                <c:pt idx="2">
                  <c:v>-16.629666681765414</c:v>
                </c:pt>
                <c:pt idx="3">
                  <c:v>-14.98231154257417</c:v>
                </c:pt>
                <c:pt idx="4">
                  <c:v>-13.301143585556035</c:v>
                </c:pt>
                <c:pt idx="5">
                  <c:v>-11.583569246398675</c:v>
                </c:pt>
                <c:pt idx="6">
                  <c:v>-9.8270793278644781</c:v>
                </c:pt>
                <c:pt idx="7">
                  <c:v>-8.029252658232803</c:v>
                </c:pt>
                <c:pt idx="8">
                  <c:v>-6.1877185053343773</c:v>
                </c:pt>
                <c:pt idx="9">
                  <c:v>-4.3000630515963358</c:v>
                </c:pt>
                <c:pt idx="10">
                  <c:v>-2.3636564525099644</c:v>
                </c:pt>
                <c:pt idx="11">
                  <c:v>-0.37535794962416702</c:v>
                </c:pt>
                <c:pt idx="12">
                  <c:v>-3.0678010204149508</c:v>
                </c:pt>
                <c:pt idx="13">
                  <c:v>5.8156608222448263</c:v>
                </c:pt>
                <c:pt idx="14">
                  <c:v>-8.9906603193697858</c:v>
                </c:pt>
                <c:pt idx="15">
                  <c:v>-19.434156555154736</c:v>
                </c:pt>
                <c:pt idx="16">
                  <c:v>-12</c:v>
                </c:pt>
                <c:pt idx="17">
                  <c:v>-29.167117021908272</c:v>
                </c:pt>
                <c:pt idx="18">
                  <c:v>-14</c:v>
                </c:pt>
                <c:pt idx="19">
                  <c:v>-19.833506546880365</c:v>
                </c:pt>
                <c:pt idx="20">
                  <c:v>1.5130248501190131</c:v>
                </c:pt>
                <c:pt idx="21">
                  <c:v>12</c:v>
                </c:pt>
                <c:pt idx="22">
                  <c:v>-12</c:v>
                </c:pt>
                <c:pt idx="23">
                  <c:v>-28.772550131225248</c:v>
                </c:pt>
                <c:pt idx="24">
                  <c:v>-11.666666666666666</c:v>
                </c:pt>
                <c:pt idx="25">
                  <c:v>-18.245852614565919</c:v>
                </c:pt>
                <c:pt idx="26">
                  <c:v>4.3925078710812571</c:v>
                </c:pt>
                <c:pt idx="27">
                  <c:v>12</c:v>
                </c:pt>
                <c:pt idx="28">
                  <c:v>-12</c:v>
                </c:pt>
                <c:pt idx="29">
                  <c:v>-28.303800039278563</c:v>
                </c:pt>
                <c:pt idx="30">
                  <c:v>-9.3333333333333321</c:v>
                </c:pt>
                <c:pt idx="31">
                  <c:v>-16.629666681765414</c:v>
                </c:pt>
                <c:pt idx="32">
                  <c:v>6.4527131206909987</c:v>
                </c:pt>
                <c:pt idx="33">
                  <c:v>12</c:v>
                </c:pt>
                <c:pt idx="34">
                  <c:v>-12</c:v>
                </c:pt>
                <c:pt idx="35">
                  <c:v>-27.754010010716058</c:v>
                </c:pt>
                <c:pt idx="36">
                  <c:v>-6.9999999999999982</c:v>
                </c:pt>
                <c:pt idx="37">
                  <c:v>-14.98231154257417</c:v>
                </c:pt>
                <c:pt idx="38">
                  <c:v>8.2375052570320868</c:v>
                </c:pt>
                <c:pt idx="39">
                  <c:v>12</c:v>
                </c:pt>
                <c:pt idx="40">
                  <c:v>-12</c:v>
                </c:pt>
                <c:pt idx="41">
                  <c:v>-27.116306655803694</c:v>
                </c:pt>
                <c:pt idx="42">
                  <c:v>-4.6666666666666643</c:v>
                </c:pt>
                <c:pt idx="43">
                  <c:v>-13.301143585556035</c:v>
                </c:pt>
                <c:pt idx="44">
                  <c:v>9.8664661885771885</c:v>
                </c:pt>
                <c:pt idx="45">
                  <c:v>12</c:v>
                </c:pt>
                <c:pt idx="46">
                  <c:v>-12</c:v>
                </c:pt>
                <c:pt idx="47">
                  <c:v>-26.383946707329393</c:v>
                </c:pt>
                <c:pt idx="48">
                  <c:v>-2.3333333333333308</c:v>
                </c:pt>
                <c:pt idx="49">
                  <c:v>-11.583569246398675</c:v>
                </c:pt>
                <c:pt idx="50">
                  <c:v>11.388844623449907</c:v>
                </c:pt>
                <c:pt idx="51">
                  <c:v>12</c:v>
                </c:pt>
                <c:pt idx="52">
                  <c:v>-12</c:v>
                </c:pt>
                <c:pt idx="53">
                  <c:v>-25.550406252475348</c:v>
                </c:pt>
                <c:pt idx="54">
                  <c:v>0</c:v>
                </c:pt>
                <c:pt idx="55">
                  <c:v>-9.8270793278644781</c:v>
                </c:pt>
                <c:pt idx="56">
                  <c:v>12.829698097369761</c:v>
                </c:pt>
                <c:pt idx="57">
                  <c:v>12</c:v>
                </c:pt>
                <c:pt idx="58">
                  <c:v>-12</c:v>
                </c:pt>
                <c:pt idx="59">
                  <c:v>-24.609390244767855</c:v>
                </c:pt>
                <c:pt idx="60">
                  <c:v>2.3333333333333335</c:v>
                </c:pt>
                <c:pt idx="61">
                  <c:v>-8.029252658232803</c:v>
                </c:pt>
                <c:pt idx="62">
                  <c:v>14.203132463376605</c:v>
                </c:pt>
                <c:pt idx="63">
                  <c:v>12</c:v>
                </c:pt>
                <c:pt idx="64">
                  <c:v>-12</c:v>
                </c:pt>
                <c:pt idx="65">
                  <c:v>-23.554734780566797</c:v>
                </c:pt>
                <c:pt idx="66">
                  <c:v>4.666666666666667</c:v>
                </c:pt>
                <c:pt idx="67">
                  <c:v>-6.1877185053343773</c:v>
                </c:pt>
                <c:pt idx="68">
                  <c:v>15.517506829265256</c:v>
                </c:pt>
                <c:pt idx="69">
                  <c:v>12</c:v>
                </c:pt>
                <c:pt idx="70">
                  <c:v>-12</c:v>
                </c:pt>
                <c:pt idx="71">
                  <c:v>-22.380163934182676</c:v>
                </c:pt>
                <c:pt idx="72">
                  <c:v>7</c:v>
                </c:pt>
                <c:pt idx="73">
                  <c:v>-4.3000630515963358</c:v>
                </c:pt>
                <c:pt idx="74">
                  <c:v>16.777941702150098</c:v>
                </c:pt>
                <c:pt idx="75">
                  <c:v>12</c:v>
                </c:pt>
                <c:pt idx="76">
                  <c:v>-12</c:v>
                </c:pt>
                <c:pt idx="77">
                  <c:v>-21.078840109892809</c:v>
                </c:pt>
                <c:pt idx="78">
                  <c:v>9.3333333333333339</c:v>
                </c:pt>
                <c:pt idx="79">
                  <c:v>-2.3636564525099644</c:v>
                </c:pt>
                <c:pt idx="80">
                  <c:v>17.987756355580007</c:v>
                </c:pt>
                <c:pt idx="81">
                  <c:v>12</c:v>
                </c:pt>
                <c:pt idx="82">
                  <c:v>-12</c:v>
                </c:pt>
                <c:pt idx="83">
                  <c:v>-19.642597335724307</c:v>
                </c:pt>
                <c:pt idx="84">
                  <c:v>11.666666666666668</c:v>
                </c:pt>
                <c:pt idx="85">
                  <c:v>-0.37535794962416702</c:v>
                </c:pt>
                <c:pt idx="86">
                  <c:v>19.149459663035739</c:v>
                </c:pt>
                <c:pt idx="87">
                  <c:v>12</c:v>
                </c:pt>
                <c:pt idx="88">
                  <c:v>-12</c:v>
                </c:pt>
                <c:pt idx="89">
                  <c:v>-30.376282653093735</c:v>
                </c:pt>
                <c:pt idx="90">
                  <c:v>14.000000000000002</c:v>
                </c:pt>
                <c:pt idx="91">
                  <c:v>-3.0678010204149508</c:v>
                </c:pt>
                <c:pt idx="92">
                  <c:v>26.896999319700733</c:v>
                </c:pt>
                <c:pt idx="93">
                  <c:v>12</c:v>
                </c:pt>
                <c:pt idx="94">
                  <c:v>-12</c:v>
                </c:pt>
                <c:pt idx="95">
                  <c:v>-24.879281862192261</c:v>
                </c:pt>
                <c:pt idx="96">
                  <c:v>25</c:v>
                </c:pt>
                <c:pt idx="97">
                  <c:v>5.8156608222448263</c:v>
                </c:pt>
                <c:pt idx="98">
                  <c:v>31.34962606454722</c:v>
                </c:pt>
                <c:pt idx="99">
                  <c:v>12</c:v>
                </c:pt>
                <c:pt idx="100">
                  <c:v>-12</c:v>
                </c:pt>
                <c:pt idx="101">
                  <c:v>-23.375716830330454</c:v>
                </c:pt>
                <c:pt idx="102">
                  <c:v>0</c:v>
                </c:pt>
                <c:pt idx="103">
                  <c:v>-8.9906603193697858</c:v>
                </c:pt>
                <c:pt idx="104">
                  <c:v>22.648032351271631</c:v>
                </c:pt>
                <c:pt idx="105">
                  <c:v>12</c:v>
                </c:pt>
                <c:pt idx="106">
                  <c:v>-12</c:v>
                </c:pt>
                <c:pt idx="107">
                  <c:v>-10.52880704336475</c:v>
                </c:pt>
                <c:pt idx="108">
                  <c:v>-25</c:v>
                </c:pt>
                <c:pt idx="109">
                  <c:v>-19.434156555154736</c:v>
                </c:pt>
                <c:pt idx="110">
                  <c:v>20.32293673094285</c:v>
                </c:pt>
                <c:pt idx="111">
                  <c:v>12</c:v>
                </c:pt>
                <c:pt idx="112">
                  <c:v>60</c:v>
                </c:pt>
                <c:pt idx="113">
                  <c:v>59.977621104822219</c:v>
                </c:pt>
                <c:pt idx="114">
                  <c:v>59.910498330815244</c:v>
                </c:pt>
                <c:pt idx="115">
                  <c:v>59.7986734039103</c:v>
                </c:pt>
                <c:pt idx="116">
                  <c:v>59.642215838505066</c:v>
                </c:pt>
                <c:pt idx="117">
                  <c:v>59.441222894251112</c:v>
                </c:pt>
                <c:pt idx="118">
                  <c:v>59.195819515593755</c:v>
                </c:pt>
                <c:pt idx="119">
                  <c:v>58.906158254102053</c:v>
                </c:pt>
                <c:pt idx="120">
                  <c:v>58.572419173637371</c:v>
                </c:pt>
                <c:pt idx="121">
                  <c:v>58.19480973841911</c:v>
                </c:pt>
                <c:pt idx="122">
                  <c:v>57.77356468405749</c:v>
                </c:pt>
                <c:pt idx="123">
                  <c:v>57.308945871633512</c:v>
                </c:pt>
                <c:pt idx="124">
                  <c:v>56.801242124916655</c:v>
                </c:pt>
                <c:pt idx="125">
                  <c:v>56.250769050821617</c:v>
                </c:pt>
                <c:pt idx="126">
                  <c:v>55.657868843215709</c:v>
                </c:pt>
                <c:pt idx="127">
                  <c:v>55.022910070198847</c:v>
                </c:pt>
                <c:pt idx="128">
                  <c:v>54.346287444988349</c:v>
                </c:pt>
                <c:pt idx="129">
                  <c:v>53.628421580551006</c:v>
                </c:pt>
                <c:pt idx="130">
                  <c:v>52.869758728134926</c:v>
                </c:pt>
                <c:pt idx="131">
                  <c:v>52.070770499863713</c:v>
                </c:pt>
                <c:pt idx="132">
                  <c:v>51.231953575565385</c:v>
                </c:pt>
                <c:pt idx="133">
                  <c:v>50.353829394018334</c:v>
                </c:pt>
                <c:pt idx="134">
                  <c:v>49.436943828806236</c:v>
                </c:pt>
                <c:pt idx="135">
                  <c:v>48.481866848983351</c:v>
                </c:pt>
                <c:pt idx="136">
                  <c:v>47.489192164761299</c:v>
                </c:pt>
                <c:pt idx="137">
                  <c:v>46.45953685843741</c:v>
                </c:pt>
                <c:pt idx="138">
                  <c:v>45.39354100079418</c:v>
                </c:pt>
                <c:pt idx="139">
                  <c:v>44.29186725320821</c:v>
                </c:pt>
                <c:pt idx="140">
                  <c:v>43.155200455716098</c:v>
                </c:pt>
                <c:pt idx="141">
                  <c:v>41.984247201293201</c:v>
                </c:pt>
                <c:pt idx="142">
                  <c:v>40.779735396610057</c:v>
                </c:pt>
                <c:pt idx="143">
                  <c:v>39.542413809539362</c:v>
                </c:pt>
                <c:pt idx="144">
                  <c:v>38.27305160369496</c:v>
                </c:pt>
                <c:pt idx="145">
                  <c:v>36.97243786029204</c:v>
                </c:pt>
                <c:pt idx="146">
                  <c:v>35.641381087625909</c:v>
                </c:pt>
                <c:pt idx="147">
                  <c:v>34.280708718474088</c:v>
                </c:pt>
                <c:pt idx="148">
                  <c:v>32.891266595734379</c:v>
                </c:pt>
                <c:pt idx="149">
                  <c:v>31.473918446618441</c:v>
                </c:pt>
                <c:pt idx="150">
                  <c:v>30.029545345727961</c:v>
                </c:pt>
                <c:pt idx="151">
                  <c:v>28.559045167346859</c:v>
                </c:pt>
                <c:pt idx="152">
                  <c:v>27.063332027290457</c:v>
                </c:pt>
                <c:pt idx="153">
                  <c:v>25.54333571465812</c:v>
                </c:pt>
                <c:pt idx="154">
                  <c:v>24.00000111384292</c:v>
                </c:pt>
                <c:pt idx="155">
                  <c:v>22.434287617157558</c:v>
                </c:pt>
                <c:pt idx="156">
                  <c:v>20.847168528441451</c:v>
                </c:pt>
                <c:pt idx="157">
                  <c:v>19.239630458020226</c:v>
                </c:pt>
                <c:pt idx="158">
                  <c:v>17.612672709393095</c:v>
                </c:pt>
                <c:pt idx="159">
                  <c:v>15.967306658029923</c:v>
                </c:pt>
                <c:pt idx="160">
                  <c:v>14.304555122663807</c:v>
                </c:pt>
                <c:pt idx="161">
                  <c:v>12.625451729470267</c:v>
                </c:pt>
                <c:pt idx="162">
                  <c:v>10.931040269527855</c:v>
                </c:pt>
                <c:pt idx="163">
                  <c:v>9.2223740499601874</c:v>
                </c:pt>
                <c:pt idx="164">
                  <c:v>7.50051523916229</c:v>
                </c:pt>
                <c:pt idx="165">
                  <c:v>5.7665342065185783</c:v>
                </c:pt>
                <c:pt idx="166">
                  <c:v>4.0215088570226385</c:v>
                </c:pt>
                <c:pt idx="167">
                  <c:v>2.2665239612127621</c:v>
                </c:pt>
                <c:pt idx="168">
                  <c:v>0.50267048083958699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2.8515696384297637</c:v>
                </c:pt>
                <c:pt idx="177">
                  <c:v>1.9753111994832171</c:v>
                </c:pt>
                <c:pt idx="178">
                  <c:v>0.92563316887902047</c:v>
                </c:pt>
                <c:pt idx="179">
                  <c:v>-0.21601377837397351</c:v>
                </c:pt>
                <c:pt idx="180">
                  <c:v>-1.4157664759720063</c:v>
                </c:pt>
                <c:pt idx="181">
                  <c:v>-2.6556123420946562</c:v>
                </c:pt>
                <c:pt idx="182">
                  <c:v>-3.9245681685754725</c:v>
                </c:pt>
                <c:pt idx="183">
                  <c:v>-5.2153144569239593</c:v>
                </c:pt>
                <c:pt idx="184">
                  <c:v>-6.5226550874579061</c:v>
                </c:pt>
                <c:pt idx="185">
                  <c:v>-7.8427215966531474</c:v>
                </c:pt>
                <c:pt idx="186">
                  <c:v>-9.1725245020797033</c:v>
                </c:pt>
                <c:pt idx="187">
                  <c:v>-10.509682805443534</c:v>
                </c:pt>
                <c:pt idx="188">
                  <c:v>-11.852251962601201</c:v>
                </c:pt>
                <c:pt idx="189">
                  <c:v>-13.198609507350314</c:v>
                </c:pt>
                <c:pt idx="190">
                  <c:v>-14.547376030315508</c:v>
                </c:pt>
                <c:pt idx="191">
                  <c:v>-15.897358663204308</c:v>
                </c:pt>
                <c:pt idx="192">
                  <c:v>-17.247509325359044</c:v>
                </c:pt>
                <c:pt idx="193">
                  <c:v>-18.596892885306229</c:v>
                </c:pt>
                <c:pt idx="194">
                  <c:v>-19.944662101015112</c:v>
                </c:pt>
                <c:pt idx="195">
                  <c:v>-21.290037250525245</c:v>
                </c:pt>
                <c:pt idx="196">
                  <c:v>-22.632289027455251</c:v>
                </c:pt>
                <c:pt idx="197">
                  <c:v>-23.97072370792359</c:v>
                </c:pt>
                <c:pt idx="198">
                  <c:v>-25.30466988534544</c:v>
                </c:pt>
                <c:pt idx="199">
                  <c:v>-26.633466270137497</c:v>
                </c:pt>
                <c:pt idx="200">
                  <c:v>-27.956450194805811</c:v>
                </c:pt>
                <c:pt idx="201">
                  <c:v>-29.272946571435931</c:v>
                </c:pt>
                <c:pt idx="202">
                  <c:v>-30.582257131227855</c:v>
                </c:pt>
                <c:pt idx="203">
                  <c:v>-31.883649842884822</c:v>
                </c:pt>
                <c:pt idx="204">
                  <c:v>-33.176348463939625</c:v>
                </c:pt>
                <c:pt idx="205">
                  <c:v>-34.459522230103559</c:v>
                </c:pt>
                <c:pt idx="206">
                  <c:v>-35.732275734705851</c:v>
                </c:pt>
                <c:pt idx="207">
                  <c:v>-36.99363909448315</c:v>
                </c:pt>
                <c:pt idx="208">
                  <c:v>-38.242558539797471</c:v>
                </c:pt>
                <c:pt idx="209">
                  <c:v>-39.477887606536221</c:v>
                </c:pt>
                <c:pt idx="210">
                  <c:v>-40.698379142616446</c:v>
                </c:pt>
                <c:pt idx="211">
                  <c:v>-41.902678372794895</c:v>
                </c:pt>
                <c:pt idx="212">
                  <c:v>-43.089317289558807</c:v>
                </c:pt>
                <c:pt idx="213">
                  <c:v>-44.25671065311036</c:v>
                </c:pt>
                <c:pt idx="214">
                  <c:v>-45.403153887555582</c:v>
                </c:pt>
                <c:pt idx="215">
                  <c:v>-46.526823151096757</c:v>
                </c:pt>
                <c:pt idx="216">
                  <c:v>-47.625777833297384</c:v>
                </c:pt>
                <c:pt idx="217">
                  <c:v>-48.697965690882285</c:v>
                </c:pt>
                <c:pt idx="218">
                  <c:v>-49.741230774414589</c:v>
                </c:pt>
                <c:pt idx="219">
                  <c:v>-50.753324222038465</c:v>
                </c:pt>
                <c:pt idx="220">
                  <c:v>-51.731917905092047</c:v>
                </c:pt>
                <c:pt idx="221">
                  <c:v>-52.674620807053785</c:v>
                </c:pt>
                <c:pt idx="222">
                  <c:v>-53.578997906712083</c:v>
                </c:pt>
                <c:pt idx="223">
                  <c:v>-54.442591224662408</c:v>
                </c:pt>
                <c:pt idx="224">
                  <c:v>-55.262942586197084</c:v>
                </c:pt>
                <c:pt idx="225">
                  <c:v>-56.037617560739605</c:v>
                </c:pt>
                <c:pt idx="226">
                  <c:v>-56.764229965340405</c:v>
                </c:pt>
                <c:pt idx="227">
                  <c:v>-57.440466273599569</c:v>
                </c:pt>
                <c:pt idx="228">
                  <c:v>-58.064109256288212</c:v>
                </c:pt>
                <c:pt idx="229">
                  <c:v>-58.633060198267984</c:v>
                </c:pt>
                <c:pt idx="230">
                  <c:v>-59.145359087855262</c:v>
                </c:pt>
                <c:pt idx="231">
                  <c:v>-59.599202256688159</c:v>
                </c:pt>
                <c:pt idx="232">
                  <c:v>-59.992957055132891</c:v>
                </c:pt>
                <c:pt idx="233">
                  <c:v>-60.325173273076174</c:v>
                </c:pt>
                <c:pt idx="234">
                  <c:v>-60.594591150128096</c:v>
                </c:pt>
                <c:pt idx="235">
                  <c:v>-60.800145953957085</c:v>
                </c:pt>
                <c:pt idx="236">
                  <c:v>-60.940969232303956</c:v>
                </c:pt>
                <c:pt idx="237">
                  <c:v>-61.016386955989681</c:v>
                </c:pt>
                <c:pt idx="238">
                  <c:v>-61.025914861512376</c:v>
                </c:pt>
                <c:pt idx="239">
                  <c:v>-60.969251369261414</c:v>
                </c:pt>
              </c:numCache>
            </c:numRef>
          </c:xVal>
          <c:yVal>
            <c:numRef>
              <c:f>CALC60!$BF$6:$BF$581</c:f>
              <c:numCache>
                <c:formatCode>General</c:formatCode>
                <c:ptCount val="576"/>
                <c:pt idx="46">
                  <c:v>0</c:v>
                </c:pt>
                <c:pt idx="47">
                  <c:v>13.89611733977185</c:v>
                </c:pt>
                <c:pt idx="48">
                  <c:v>60</c:v>
                </c:pt>
                <c:pt idx="49">
                  <c:v>42.267737438384209</c:v>
                </c:pt>
                <c:pt idx="50">
                  <c:v>19.990660046774693</c:v>
                </c:pt>
                <c:pt idx="51">
                  <c:v>0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CALC60!$BG$5</c:f>
              <c:strCache>
                <c:ptCount val="1"/>
                <c:pt idx="0">
                  <c:v>R6</c:v>
                </c:pt>
              </c:strCache>
            </c:strRef>
          </c:tx>
          <c:xVal>
            <c:numRef>
              <c:f>CALC60!$AY$6:$AY$581</c:f>
              <c:numCache>
                <c:formatCode>General</c:formatCode>
                <c:ptCount val="576"/>
                <c:pt idx="0">
                  <c:v>-19.833506546880365</c:v>
                </c:pt>
                <c:pt idx="1">
                  <c:v>-18.245852614565919</c:v>
                </c:pt>
                <c:pt idx="2">
                  <c:v>-16.629666681765414</c:v>
                </c:pt>
                <c:pt idx="3">
                  <c:v>-14.98231154257417</c:v>
                </c:pt>
                <c:pt idx="4">
                  <c:v>-13.301143585556035</c:v>
                </c:pt>
                <c:pt idx="5">
                  <c:v>-11.583569246398675</c:v>
                </c:pt>
                <c:pt idx="6">
                  <c:v>-9.8270793278644781</c:v>
                </c:pt>
                <c:pt idx="7">
                  <c:v>-8.029252658232803</c:v>
                </c:pt>
                <c:pt idx="8">
                  <c:v>-6.1877185053343773</c:v>
                </c:pt>
                <c:pt idx="9">
                  <c:v>-4.3000630515963358</c:v>
                </c:pt>
                <c:pt idx="10">
                  <c:v>-2.3636564525099644</c:v>
                </c:pt>
                <c:pt idx="11">
                  <c:v>-0.37535794962416702</c:v>
                </c:pt>
                <c:pt idx="12">
                  <c:v>-3.0678010204149508</c:v>
                </c:pt>
                <c:pt idx="13">
                  <c:v>5.8156608222448263</c:v>
                </c:pt>
                <c:pt idx="14">
                  <c:v>-8.9906603193697858</c:v>
                </c:pt>
                <c:pt idx="15">
                  <c:v>-19.434156555154736</c:v>
                </c:pt>
                <c:pt idx="16">
                  <c:v>-12</c:v>
                </c:pt>
                <c:pt idx="17">
                  <c:v>-29.167117021908272</c:v>
                </c:pt>
                <c:pt idx="18">
                  <c:v>-14</c:v>
                </c:pt>
                <c:pt idx="19">
                  <c:v>-19.833506546880365</c:v>
                </c:pt>
                <c:pt idx="20">
                  <c:v>1.5130248501190131</c:v>
                </c:pt>
                <c:pt idx="21">
                  <c:v>12</c:v>
                </c:pt>
                <c:pt idx="22">
                  <c:v>-12</c:v>
                </c:pt>
                <c:pt idx="23">
                  <c:v>-28.772550131225248</c:v>
                </c:pt>
                <c:pt idx="24">
                  <c:v>-11.666666666666666</c:v>
                </c:pt>
                <c:pt idx="25">
                  <c:v>-18.245852614565919</c:v>
                </c:pt>
                <c:pt idx="26">
                  <c:v>4.3925078710812571</c:v>
                </c:pt>
                <c:pt idx="27">
                  <c:v>12</c:v>
                </c:pt>
                <c:pt idx="28">
                  <c:v>-12</c:v>
                </c:pt>
                <c:pt idx="29">
                  <c:v>-28.303800039278563</c:v>
                </c:pt>
                <c:pt idx="30">
                  <c:v>-9.3333333333333321</c:v>
                </c:pt>
                <c:pt idx="31">
                  <c:v>-16.629666681765414</c:v>
                </c:pt>
                <c:pt idx="32">
                  <c:v>6.4527131206909987</c:v>
                </c:pt>
                <c:pt idx="33">
                  <c:v>12</c:v>
                </c:pt>
                <c:pt idx="34">
                  <c:v>-12</c:v>
                </c:pt>
                <c:pt idx="35">
                  <c:v>-27.754010010716058</c:v>
                </c:pt>
                <c:pt idx="36">
                  <c:v>-6.9999999999999982</c:v>
                </c:pt>
                <c:pt idx="37">
                  <c:v>-14.98231154257417</c:v>
                </c:pt>
                <c:pt idx="38">
                  <c:v>8.2375052570320868</c:v>
                </c:pt>
                <c:pt idx="39">
                  <c:v>12</c:v>
                </c:pt>
                <c:pt idx="40">
                  <c:v>-12</c:v>
                </c:pt>
                <c:pt idx="41">
                  <c:v>-27.116306655803694</c:v>
                </c:pt>
                <c:pt idx="42">
                  <c:v>-4.6666666666666643</c:v>
                </c:pt>
                <c:pt idx="43">
                  <c:v>-13.301143585556035</c:v>
                </c:pt>
                <c:pt idx="44">
                  <c:v>9.8664661885771885</c:v>
                </c:pt>
                <c:pt idx="45">
                  <c:v>12</c:v>
                </c:pt>
                <c:pt idx="46">
                  <c:v>-12</c:v>
                </c:pt>
                <c:pt idx="47">
                  <c:v>-26.383946707329393</c:v>
                </c:pt>
                <c:pt idx="48">
                  <c:v>-2.3333333333333308</c:v>
                </c:pt>
                <c:pt idx="49">
                  <c:v>-11.583569246398675</c:v>
                </c:pt>
                <c:pt idx="50">
                  <c:v>11.388844623449907</c:v>
                </c:pt>
                <c:pt idx="51">
                  <c:v>12</c:v>
                </c:pt>
                <c:pt idx="52">
                  <c:v>-12</c:v>
                </c:pt>
                <c:pt idx="53">
                  <c:v>-25.550406252475348</c:v>
                </c:pt>
                <c:pt idx="54">
                  <c:v>0</c:v>
                </c:pt>
                <c:pt idx="55">
                  <c:v>-9.8270793278644781</c:v>
                </c:pt>
                <c:pt idx="56">
                  <c:v>12.829698097369761</c:v>
                </c:pt>
                <c:pt idx="57">
                  <c:v>12</c:v>
                </c:pt>
                <c:pt idx="58">
                  <c:v>-12</c:v>
                </c:pt>
                <c:pt idx="59">
                  <c:v>-24.609390244767855</c:v>
                </c:pt>
                <c:pt idx="60">
                  <c:v>2.3333333333333335</c:v>
                </c:pt>
                <c:pt idx="61">
                  <c:v>-8.029252658232803</c:v>
                </c:pt>
                <c:pt idx="62">
                  <c:v>14.203132463376605</c:v>
                </c:pt>
                <c:pt idx="63">
                  <c:v>12</c:v>
                </c:pt>
                <c:pt idx="64">
                  <c:v>-12</c:v>
                </c:pt>
                <c:pt idx="65">
                  <c:v>-23.554734780566797</c:v>
                </c:pt>
                <c:pt idx="66">
                  <c:v>4.666666666666667</c:v>
                </c:pt>
                <c:pt idx="67">
                  <c:v>-6.1877185053343773</c:v>
                </c:pt>
                <c:pt idx="68">
                  <c:v>15.517506829265256</c:v>
                </c:pt>
                <c:pt idx="69">
                  <c:v>12</c:v>
                </c:pt>
                <c:pt idx="70">
                  <c:v>-12</c:v>
                </c:pt>
                <c:pt idx="71">
                  <c:v>-22.380163934182676</c:v>
                </c:pt>
                <c:pt idx="72">
                  <c:v>7</c:v>
                </c:pt>
                <c:pt idx="73">
                  <c:v>-4.3000630515963358</c:v>
                </c:pt>
                <c:pt idx="74">
                  <c:v>16.777941702150098</c:v>
                </c:pt>
                <c:pt idx="75">
                  <c:v>12</c:v>
                </c:pt>
                <c:pt idx="76">
                  <c:v>-12</c:v>
                </c:pt>
                <c:pt idx="77">
                  <c:v>-21.078840109892809</c:v>
                </c:pt>
                <c:pt idx="78">
                  <c:v>9.3333333333333339</c:v>
                </c:pt>
                <c:pt idx="79">
                  <c:v>-2.3636564525099644</c:v>
                </c:pt>
                <c:pt idx="80">
                  <c:v>17.987756355580007</c:v>
                </c:pt>
                <c:pt idx="81">
                  <c:v>12</c:v>
                </c:pt>
                <c:pt idx="82">
                  <c:v>-12</c:v>
                </c:pt>
                <c:pt idx="83">
                  <c:v>-19.642597335724307</c:v>
                </c:pt>
                <c:pt idx="84">
                  <c:v>11.666666666666668</c:v>
                </c:pt>
                <c:pt idx="85">
                  <c:v>-0.37535794962416702</c:v>
                </c:pt>
                <c:pt idx="86">
                  <c:v>19.149459663035739</c:v>
                </c:pt>
                <c:pt idx="87">
                  <c:v>12</c:v>
                </c:pt>
                <c:pt idx="88">
                  <c:v>-12</c:v>
                </c:pt>
                <c:pt idx="89">
                  <c:v>-30.376282653093735</c:v>
                </c:pt>
                <c:pt idx="90">
                  <c:v>14.000000000000002</c:v>
                </c:pt>
                <c:pt idx="91">
                  <c:v>-3.0678010204149508</c:v>
                </c:pt>
                <c:pt idx="92">
                  <c:v>26.896999319700733</c:v>
                </c:pt>
                <c:pt idx="93">
                  <c:v>12</c:v>
                </c:pt>
                <c:pt idx="94">
                  <c:v>-12</c:v>
                </c:pt>
                <c:pt idx="95">
                  <c:v>-24.879281862192261</c:v>
                </c:pt>
                <c:pt idx="96">
                  <c:v>25</c:v>
                </c:pt>
                <c:pt idx="97">
                  <c:v>5.8156608222448263</c:v>
                </c:pt>
                <c:pt idx="98">
                  <c:v>31.34962606454722</c:v>
                </c:pt>
                <c:pt idx="99">
                  <c:v>12</c:v>
                </c:pt>
                <c:pt idx="100">
                  <c:v>-12</c:v>
                </c:pt>
                <c:pt idx="101">
                  <c:v>-23.375716830330454</c:v>
                </c:pt>
                <c:pt idx="102">
                  <c:v>0</c:v>
                </c:pt>
                <c:pt idx="103">
                  <c:v>-8.9906603193697858</c:v>
                </c:pt>
                <c:pt idx="104">
                  <c:v>22.648032351271631</c:v>
                </c:pt>
                <c:pt idx="105">
                  <c:v>12</c:v>
                </c:pt>
                <c:pt idx="106">
                  <c:v>-12</c:v>
                </c:pt>
                <c:pt idx="107">
                  <c:v>-10.52880704336475</c:v>
                </c:pt>
                <c:pt idx="108">
                  <c:v>-25</c:v>
                </c:pt>
                <c:pt idx="109">
                  <c:v>-19.434156555154736</c:v>
                </c:pt>
                <c:pt idx="110">
                  <c:v>20.32293673094285</c:v>
                </c:pt>
                <c:pt idx="111">
                  <c:v>12</c:v>
                </c:pt>
                <c:pt idx="112">
                  <c:v>60</c:v>
                </c:pt>
                <c:pt idx="113">
                  <c:v>59.977621104822219</c:v>
                </c:pt>
                <c:pt idx="114">
                  <c:v>59.910498330815244</c:v>
                </c:pt>
                <c:pt idx="115">
                  <c:v>59.7986734039103</c:v>
                </c:pt>
                <c:pt idx="116">
                  <c:v>59.642215838505066</c:v>
                </c:pt>
                <c:pt idx="117">
                  <c:v>59.441222894251112</c:v>
                </c:pt>
                <c:pt idx="118">
                  <c:v>59.195819515593755</c:v>
                </c:pt>
                <c:pt idx="119">
                  <c:v>58.906158254102053</c:v>
                </c:pt>
                <c:pt idx="120">
                  <c:v>58.572419173637371</c:v>
                </c:pt>
                <c:pt idx="121">
                  <c:v>58.19480973841911</c:v>
                </c:pt>
                <c:pt idx="122">
                  <c:v>57.77356468405749</c:v>
                </c:pt>
                <c:pt idx="123">
                  <c:v>57.308945871633512</c:v>
                </c:pt>
                <c:pt idx="124">
                  <c:v>56.801242124916655</c:v>
                </c:pt>
                <c:pt idx="125">
                  <c:v>56.250769050821617</c:v>
                </c:pt>
                <c:pt idx="126">
                  <c:v>55.657868843215709</c:v>
                </c:pt>
                <c:pt idx="127">
                  <c:v>55.022910070198847</c:v>
                </c:pt>
                <c:pt idx="128">
                  <c:v>54.346287444988349</c:v>
                </c:pt>
                <c:pt idx="129">
                  <c:v>53.628421580551006</c:v>
                </c:pt>
                <c:pt idx="130">
                  <c:v>52.869758728134926</c:v>
                </c:pt>
                <c:pt idx="131">
                  <c:v>52.070770499863713</c:v>
                </c:pt>
                <c:pt idx="132">
                  <c:v>51.231953575565385</c:v>
                </c:pt>
                <c:pt idx="133">
                  <c:v>50.353829394018334</c:v>
                </c:pt>
                <c:pt idx="134">
                  <c:v>49.436943828806236</c:v>
                </c:pt>
                <c:pt idx="135">
                  <c:v>48.481866848983351</c:v>
                </c:pt>
                <c:pt idx="136">
                  <c:v>47.489192164761299</c:v>
                </c:pt>
                <c:pt idx="137">
                  <c:v>46.45953685843741</c:v>
                </c:pt>
                <c:pt idx="138">
                  <c:v>45.39354100079418</c:v>
                </c:pt>
                <c:pt idx="139">
                  <c:v>44.29186725320821</c:v>
                </c:pt>
                <c:pt idx="140">
                  <c:v>43.155200455716098</c:v>
                </c:pt>
                <c:pt idx="141">
                  <c:v>41.984247201293201</c:v>
                </c:pt>
                <c:pt idx="142">
                  <c:v>40.779735396610057</c:v>
                </c:pt>
                <c:pt idx="143">
                  <c:v>39.542413809539362</c:v>
                </c:pt>
                <c:pt idx="144">
                  <c:v>38.27305160369496</c:v>
                </c:pt>
                <c:pt idx="145">
                  <c:v>36.97243786029204</c:v>
                </c:pt>
                <c:pt idx="146">
                  <c:v>35.641381087625909</c:v>
                </c:pt>
                <c:pt idx="147">
                  <c:v>34.280708718474088</c:v>
                </c:pt>
                <c:pt idx="148">
                  <c:v>32.891266595734379</c:v>
                </c:pt>
                <c:pt idx="149">
                  <c:v>31.473918446618441</c:v>
                </c:pt>
                <c:pt idx="150">
                  <c:v>30.029545345727961</c:v>
                </c:pt>
                <c:pt idx="151">
                  <c:v>28.559045167346859</c:v>
                </c:pt>
                <c:pt idx="152">
                  <c:v>27.063332027290457</c:v>
                </c:pt>
                <c:pt idx="153">
                  <c:v>25.54333571465812</c:v>
                </c:pt>
                <c:pt idx="154">
                  <c:v>24.00000111384292</c:v>
                </c:pt>
                <c:pt idx="155">
                  <c:v>22.434287617157558</c:v>
                </c:pt>
                <c:pt idx="156">
                  <c:v>20.847168528441451</c:v>
                </c:pt>
                <c:pt idx="157">
                  <c:v>19.239630458020226</c:v>
                </c:pt>
                <c:pt idx="158">
                  <c:v>17.612672709393095</c:v>
                </c:pt>
                <c:pt idx="159">
                  <c:v>15.967306658029923</c:v>
                </c:pt>
                <c:pt idx="160">
                  <c:v>14.304555122663807</c:v>
                </c:pt>
                <c:pt idx="161">
                  <c:v>12.625451729470267</c:v>
                </c:pt>
                <c:pt idx="162">
                  <c:v>10.931040269527855</c:v>
                </c:pt>
                <c:pt idx="163">
                  <c:v>9.2223740499601874</c:v>
                </c:pt>
                <c:pt idx="164">
                  <c:v>7.50051523916229</c:v>
                </c:pt>
                <c:pt idx="165">
                  <c:v>5.7665342065185783</c:v>
                </c:pt>
                <c:pt idx="166">
                  <c:v>4.0215088570226385</c:v>
                </c:pt>
                <c:pt idx="167">
                  <c:v>2.2665239612127621</c:v>
                </c:pt>
                <c:pt idx="168">
                  <c:v>0.50267048083958699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2.8515696384297637</c:v>
                </c:pt>
                <c:pt idx="177">
                  <c:v>1.9753111994832171</c:v>
                </c:pt>
                <c:pt idx="178">
                  <c:v>0.92563316887902047</c:v>
                </c:pt>
                <c:pt idx="179">
                  <c:v>-0.21601377837397351</c:v>
                </c:pt>
                <c:pt idx="180">
                  <c:v>-1.4157664759720063</c:v>
                </c:pt>
                <c:pt idx="181">
                  <c:v>-2.6556123420946562</c:v>
                </c:pt>
                <c:pt idx="182">
                  <c:v>-3.9245681685754725</c:v>
                </c:pt>
                <c:pt idx="183">
                  <c:v>-5.2153144569239593</c:v>
                </c:pt>
                <c:pt idx="184">
                  <c:v>-6.5226550874579061</c:v>
                </c:pt>
                <c:pt idx="185">
                  <c:v>-7.8427215966531474</c:v>
                </c:pt>
                <c:pt idx="186">
                  <c:v>-9.1725245020797033</c:v>
                </c:pt>
                <c:pt idx="187">
                  <c:v>-10.509682805443534</c:v>
                </c:pt>
                <c:pt idx="188">
                  <c:v>-11.852251962601201</c:v>
                </c:pt>
                <c:pt idx="189">
                  <c:v>-13.198609507350314</c:v>
                </c:pt>
                <c:pt idx="190">
                  <c:v>-14.547376030315508</c:v>
                </c:pt>
                <c:pt idx="191">
                  <c:v>-15.897358663204308</c:v>
                </c:pt>
                <c:pt idx="192">
                  <c:v>-17.247509325359044</c:v>
                </c:pt>
                <c:pt idx="193">
                  <c:v>-18.596892885306229</c:v>
                </c:pt>
                <c:pt idx="194">
                  <c:v>-19.944662101015112</c:v>
                </c:pt>
                <c:pt idx="195">
                  <c:v>-21.290037250525245</c:v>
                </c:pt>
                <c:pt idx="196">
                  <c:v>-22.632289027455251</c:v>
                </c:pt>
                <c:pt idx="197">
                  <c:v>-23.97072370792359</c:v>
                </c:pt>
                <c:pt idx="198">
                  <c:v>-25.30466988534544</c:v>
                </c:pt>
                <c:pt idx="199">
                  <c:v>-26.633466270137497</c:v>
                </c:pt>
                <c:pt idx="200">
                  <c:v>-27.956450194805811</c:v>
                </c:pt>
                <c:pt idx="201">
                  <c:v>-29.272946571435931</c:v>
                </c:pt>
                <c:pt idx="202">
                  <c:v>-30.582257131227855</c:v>
                </c:pt>
                <c:pt idx="203">
                  <c:v>-31.883649842884822</c:v>
                </c:pt>
                <c:pt idx="204">
                  <c:v>-33.176348463939625</c:v>
                </c:pt>
                <c:pt idx="205">
                  <c:v>-34.459522230103559</c:v>
                </c:pt>
                <c:pt idx="206">
                  <c:v>-35.732275734705851</c:v>
                </c:pt>
                <c:pt idx="207">
                  <c:v>-36.99363909448315</c:v>
                </c:pt>
                <c:pt idx="208">
                  <c:v>-38.242558539797471</c:v>
                </c:pt>
                <c:pt idx="209">
                  <c:v>-39.477887606536221</c:v>
                </c:pt>
                <c:pt idx="210">
                  <c:v>-40.698379142616446</c:v>
                </c:pt>
                <c:pt idx="211">
                  <c:v>-41.902678372794895</c:v>
                </c:pt>
                <c:pt idx="212">
                  <c:v>-43.089317289558807</c:v>
                </c:pt>
                <c:pt idx="213">
                  <c:v>-44.25671065311036</c:v>
                </c:pt>
                <c:pt idx="214">
                  <c:v>-45.403153887555582</c:v>
                </c:pt>
                <c:pt idx="215">
                  <c:v>-46.526823151096757</c:v>
                </c:pt>
                <c:pt idx="216">
                  <c:v>-47.625777833297384</c:v>
                </c:pt>
                <c:pt idx="217">
                  <c:v>-48.697965690882285</c:v>
                </c:pt>
                <c:pt idx="218">
                  <c:v>-49.741230774414589</c:v>
                </c:pt>
                <c:pt idx="219">
                  <c:v>-50.753324222038465</c:v>
                </c:pt>
                <c:pt idx="220">
                  <c:v>-51.731917905092047</c:v>
                </c:pt>
                <c:pt idx="221">
                  <c:v>-52.674620807053785</c:v>
                </c:pt>
                <c:pt idx="222">
                  <c:v>-53.578997906712083</c:v>
                </c:pt>
                <c:pt idx="223">
                  <c:v>-54.442591224662408</c:v>
                </c:pt>
                <c:pt idx="224">
                  <c:v>-55.262942586197084</c:v>
                </c:pt>
                <c:pt idx="225">
                  <c:v>-56.037617560739605</c:v>
                </c:pt>
                <c:pt idx="226">
                  <c:v>-56.764229965340405</c:v>
                </c:pt>
                <c:pt idx="227">
                  <c:v>-57.440466273599569</c:v>
                </c:pt>
                <c:pt idx="228">
                  <c:v>-58.064109256288212</c:v>
                </c:pt>
                <c:pt idx="229">
                  <c:v>-58.633060198267984</c:v>
                </c:pt>
                <c:pt idx="230">
                  <c:v>-59.145359087855262</c:v>
                </c:pt>
                <c:pt idx="231">
                  <c:v>-59.599202256688159</c:v>
                </c:pt>
                <c:pt idx="232">
                  <c:v>-59.992957055132891</c:v>
                </c:pt>
                <c:pt idx="233">
                  <c:v>-60.325173273076174</c:v>
                </c:pt>
                <c:pt idx="234">
                  <c:v>-60.594591150128096</c:v>
                </c:pt>
                <c:pt idx="235">
                  <c:v>-60.800145953957085</c:v>
                </c:pt>
                <c:pt idx="236">
                  <c:v>-60.940969232303956</c:v>
                </c:pt>
                <c:pt idx="237">
                  <c:v>-61.016386955989681</c:v>
                </c:pt>
                <c:pt idx="238">
                  <c:v>-61.025914861512376</c:v>
                </c:pt>
                <c:pt idx="239">
                  <c:v>-60.969251369261414</c:v>
                </c:pt>
              </c:numCache>
            </c:numRef>
          </c:xVal>
          <c:yVal>
            <c:numRef>
              <c:f>CALC60!$BG$6:$BG$581</c:f>
              <c:numCache>
                <c:formatCode>General</c:formatCode>
                <c:ptCount val="576"/>
                <c:pt idx="52">
                  <c:v>0</c:v>
                </c:pt>
                <c:pt idx="53">
                  <c:v>14.710081250383256</c:v>
                </c:pt>
                <c:pt idx="54">
                  <c:v>60</c:v>
                </c:pt>
                <c:pt idx="55">
                  <c:v>42.580800480926449</c:v>
                </c:pt>
                <c:pt idx="56">
                  <c:v>19.982782615722492</c:v>
                </c:pt>
                <c:pt idx="57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CALC60!$BH$5</c:f>
              <c:strCache>
                <c:ptCount val="1"/>
                <c:pt idx="0">
                  <c:v>R7</c:v>
                </c:pt>
              </c:strCache>
            </c:strRef>
          </c:tx>
          <c:xVal>
            <c:numRef>
              <c:f>CALC60!$AY$6:$AY$581</c:f>
              <c:numCache>
                <c:formatCode>General</c:formatCode>
                <c:ptCount val="576"/>
                <c:pt idx="0">
                  <c:v>-19.833506546880365</c:v>
                </c:pt>
                <c:pt idx="1">
                  <c:v>-18.245852614565919</c:v>
                </c:pt>
                <c:pt idx="2">
                  <c:v>-16.629666681765414</c:v>
                </c:pt>
                <c:pt idx="3">
                  <c:v>-14.98231154257417</c:v>
                </c:pt>
                <c:pt idx="4">
                  <c:v>-13.301143585556035</c:v>
                </c:pt>
                <c:pt idx="5">
                  <c:v>-11.583569246398675</c:v>
                </c:pt>
                <c:pt idx="6">
                  <c:v>-9.8270793278644781</c:v>
                </c:pt>
                <c:pt idx="7">
                  <c:v>-8.029252658232803</c:v>
                </c:pt>
                <c:pt idx="8">
                  <c:v>-6.1877185053343773</c:v>
                </c:pt>
                <c:pt idx="9">
                  <c:v>-4.3000630515963358</c:v>
                </c:pt>
                <c:pt idx="10">
                  <c:v>-2.3636564525099644</c:v>
                </c:pt>
                <c:pt idx="11">
                  <c:v>-0.37535794962416702</c:v>
                </c:pt>
                <c:pt idx="12">
                  <c:v>-3.0678010204149508</c:v>
                </c:pt>
                <c:pt idx="13">
                  <c:v>5.8156608222448263</c:v>
                </c:pt>
                <c:pt idx="14">
                  <c:v>-8.9906603193697858</c:v>
                </c:pt>
                <c:pt idx="15">
                  <c:v>-19.434156555154736</c:v>
                </c:pt>
                <c:pt idx="16">
                  <c:v>-12</c:v>
                </c:pt>
                <c:pt idx="17">
                  <c:v>-29.167117021908272</c:v>
                </c:pt>
                <c:pt idx="18">
                  <c:v>-14</c:v>
                </c:pt>
                <c:pt idx="19">
                  <c:v>-19.833506546880365</c:v>
                </c:pt>
                <c:pt idx="20">
                  <c:v>1.5130248501190131</c:v>
                </c:pt>
                <c:pt idx="21">
                  <c:v>12</c:v>
                </c:pt>
                <c:pt idx="22">
                  <c:v>-12</c:v>
                </c:pt>
                <c:pt idx="23">
                  <c:v>-28.772550131225248</c:v>
                </c:pt>
                <c:pt idx="24">
                  <c:v>-11.666666666666666</c:v>
                </c:pt>
                <c:pt idx="25">
                  <c:v>-18.245852614565919</c:v>
                </c:pt>
                <c:pt idx="26">
                  <c:v>4.3925078710812571</c:v>
                </c:pt>
                <c:pt idx="27">
                  <c:v>12</c:v>
                </c:pt>
                <c:pt idx="28">
                  <c:v>-12</c:v>
                </c:pt>
                <c:pt idx="29">
                  <c:v>-28.303800039278563</c:v>
                </c:pt>
                <c:pt idx="30">
                  <c:v>-9.3333333333333321</c:v>
                </c:pt>
                <c:pt idx="31">
                  <c:v>-16.629666681765414</c:v>
                </c:pt>
                <c:pt idx="32">
                  <c:v>6.4527131206909987</c:v>
                </c:pt>
                <c:pt idx="33">
                  <c:v>12</c:v>
                </c:pt>
                <c:pt idx="34">
                  <c:v>-12</c:v>
                </c:pt>
                <c:pt idx="35">
                  <c:v>-27.754010010716058</c:v>
                </c:pt>
                <c:pt idx="36">
                  <c:v>-6.9999999999999982</c:v>
                </c:pt>
                <c:pt idx="37">
                  <c:v>-14.98231154257417</c:v>
                </c:pt>
                <c:pt idx="38">
                  <c:v>8.2375052570320868</c:v>
                </c:pt>
                <c:pt idx="39">
                  <c:v>12</c:v>
                </c:pt>
                <c:pt idx="40">
                  <c:v>-12</c:v>
                </c:pt>
                <c:pt idx="41">
                  <c:v>-27.116306655803694</c:v>
                </c:pt>
                <c:pt idx="42">
                  <c:v>-4.6666666666666643</c:v>
                </c:pt>
                <c:pt idx="43">
                  <c:v>-13.301143585556035</c:v>
                </c:pt>
                <c:pt idx="44">
                  <c:v>9.8664661885771885</c:v>
                </c:pt>
                <c:pt idx="45">
                  <c:v>12</c:v>
                </c:pt>
                <c:pt idx="46">
                  <c:v>-12</c:v>
                </c:pt>
                <c:pt idx="47">
                  <c:v>-26.383946707329393</c:v>
                </c:pt>
                <c:pt idx="48">
                  <c:v>-2.3333333333333308</c:v>
                </c:pt>
                <c:pt idx="49">
                  <c:v>-11.583569246398675</c:v>
                </c:pt>
                <c:pt idx="50">
                  <c:v>11.388844623449907</c:v>
                </c:pt>
                <c:pt idx="51">
                  <c:v>12</c:v>
                </c:pt>
                <c:pt idx="52">
                  <c:v>-12</c:v>
                </c:pt>
                <c:pt idx="53">
                  <c:v>-25.550406252475348</c:v>
                </c:pt>
                <c:pt idx="54">
                  <c:v>0</c:v>
                </c:pt>
                <c:pt idx="55">
                  <c:v>-9.8270793278644781</c:v>
                </c:pt>
                <c:pt idx="56">
                  <c:v>12.829698097369761</c:v>
                </c:pt>
                <c:pt idx="57">
                  <c:v>12</c:v>
                </c:pt>
                <c:pt idx="58">
                  <c:v>-12</c:v>
                </c:pt>
                <c:pt idx="59">
                  <c:v>-24.609390244767855</c:v>
                </c:pt>
                <c:pt idx="60">
                  <c:v>2.3333333333333335</c:v>
                </c:pt>
                <c:pt idx="61">
                  <c:v>-8.029252658232803</c:v>
                </c:pt>
                <c:pt idx="62">
                  <c:v>14.203132463376605</c:v>
                </c:pt>
                <c:pt idx="63">
                  <c:v>12</c:v>
                </c:pt>
                <c:pt idx="64">
                  <c:v>-12</c:v>
                </c:pt>
                <c:pt idx="65">
                  <c:v>-23.554734780566797</c:v>
                </c:pt>
                <c:pt idx="66">
                  <c:v>4.666666666666667</c:v>
                </c:pt>
                <c:pt idx="67">
                  <c:v>-6.1877185053343773</c:v>
                </c:pt>
                <c:pt idx="68">
                  <c:v>15.517506829265256</c:v>
                </c:pt>
                <c:pt idx="69">
                  <c:v>12</c:v>
                </c:pt>
                <c:pt idx="70">
                  <c:v>-12</c:v>
                </c:pt>
                <c:pt idx="71">
                  <c:v>-22.380163934182676</c:v>
                </c:pt>
                <c:pt idx="72">
                  <c:v>7</c:v>
                </c:pt>
                <c:pt idx="73">
                  <c:v>-4.3000630515963358</c:v>
                </c:pt>
                <c:pt idx="74">
                  <c:v>16.777941702150098</c:v>
                </c:pt>
                <c:pt idx="75">
                  <c:v>12</c:v>
                </c:pt>
                <c:pt idx="76">
                  <c:v>-12</c:v>
                </c:pt>
                <c:pt idx="77">
                  <c:v>-21.078840109892809</c:v>
                </c:pt>
                <c:pt idx="78">
                  <c:v>9.3333333333333339</c:v>
                </c:pt>
                <c:pt idx="79">
                  <c:v>-2.3636564525099644</c:v>
                </c:pt>
                <c:pt idx="80">
                  <c:v>17.987756355580007</c:v>
                </c:pt>
                <c:pt idx="81">
                  <c:v>12</c:v>
                </c:pt>
                <c:pt idx="82">
                  <c:v>-12</c:v>
                </c:pt>
                <c:pt idx="83">
                  <c:v>-19.642597335724307</c:v>
                </c:pt>
                <c:pt idx="84">
                  <c:v>11.666666666666668</c:v>
                </c:pt>
                <c:pt idx="85">
                  <c:v>-0.37535794962416702</c:v>
                </c:pt>
                <c:pt idx="86">
                  <c:v>19.149459663035739</c:v>
                </c:pt>
                <c:pt idx="87">
                  <c:v>12</c:v>
                </c:pt>
                <c:pt idx="88">
                  <c:v>-12</c:v>
                </c:pt>
                <c:pt idx="89">
                  <c:v>-30.376282653093735</c:v>
                </c:pt>
                <c:pt idx="90">
                  <c:v>14.000000000000002</c:v>
                </c:pt>
                <c:pt idx="91">
                  <c:v>-3.0678010204149508</c:v>
                </c:pt>
                <c:pt idx="92">
                  <c:v>26.896999319700733</c:v>
                </c:pt>
                <c:pt idx="93">
                  <c:v>12</c:v>
                </c:pt>
                <c:pt idx="94">
                  <c:v>-12</c:v>
                </c:pt>
                <c:pt idx="95">
                  <c:v>-24.879281862192261</c:v>
                </c:pt>
                <c:pt idx="96">
                  <c:v>25</c:v>
                </c:pt>
                <c:pt idx="97">
                  <c:v>5.8156608222448263</c:v>
                </c:pt>
                <c:pt idx="98">
                  <c:v>31.34962606454722</c:v>
                </c:pt>
                <c:pt idx="99">
                  <c:v>12</c:v>
                </c:pt>
                <c:pt idx="100">
                  <c:v>-12</c:v>
                </c:pt>
                <c:pt idx="101">
                  <c:v>-23.375716830330454</c:v>
                </c:pt>
                <c:pt idx="102">
                  <c:v>0</c:v>
                </c:pt>
                <c:pt idx="103">
                  <c:v>-8.9906603193697858</c:v>
                </c:pt>
                <c:pt idx="104">
                  <c:v>22.648032351271631</c:v>
                </c:pt>
                <c:pt idx="105">
                  <c:v>12</c:v>
                </c:pt>
                <c:pt idx="106">
                  <c:v>-12</c:v>
                </c:pt>
                <c:pt idx="107">
                  <c:v>-10.52880704336475</c:v>
                </c:pt>
                <c:pt idx="108">
                  <c:v>-25</c:v>
                </c:pt>
                <c:pt idx="109">
                  <c:v>-19.434156555154736</c:v>
                </c:pt>
                <c:pt idx="110">
                  <c:v>20.32293673094285</c:v>
                </c:pt>
                <c:pt idx="111">
                  <c:v>12</c:v>
                </c:pt>
                <c:pt idx="112">
                  <c:v>60</c:v>
                </c:pt>
                <c:pt idx="113">
                  <c:v>59.977621104822219</c:v>
                </c:pt>
                <c:pt idx="114">
                  <c:v>59.910498330815244</c:v>
                </c:pt>
                <c:pt idx="115">
                  <c:v>59.7986734039103</c:v>
                </c:pt>
                <c:pt idx="116">
                  <c:v>59.642215838505066</c:v>
                </c:pt>
                <c:pt idx="117">
                  <c:v>59.441222894251112</c:v>
                </c:pt>
                <c:pt idx="118">
                  <c:v>59.195819515593755</c:v>
                </c:pt>
                <c:pt idx="119">
                  <c:v>58.906158254102053</c:v>
                </c:pt>
                <c:pt idx="120">
                  <c:v>58.572419173637371</c:v>
                </c:pt>
                <c:pt idx="121">
                  <c:v>58.19480973841911</c:v>
                </c:pt>
                <c:pt idx="122">
                  <c:v>57.77356468405749</c:v>
                </c:pt>
                <c:pt idx="123">
                  <c:v>57.308945871633512</c:v>
                </c:pt>
                <c:pt idx="124">
                  <c:v>56.801242124916655</c:v>
                </c:pt>
                <c:pt idx="125">
                  <c:v>56.250769050821617</c:v>
                </c:pt>
                <c:pt idx="126">
                  <c:v>55.657868843215709</c:v>
                </c:pt>
                <c:pt idx="127">
                  <c:v>55.022910070198847</c:v>
                </c:pt>
                <c:pt idx="128">
                  <c:v>54.346287444988349</c:v>
                </c:pt>
                <c:pt idx="129">
                  <c:v>53.628421580551006</c:v>
                </c:pt>
                <c:pt idx="130">
                  <c:v>52.869758728134926</c:v>
                </c:pt>
                <c:pt idx="131">
                  <c:v>52.070770499863713</c:v>
                </c:pt>
                <c:pt idx="132">
                  <c:v>51.231953575565385</c:v>
                </c:pt>
                <c:pt idx="133">
                  <c:v>50.353829394018334</c:v>
                </c:pt>
                <c:pt idx="134">
                  <c:v>49.436943828806236</c:v>
                </c:pt>
                <c:pt idx="135">
                  <c:v>48.481866848983351</c:v>
                </c:pt>
                <c:pt idx="136">
                  <c:v>47.489192164761299</c:v>
                </c:pt>
                <c:pt idx="137">
                  <c:v>46.45953685843741</c:v>
                </c:pt>
                <c:pt idx="138">
                  <c:v>45.39354100079418</c:v>
                </c:pt>
                <c:pt idx="139">
                  <c:v>44.29186725320821</c:v>
                </c:pt>
                <c:pt idx="140">
                  <c:v>43.155200455716098</c:v>
                </c:pt>
                <c:pt idx="141">
                  <c:v>41.984247201293201</c:v>
                </c:pt>
                <c:pt idx="142">
                  <c:v>40.779735396610057</c:v>
                </c:pt>
                <c:pt idx="143">
                  <c:v>39.542413809539362</c:v>
                </c:pt>
                <c:pt idx="144">
                  <c:v>38.27305160369496</c:v>
                </c:pt>
                <c:pt idx="145">
                  <c:v>36.97243786029204</c:v>
                </c:pt>
                <c:pt idx="146">
                  <c:v>35.641381087625909</c:v>
                </c:pt>
                <c:pt idx="147">
                  <c:v>34.280708718474088</c:v>
                </c:pt>
                <c:pt idx="148">
                  <c:v>32.891266595734379</c:v>
                </c:pt>
                <c:pt idx="149">
                  <c:v>31.473918446618441</c:v>
                </c:pt>
                <c:pt idx="150">
                  <c:v>30.029545345727961</c:v>
                </c:pt>
                <c:pt idx="151">
                  <c:v>28.559045167346859</c:v>
                </c:pt>
                <c:pt idx="152">
                  <c:v>27.063332027290457</c:v>
                </c:pt>
                <c:pt idx="153">
                  <c:v>25.54333571465812</c:v>
                </c:pt>
                <c:pt idx="154">
                  <c:v>24.00000111384292</c:v>
                </c:pt>
                <c:pt idx="155">
                  <c:v>22.434287617157558</c:v>
                </c:pt>
                <c:pt idx="156">
                  <c:v>20.847168528441451</c:v>
                </c:pt>
                <c:pt idx="157">
                  <c:v>19.239630458020226</c:v>
                </c:pt>
                <c:pt idx="158">
                  <c:v>17.612672709393095</c:v>
                </c:pt>
                <c:pt idx="159">
                  <c:v>15.967306658029923</c:v>
                </c:pt>
                <c:pt idx="160">
                  <c:v>14.304555122663807</c:v>
                </c:pt>
                <c:pt idx="161">
                  <c:v>12.625451729470267</c:v>
                </c:pt>
                <c:pt idx="162">
                  <c:v>10.931040269527855</c:v>
                </c:pt>
                <c:pt idx="163">
                  <c:v>9.2223740499601874</c:v>
                </c:pt>
                <c:pt idx="164">
                  <c:v>7.50051523916229</c:v>
                </c:pt>
                <c:pt idx="165">
                  <c:v>5.7665342065185783</c:v>
                </c:pt>
                <c:pt idx="166">
                  <c:v>4.0215088570226385</c:v>
                </c:pt>
                <c:pt idx="167">
                  <c:v>2.2665239612127621</c:v>
                </c:pt>
                <c:pt idx="168">
                  <c:v>0.50267048083958699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2.8515696384297637</c:v>
                </c:pt>
                <c:pt idx="177">
                  <c:v>1.9753111994832171</c:v>
                </c:pt>
                <c:pt idx="178">
                  <c:v>0.92563316887902047</c:v>
                </c:pt>
                <c:pt idx="179">
                  <c:v>-0.21601377837397351</c:v>
                </c:pt>
                <c:pt idx="180">
                  <c:v>-1.4157664759720063</c:v>
                </c:pt>
                <c:pt idx="181">
                  <c:v>-2.6556123420946562</c:v>
                </c:pt>
                <c:pt idx="182">
                  <c:v>-3.9245681685754725</c:v>
                </c:pt>
                <c:pt idx="183">
                  <c:v>-5.2153144569239593</c:v>
                </c:pt>
                <c:pt idx="184">
                  <c:v>-6.5226550874579061</c:v>
                </c:pt>
                <c:pt idx="185">
                  <c:v>-7.8427215966531474</c:v>
                </c:pt>
                <c:pt idx="186">
                  <c:v>-9.1725245020797033</c:v>
                </c:pt>
                <c:pt idx="187">
                  <c:v>-10.509682805443534</c:v>
                </c:pt>
                <c:pt idx="188">
                  <c:v>-11.852251962601201</c:v>
                </c:pt>
                <c:pt idx="189">
                  <c:v>-13.198609507350314</c:v>
                </c:pt>
                <c:pt idx="190">
                  <c:v>-14.547376030315508</c:v>
                </c:pt>
                <c:pt idx="191">
                  <c:v>-15.897358663204308</c:v>
                </c:pt>
                <c:pt idx="192">
                  <c:v>-17.247509325359044</c:v>
                </c:pt>
                <c:pt idx="193">
                  <c:v>-18.596892885306229</c:v>
                </c:pt>
                <c:pt idx="194">
                  <c:v>-19.944662101015112</c:v>
                </c:pt>
                <c:pt idx="195">
                  <c:v>-21.290037250525245</c:v>
                </c:pt>
                <c:pt idx="196">
                  <c:v>-22.632289027455251</c:v>
                </c:pt>
                <c:pt idx="197">
                  <c:v>-23.97072370792359</c:v>
                </c:pt>
                <c:pt idx="198">
                  <c:v>-25.30466988534544</c:v>
                </c:pt>
                <c:pt idx="199">
                  <c:v>-26.633466270137497</c:v>
                </c:pt>
                <c:pt idx="200">
                  <c:v>-27.956450194805811</c:v>
                </c:pt>
                <c:pt idx="201">
                  <c:v>-29.272946571435931</c:v>
                </c:pt>
                <c:pt idx="202">
                  <c:v>-30.582257131227855</c:v>
                </c:pt>
                <c:pt idx="203">
                  <c:v>-31.883649842884822</c:v>
                </c:pt>
                <c:pt idx="204">
                  <c:v>-33.176348463939625</c:v>
                </c:pt>
                <c:pt idx="205">
                  <c:v>-34.459522230103559</c:v>
                </c:pt>
                <c:pt idx="206">
                  <c:v>-35.732275734705851</c:v>
                </c:pt>
                <c:pt idx="207">
                  <c:v>-36.99363909448315</c:v>
                </c:pt>
                <c:pt idx="208">
                  <c:v>-38.242558539797471</c:v>
                </c:pt>
                <c:pt idx="209">
                  <c:v>-39.477887606536221</c:v>
                </c:pt>
                <c:pt idx="210">
                  <c:v>-40.698379142616446</c:v>
                </c:pt>
                <c:pt idx="211">
                  <c:v>-41.902678372794895</c:v>
                </c:pt>
                <c:pt idx="212">
                  <c:v>-43.089317289558807</c:v>
                </c:pt>
                <c:pt idx="213">
                  <c:v>-44.25671065311036</c:v>
                </c:pt>
                <c:pt idx="214">
                  <c:v>-45.403153887555582</c:v>
                </c:pt>
                <c:pt idx="215">
                  <c:v>-46.526823151096757</c:v>
                </c:pt>
                <c:pt idx="216">
                  <c:v>-47.625777833297384</c:v>
                </c:pt>
                <c:pt idx="217">
                  <c:v>-48.697965690882285</c:v>
                </c:pt>
                <c:pt idx="218">
                  <c:v>-49.741230774414589</c:v>
                </c:pt>
                <c:pt idx="219">
                  <c:v>-50.753324222038465</c:v>
                </c:pt>
                <c:pt idx="220">
                  <c:v>-51.731917905092047</c:v>
                </c:pt>
                <c:pt idx="221">
                  <c:v>-52.674620807053785</c:v>
                </c:pt>
                <c:pt idx="222">
                  <c:v>-53.578997906712083</c:v>
                </c:pt>
                <c:pt idx="223">
                  <c:v>-54.442591224662408</c:v>
                </c:pt>
                <c:pt idx="224">
                  <c:v>-55.262942586197084</c:v>
                </c:pt>
                <c:pt idx="225">
                  <c:v>-56.037617560739605</c:v>
                </c:pt>
                <c:pt idx="226">
                  <c:v>-56.764229965340405</c:v>
                </c:pt>
                <c:pt idx="227">
                  <c:v>-57.440466273599569</c:v>
                </c:pt>
                <c:pt idx="228">
                  <c:v>-58.064109256288212</c:v>
                </c:pt>
                <c:pt idx="229">
                  <c:v>-58.633060198267984</c:v>
                </c:pt>
                <c:pt idx="230">
                  <c:v>-59.145359087855262</c:v>
                </c:pt>
                <c:pt idx="231">
                  <c:v>-59.599202256688159</c:v>
                </c:pt>
                <c:pt idx="232">
                  <c:v>-59.992957055132891</c:v>
                </c:pt>
                <c:pt idx="233">
                  <c:v>-60.325173273076174</c:v>
                </c:pt>
                <c:pt idx="234">
                  <c:v>-60.594591150128096</c:v>
                </c:pt>
                <c:pt idx="235">
                  <c:v>-60.800145953957085</c:v>
                </c:pt>
                <c:pt idx="236">
                  <c:v>-60.940969232303956</c:v>
                </c:pt>
                <c:pt idx="237">
                  <c:v>-61.016386955989681</c:v>
                </c:pt>
                <c:pt idx="238">
                  <c:v>-61.025914861512376</c:v>
                </c:pt>
                <c:pt idx="239">
                  <c:v>-60.969251369261414</c:v>
                </c:pt>
              </c:numCache>
            </c:numRef>
          </c:xVal>
          <c:yVal>
            <c:numRef>
              <c:f>CALC60!$BH$6:$BH$581</c:f>
              <c:numCache>
                <c:formatCode>General</c:formatCode>
                <c:ptCount val="576"/>
                <c:pt idx="58">
                  <c:v>0</c:v>
                </c:pt>
                <c:pt idx="59">
                  <c:v>15.524280262065398</c:v>
                </c:pt>
                <c:pt idx="60">
                  <c:v>60</c:v>
                </c:pt>
                <c:pt idx="61">
                  <c:v>42.89395394695736</c:v>
                </c:pt>
                <c:pt idx="62">
                  <c:v>19.878284819088798</c:v>
                </c:pt>
                <c:pt idx="63">
                  <c:v>0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CALC60!$BI$5</c:f>
              <c:strCache>
                <c:ptCount val="1"/>
                <c:pt idx="0">
                  <c:v>R8</c:v>
                </c:pt>
              </c:strCache>
            </c:strRef>
          </c:tx>
          <c:xVal>
            <c:numRef>
              <c:f>CALC60!$AY$6:$AY$581</c:f>
              <c:numCache>
                <c:formatCode>General</c:formatCode>
                <c:ptCount val="576"/>
                <c:pt idx="0">
                  <c:v>-19.833506546880365</c:v>
                </c:pt>
                <c:pt idx="1">
                  <c:v>-18.245852614565919</c:v>
                </c:pt>
                <c:pt idx="2">
                  <c:v>-16.629666681765414</c:v>
                </c:pt>
                <c:pt idx="3">
                  <c:v>-14.98231154257417</c:v>
                </c:pt>
                <c:pt idx="4">
                  <c:v>-13.301143585556035</c:v>
                </c:pt>
                <c:pt idx="5">
                  <c:v>-11.583569246398675</c:v>
                </c:pt>
                <c:pt idx="6">
                  <c:v>-9.8270793278644781</c:v>
                </c:pt>
                <c:pt idx="7">
                  <c:v>-8.029252658232803</c:v>
                </c:pt>
                <c:pt idx="8">
                  <c:v>-6.1877185053343773</c:v>
                </c:pt>
                <c:pt idx="9">
                  <c:v>-4.3000630515963358</c:v>
                </c:pt>
                <c:pt idx="10">
                  <c:v>-2.3636564525099644</c:v>
                </c:pt>
                <c:pt idx="11">
                  <c:v>-0.37535794962416702</c:v>
                </c:pt>
                <c:pt idx="12">
                  <c:v>-3.0678010204149508</c:v>
                </c:pt>
                <c:pt idx="13">
                  <c:v>5.8156608222448263</c:v>
                </c:pt>
                <c:pt idx="14">
                  <c:v>-8.9906603193697858</c:v>
                </c:pt>
                <c:pt idx="15">
                  <c:v>-19.434156555154736</c:v>
                </c:pt>
                <c:pt idx="16">
                  <c:v>-12</c:v>
                </c:pt>
                <c:pt idx="17">
                  <c:v>-29.167117021908272</c:v>
                </c:pt>
                <c:pt idx="18">
                  <c:v>-14</c:v>
                </c:pt>
                <c:pt idx="19">
                  <c:v>-19.833506546880365</c:v>
                </c:pt>
                <c:pt idx="20">
                  <c:v>1.5130248501190131</c:v>
                </c:pt>
                <c:pt idx="21">
                  <c:v>12</c:v>
                </c:pt>
                <c:pt idx="22">
                  <c:v>-12</c:v>
                </c:pt>
                <c:pt idx="23">
                  <c:v>-28.772550131225248</c:v>
                </c:pt>
                <c:pt idx="24">
                  <c:v>-11.666666666666666</c:v>
                </c:pt>
                <c:pt idx="25">
                  <c:v>-18.245852614565919</c:v>
                </c:pt>
                <c:pt idx="26">
                  <c:v>4.3925078710812571</c:v>
                </c:pt>
                <c:pt idx="27">
                  <c:v>12</c:v>
                </c:pt>
                <c:pt idx="28">
                  <c:v>-12</c:v>
                </c:pt>
                <c:pt idx="29">
                  <c:v>-28.303800039278563</c:v>
                </c:pt>
                <c:pt idx="30">
                  <c:v>-9.3333333333333321</c:v>
                </c:pt>
                <c:pt idx="31">
                  <c:v>-16.629666681765414</c:v>
                </c:pt>
                <c:pt idx="32">
                  <c:v>6.4527131206909987</c:v>
                </c:pt>
                <c:pt idx="33">
                  <c:v>12</c:v>
                </c:pt>
                <c:pt idx="34">
                  <c:v>-12</c:v>
                </c:pt>
                <c:pt idx="35">
                  <c:v>-27.754010010716058</c:v>
                </c:pt>
                <c:pt idx="36">
                  <c:v>-6.9999999999999982</c:v>
                </c:pt>
                <c:pt idx="37">
                  <c:v>-14.98231154257417</c:v>
                </c:pt>
                <c:pt idx="38">
                  <c:v>8.2375052570320868</c:v>
                </c:pt>
                <c:pt idx="39">
                  <c:v>12</c:v>
                </c:pt>
                <c:pt idx="40">
                  <c:v>-12</c:v>
                </c:pt>
                <c:pt idx="41">
                  <c:v>-27.116306655803694</c:v>
                </c:pt>
                <c:pt idx="42">
                  <c:v>-4.6666666666666643</c:v>
                </c:pt>
                <c:pt idx="43">
                  <c:v>-13.301143585556035</c:v>
                </c:pt>
                <c:pt idx="44">
                  <c:v>9.8664661885771885</c:v>
                </c:pt>
                <c:pt idx="45">
                  <c:v>12</c:v>
                </c:pt>
                <c:pt idx="46">
                  <c:v>-12</c:v>
                </c:pt>
                <c:pt idx="47">
                  <c:v>-26.383946707329393</c:v>
                </c:pt>
                <c:pt idx="48">
                  <c:v>-2.3333333333333308</c:v>
                </c:pt>
                <c:pt idx="49">
                  <c:v>-11.583569246398675</c:v>
                </c:pt>
                <c:pt idx="50">
                  <c:v>11.388844623449907</c:v>
                </c:pt>
                <c:pt idx="51">
                  <c:v>12</c:v>
                </c:pt>
                <c:pt idx="52">
                  <c:v>-12</c:v>
                </c:pt>
                <c:pt idx="53">
                  <c:v>-25.550406252475348</c:v>
                </c:pt>
                <c:pt idx="54">
                  <c:v>0</c:v>
                </c:pt>
                <c:pt idx="55">
                  <c:v>-9.8270793278644781</c:v>
                </c:pt>
                <c:pt idx="56">
                  <c:v>12.829698097369761</c:v>
                </c:pt>
                <c:pt idx="57">
                  <c:v>12</c:v>
                </c:pt>
                <c:pt idx="58">
                  <c:v>-12</c:v>
                </c:pt>
                <c:pt idx="59">
                  <c:v>-24.609390244767855</c:v>
                </c:pt>
                <c:pt idx="60">
                  <c:v>2.3333333333333335</c:v>
                </c:pt>
                <c:pt idx="61">
                  <c:v>-8.029252658232803</c:v>
                </c:pt>
                <c:pt idx="62">
                  <c:v>14.203132463376605</c:v>
                </c:pt>
                <c:pt idx="63">
                  <c:v>12</c:v>
                </c:pt>
                <c:pt idx="64">
                  <c:v>-12</c:v>
                </c:pt>
                <c:pt idx="65">
                  <c:v>-23.554734780566797</c:v>
                </c:pt>
                <c:pt idx="66">
                  <c:v>4.666666666666667</c:v>
                </c:pt>
                <c:pt idx="67">
                  <c:v>-6.1877185053343773</c:v>
                </c:pt>
                <c:pt idx="68">
                  <c:v>15.517506829265256</c:v>
                </c:pt>
                <c:pt idx="69">
                  <c:v>12</c:v>
                </c:pt>
                <c:pt idx="70">
                  <c:v>-12</c:v>
                </c:pt>
                <c:pt idx="71">
                  <c:v>-22.380163934182676</c:v>
                </c:pt>
                <c:pt idx="72">
                  <c:v>7</c:v>
                </c:pt>
                <c:pt idx="73">
                  <c:v>-4.3000630515963358</c:v>
                </c:pt>
                <c:pt idx="74">
                  <c:v>16.777941702150098</c:v>
                </c:pt>
                <c:pt idx="75">
                  <c:v>12</c:v>
                </c:pt>
                <c:pt idx="76">
                  <c:v>-12</c:v>
                </c:pt>
                <c:pt idx="77">
                  <c:v>-21.078840109892809</c:v>
                </c:pt>
                <c:pt idx="78">
                  <c:v>9.3333333333333339</c:v>
                </c:pt>
                <c:pt idx="79">
                  <c:v>-2.3636564525099644</c:v>
                </c:pt>
                <c:pt idx="80">
                  <c:v>17.987756355580007</c:v>
                </c:pt>
                <c:pt idx="81">
                  <c:v>12</c:v>
                </c:pt>
                <c:pt idx="82">
                  <c:v>-12</c:v>
                </c:pt>
                <c:pt idx="83">
                  <c:v>-19.642597335724307</c:v>
                </c:pt>
                <c:pt idx="84">
                  <c:v>11.666666666666668</c:v>
                </c:pt>
                <c:pt idx="85">
                  <c:v>-0.37535794962416702</c:v>
                </c:pt>
                <c:pt idx="86">
                  <c:v>19.149459663035739</c:v>
                </c:pt>
                <c:pt idx="87">
                  <c:v>12</c:v>
                </c:pt>
                <c:pt idx="88">
                  <c:v>-12</c:v>
                </c:pt>
                <c:pt idx="89">
                  <c:v>-30.376282653093735</c:v>
                </c:pt>
                <c:pt idx="90">
                  <c:v>14.000000000000002</c:v>
                </c:pt>
                <c:pt idx="91">
                  <c:v>-3.0678010204149508</c:v>
                </c:pt>
                <c:pt idx="92">
                  <c:v>26.896999319700733</c:v>
                </c:pt>
                <c:pt idx="93">
                  <c:v>12</c:v>
                </c:pt>
                <c:pt idx="94">
                  <c:v>-12</c:v>
                </c:pt>
                <c:pt idx="95">
                  <c:v>-24.879281862192261</c:v>
                </c:pt>
                <c:pt idx="96">
                  <c:v>25</c:v>
                </c:pt>
                <c:pt idx="97">
                  <c:v>5.8156608222448263</c:v>
                </c:pt>
                <c:pt idx="98">
                  <c:v>31.34962606454722</c:v>
                </c:pt>
                <c:pt idx="99">
                  <c:v>12</c:v>
                </c:pt>
                <c:pt idx="100">
                  <c:v>-12</c:v>
                </c:pt>
                <c:pt idx="101">
                  <c:v>-23.375716830330454</c:v>
                </c:pt>
                <c:pt idx="102">
                  <c:v>0</c:v>
                </c:pt>
                <c:pt idx="103">
                  <c:v>-8.9906603193697858</c:v>
                </c:pt>
                <c:pt idx="104">
                  <c:v>22.648032351271631</c:v>
                </c:pt>
                <c:pt idx="105">
                  <c:v>12</c:v>
                </c:pt>
                <c:pt idx="106">
                  <c:v>-12</c:v>
                </c:pt>
                <c:pt idx="107">
                  <c:v>-10.52880704336475</c:v>
                </c:pt>
                <c:pt idx="108">
                  <c:v>-25</c:v>
                </c:pt>
                <c:pt idx="109">
                  <c:v>-19.434156555154736</c:v>
                </c:pt>
                <c:pt idx="110">
                  <c:v>20.32293673094285</c:v>
                </c:pt>
                <c:pt idx="111">
                  <c:v>12</c:v>
                </c:pt>
                <c:pt idx="112">
                  <c:v>60</c:v>
                </c:pt>
                <c:pt idx="113">
                  <c:v>59.977621104822219</c:v>
                </c:pt>
                <c:pt idx="114">
                  <c:v>59.910498330815244</c:v>
                </c:pt>
                <c:pt idx="115">
                  <c:v>59.7986734039103</c:v>
                </c:pt>
                <c:pt idx="116">
                  <c:v>59.642215838505066</c:v>
                </c:pt>
                <c:pt idx="117">
                  <c:v>59.441222894251112</c:v>
                </c:pt>
                <c:pt idx="118">
                  <c:v>59.195819515593755</c:v>
                </c:pt>
                <c:pt idx="119">
                  <c:v>58.906158254102053</c:v>
                </c:pt>
                <c:pt idx="120">
                  <c:v>58.572419173637371</c:v>
                </c:pt>
                <c:pt idx="121">
                  <c:v>58.19480973841911</c:v>
                </c:pt>
                <c:pt idx="122">
                  <c:v>57.77356468405749</c:v>
                </c:pt>
                <c:pt idx="123">
                  <c:v>57.308945871633512</c:v>
                </c:pt>
                <c:pt idx="124">
                  <c:v>56.801242124916655</c:v>
                </c:pt>
                <c:pt idx="125">
                  <c:v>56.250769050821617</c:v>
                </c:pt>
                <c:pt idx="126">
                  <c:v>55.657868843215709</c:v>
                </c:pt>
                <c:pt idx="127">
                  <c:v>55.022910070198847</c:v>
                </c:pt>
                <c:pt idx="128">
                  <c:v>54.346287444988349</c:v>
                </c:pt>
                <c:pt idx="129">
                  <c:v>53.628421580551006</c:v>
                </c:pt>
                <c:pt idx="130">
                  <c:v>52.869758728134926</c:v>
                </c:pt>
                <c:pt idx="131">
                  <c:v>52.070770499863713</c:v>
                </c:pt>
                <c:pt idx="132">
                  <c:v>51.231953575565385</c:v>
                </c:pt>
                <c:pt idx="133">
                  <c:v>50.353829394018334</c:v>
                </c:pt>
                <c:pt idx="134">
                  <c:v>49.436943828806236</c:v>
                </c:pt>
                <c:pt idx="135">
                  <c:v>48.481866848983351</c:v>
                </c:pt>
                <c:pt idx="136">
                  <c:v>47.489192164761299</c:v>
                </c:pt>
                <c:pt idx="137">
                  <c:v>46.45953685843741</c:v>
                </c:pt>
                <c:pt idx="138">
                  <c:v>45.39354100079418</c:v>
                </c:pt>
                <c:pt idx="139">
                  <c:v>44.29186725320821</c:v>
                </c:pt>
                <c:pt idx="140">
                  <c:v>43.155200455716098</c:v>
                </c:pt>
                <c:pt idx="141">
                  <c:v>41.984247201293201</c:v>
                </c:pt>
                <c:pt idx="142">
                  <c:v>40.779735396610057</c:v>
                </c:pt>
                <c:pt idx="143">
                  <c:v>39.542413809539362</c:v>
                </c:pt>
                <c:pt idx="144">
                  <c:v>38.27305160369496</c:v>
                </c:pt>
                <c:pt idx="145">
                  <c:v>36.97243786029204</c:v>
                </c:pt>
                <c:pt idx="146">
                  <c:v>35.641381087625909</c:v>
                </c:pt>
                <c:pt idx="147">
                  <c:v>34.280708718474088</c:v>
                </c:pt>
                <c:pt idx="148">
                  <c:v>32.891266595734379</c:v>
                </c:pt>
                <c:pt idx="149">
                  <c:v>31.473918446618441</c:v>
                </c:pt>
                <c:pt idx="150">
                  <c:v>30.029545345727961</c:v>
                </c:pt>
                <c:pt idx="151">
                  <c:v>28.559045167346859</c:v>
                </c:pt>
                <c:pt idx="152">
                  <c:v>27.063332027290457</c:v>
                </c:pt>
                <c:pt idx="153">
                  <c:v>25.54333571465812</c:v>
                </c:pt>
                <c:pt idx="154">
                  <c:v>24.00000111384292</c:v>
                </c:pt>
                <c:pt idx="155">
                  <c:v>22.434287617157558</c:v>
                </c:pt>
                <c:pt idx="156">
                  <c:v>20.847168528441451</c:v>
                </c:pt>
                <c:pt idx="157">
                  <c:v>19.239630458020226</c:v>
                </c:pt>
                <c:pt idx="158">
                  <c:v>17.612672709393095</c:v>
                </c:pt>
                <c:pt idx="159">
                  <c:v>15.967306658029923</c:v>
                </c:pt>
                <c:pt idx="160">
                  <c:v>14.304555122663807</c:v>
                </c:pt>
                <c:pt idx="161">
                  <c:v>12.625451729470267</c:v>
                </c:pt>
                <c:pt idx="162">
                  <c:v>10.931040269527855</c:v>
                </c:pt>
                <c:pt idx="163">
                  <c:v>9.2223740499601874</c:v>
                </c:pt>
                <c:pt idx="164">
                  <c:v>7.50051523916229</c:v>
                </c:pt>
                <c:pt idx="165">
                  <c:v>5.7665342065185783</c:v>
                </c:pt>
                <c:pt idx="166">
                  <c:v>4.0215088570226385</c:v>
                </c:pt>
                <c:pt idx="167">
                  <c:v>2.2665239612127621</c:v>
                </c:pt>
                <c:pt idx="168">
                  <c:v>0.50267048083958699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2.8515696384297637</c:v>
                </c:pt>
                <c:pt idx="177">
                  <c:v>1.9753111994832171</c:v>
                </c:pt>
                <c:pt idx="178">
                  <c:v>0.92563316887902047</c:v>
                </c:pt>
                <c:pt idx="179">
                  <c:v>-0.21601377837397351</c:v>
                </c:pt>
                <c:pt idx="180">
                  <c:v>-1.4157664759720063</c:v>
                </c:pt>
                <c:pt idx="181">
                  <c:v>-2.6556123420946562</c:v>
                </c:pt>
                <c:pt idx="182">
                  <c:v>-3.9245681685754725</c:v>
                </c:pt>
                <c:pt idx="183">
                  <c:v>-5.2153144569239593</c:v>
                </c:pt>
                <c:pt idx="184">
                  <c:v>-6.5226550874579061</c:v>
                </c:pt>
                <c:pt idx="185">
                  <c:v>-7.8427215966531474</c:v>
                </c:pt>
                <c:pt idx="186">
                  <c:v>-9.1725245020797033</c:v>
                </c:pt>
                <c:pt idx="187">
                  <c:v>-10.509682805443534</c:v>
                </c:pt>
                <c:pt idx="188">
                  <c:v>-11.852251962601201</c:v>
                </c:pt>
                <c:pt idx="189">
                  <c:v>-13.198609507350314</c:v>
                </c:pt>
                <c:pt idx="190">
                  <c:v>-14.547376030315508</c:v>
                </c:pt>
                <c:pt idx="191">
                  <c:v>-15.897358663204308</c:v>
                </c:pt>
                <c:pt idx="192">
                  <c:v>-17.247509325359044</c:v>
                </c:pt>
                <c:pt idx="193">
                  <c:v>-18.596892885306229</c:v>
                </c:pt>
                <c:pt idx="194">
                  <c:v>-19.944662101015112</c:v>
                </c:pt>
                <c:pt idx="195">
                  <c:v>-21.290037250525245</c:v>
                </c:pt>
                <c:pt idx="196">
                  <c:v>-22.632289027455251</c:v>
                </c:pt>
                <c:pt idx="197">
                  <c:v>-23.97072370792359</c:v>
                </c:pt>
                <c:pt idx="198">
                  <c:v>-25.30466988534544</c:v>
                </c:pt>
                <c:pt idx="199">
                  <c:v>-26.633466270137497</c:v>
                </c:pt>
                <c:pt idx="200">
                  <c:v>-27.956450194805811</c:v>
                </c:pt>
                <c:pt idx="201">
                  <c:v>-29.272946571435931</c:v>
                </c:pt>
                <c:pt idx="202">
                  <c:v>-30.582257131227855</c:v>
                </c:pt>
                <c:pt idx="203">
                  <c:v>-31.883649842884822</c:v>
                </c:pt>
                <c:pt idx="204">
                  <c:v>-33.176348463939625</c:v>
                </c:pt>
                <c:pt idx="205">
                  <c:v>-34.459522230103559</c:v>
                </c:pt>
                <c:pt idx="206">
                  <c:v>-35.732275734705851</c:v>
                </c:pt>
                <c:pt idx="207">
                  <c:v>-36.99363909448315</c:v>
                </c:pt>
                <c:pt idx="208">
                  <c:v>-38.242558539797471</c:v>
                </c:pt>
                <c:pt idx="209">
                  <c:v>-39.477887606536221</c:v>
                </c:pt>
                <c:pt idx="210">
                  <c:v>-40.698379142616446</c:v>
                </c:pt>
                <c:pt idx="211">
                  <c:v>-41.902678372794895</c:v>
                </c:pt>
                <c:pt idx="212">
                  <c:v>-43.089317289558807</c:v>
                </c:pt>
                <c:pt idx="213">
                  <c:v>-44.25671065311036</c:v>
                </c:pt>
                <c:pt idx="214">
                  <c:v>-45.403153887555582</c:v>
                </c:pt>
                <c:pt idx="215">
                  <c:v>-46.526823151096757</c:v>
                </c:pt>
                <c:pt idx="216">
                  <c:v>-47.625777833297384</c:v>
                </c:pt>
                <c:pt idx="217">
                  <c:v>-48.697965690882285</c:v>
                </c:pt>
                <c:pt idx="218">
                  <c:v>-49.741230774414589</c:v>
                </c:pt>
                <c:pt idx="219">
                  <c:v>-50.753324222038465</c:v>
                </c:pt>
                <c:pt idx="220">
                  <c:v>-51.731917905092047</c:v>
                </c:pt>
                <c:pt idx="221">
                  <c:v>-52.674620807053785</c:v>
                </c:pt>
                <c:pt idx="222">
                  <c:v>-53.578997906712083</c:v>
                </c:pt>
                <c:pt idx="223">
                  <c:v>-54.442591224662408</c:v>
                </c:pt>
                <c:pt idx="224">
                  <c:v>-55.262942586197084</c:v>
                </c:pt>
                <c:pt idx="225">
                  <c:v>-56.037617560739605</c:v>
                </c:pt>
                <c:pt idx="226">
                  <c:v>-56.764229965340405</c:v>
                </c:pt>
                <c:pt idx="227">
                  <c:v>-57.440466273599569</c:v>
                </c:pt>
                <c:pt idx="228">
                  <c:v>-58.064109256288212</c:v>
                </c:pt>
                <c:pt idx="229">
                  <c:v>-58.633060198267984</c:v>
                </c:pt>
                <c:pt idx="230">
                  <c:v>-59.145359087855262</c:v>
                </c:pt>
                <c:pt idx="231">
                  <c:v>-59.599202256688159</c:v>
                </c:pt>
                <c:pt idx="232">
                  <c:v>-59.992957055132891</c:v>
                </c:pt>
                <c:pt idx="233">
                  <c:v>-60.325173273076174</c:v>
                </c:pt>
                <c:pt idx="234">
                  <c:v>-60.594591150128096</c:v>
                </c:pt>
                <c:pt idx="235">
                  <c:v>-60.800145953957085</c:v>
                </c:pt>
                <c:pt idx="236">
                  <c:v>-60.940969232303956</c:v>
                </c:pt>
                <c:pt idx="237">
                  <c:v>-61.016386955989681</c:v>
                </c:pt>
                <c:pt idx="238">
                  <c:v>-61.025914861512376</c:v>
                </c:pt>
                <c:pt idx="239">
                  <c:v>-60.969251369261414</c:v>
                </c:pt>
              </c:numCache>
            </c:numRef>
          </c:xVal>
          <c:yVal>
            <c:numRef>
              <c:f>CALC60!$BI$6:$BI$581</c:f>
              <c:numCache>
                <c:formatCode>General</c:formatCode>
                <c:ptCount val="576"/>
                <c:pt idx="64">
                  <c:v>0</c:v>
                </c:pt>
                <c:pt idx="65">
                  <c:v>16.324463364863174</c:v>
                </c:pt>
                <c:pt idx="66">
                  <c:v>60</c:v>
                </c:pt>
                <c:pt idx="67">
                  <c:v>43.201716678801894</c:v>
                </c:pt>
                <c:pt idx="68">
                  <c:v>19.688248924322149</c:v>
                </c:pt>
                <c:pt idx="69">
                  <c:v>0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CALC60!$BJ$5</c:f>
              <c:strCache>
                <c:ptCount val="1"/>
                <c:pt idx="0">
                  <c:v>R9</c:v>
                </c:pt>
              </c:strCache>
            </c:strRef>
          </c:tx>
          <c:xVal>
            <c:numRef>
              <c:f>CALC60!$AY$6:$AY$581</c:f>
              <c:numCache>
                <c:formatCode>General</c:formatCode>
                <c:ptCount val="576"/>
                <c:pt idx="0">
                  <c:v>-19.833506546880365</c:v>
                </c:pt>
                <c:pt idx="1">
                  <c:v>-18.245852614565919</c:v>
                </c:pt>
                <c:pt idx="2">
                  <c:v>-16.629666681765414</c:v>
                </c:pt>
                <c:pt idx="3">
                  <c:v>-14.98231154257417</c:v>
                </c:pt>
                <c:pt idx="4">
                  <c:v>-13.301143585556035</c:v>
                </c:pt>
                <c:pt idx="5">
                  <c:v>-11.583569246398675</c:v>
                </c:pt>
                <c:pt idx="6">
                  <c:v>-9.8270793278644781</c:v>
                </c:pt>
                <c:pt idx="7">
                  <c:v>-8.029252658232803</c:v>
                </c:pt>
                <c:pt idx="8">
                  <c:v>-6.1877185053343773</c:v>
                </c:pt>
                <c:pt idx="9">
                  <c:v>-4.3000630515963358</c:v>
                </c:pt>
                <c:pt idx="10">
                  <c:v>-2.3636564525099644</c:v>
                </c:pt>
                <c:pt idx="11">
                  <c:v>-0.37535794962416702</c:v>
                </c:pt>
                <c:pt idx="12">
                  <c:v>-3.0678010204149508</c:v>
                </c:pt>
                <c:pt idx="13">
                  <c:v>5.8156608222448263</c:v>
                </c:pt>
                <c:pt idx="14">
                  <c:v>-8.9906603193697858</c:v>
                </c:pt>
                <c:pt idx="15">
                  <c:v>-19.434156555154736</c:v>
                </c:pt>
                <c:pt idx="16">
                  <c:v>-12</c:v>
                </c:pt>
                <c:pt idx="17">
                  <c:v>-29.167117021908272</c:v>
                </c:pt>
                <c:pt idx="18">
                  <c:v>-14</c:v>
                </c:pt>
                <c:pt idx="19">
                  <c:v>-19.833506546880365</c:v>
                </c:pt>
                <c:pt idx="20">
                  <c:v>1.5130248501190131</c:v>
                </c:pt>
                <c:pt idx="21">
                  <c:v>12</c:v>
                </c:pt>
                <c:pt idx="22">
                  <c:v>-12</c:v>
                </c:pt>
                <c:pt idx="23">
                  <c:v>-28.772550131225248</c:v>
                </c:pt>
                <c:pt idx="24">
                  <c:v>-11.666666666666666</c:v>
                </c:pt>
                <c:pt idx="25">
                  <c:v>-18.245852614565919</c:v>
                </c:pt>
                <c:pt idx="26">
                  <c:v>4.3925078710812571</c:v>
                </c:pt>
                <c:pt idx="27">
                  <c:v>12</c:v>
                </c:pt>
                <c:pt idx="28">
                  <c:v>-12</c:v>
                </c:pt>
                <c:pt idx="29">
                  <c:v>-28.303800039278563</c:v>
                </c:pt>
                <c:pt idx="30">
                  <c:v>-9.3333333333333321</c:v>
                </c:pt>
                <c:pt idx="31">
                  <c:v>-16.629666681765414</c:v>
                </c:pt>
                <c:pt idx="32">
                  <c:v>6.4527131206909987</c:v>
                </c:pt>
                <c:pt idx="33">
                  <c:v>12</c:v>
                </c:pt>
                <c:pt idx="34">
                  <c:v>-12</c:v>
                </c:pt>
                <c:pt idx="35">
                  <c:v>-27.754010010716058</c:v>
                </c:pt>
                <c:pt idx="36">
                  <c:v>-6.9999999999999982</c:v>
                </c:pt>
                <c:pt idx="37">
                  <c:v>-14.98231154257417</c:v>
                </c:pt>
                <c:pt idx="38">
                  <c:v>8.2375052570320868</c:v>
                </c:pt>
                <c:pt idx="39">
                  <c:v>12</c:v>
                </c:pt>
                <c:pt idx="40">
                  <c:v>-12</c:v>
                </c:pt>
                <c:pt idx="41">
                  <c:v>-27.116306655803694</c:v>
                </c:pt>
                <c:pt idx="42">
                  <c:v>-4.6666666666666643</c:v>
                </c:pt>
                <c:pt idx="43">
                  <c:v>-13.301143585556035</c:v>
                </c:pt>
                <c:pt idx="44">
                  <c:v>9.8664661885771885</c:v>
                </c:pt>
                <c:pt idx="45">
                  <c:v>12</c:v>
                </c:pt>
                <c:pt idx="46">
                  <c:v>-12</c:v>
                </c:pt>
                <c:pt idx="47">
                  <c:v>-26.383946707329393</c:v>
                </c:pt>
                <c:pt idx="48">
                  <c:v>-2.3333333333333308</c:v>
                </c:pt>
                <c:pt idx="49">
                  <c:v>-11.583569246398675</c:v>
                </c:pt>
                <c:pt idx="50">
                  <c:v>11.388844623449907</c:v>
                </c:pt>
                <c:pt idx="51">
                  <c:v>12</c:v>
                </c:pt>
                <c:pt idx="52">
                  <c:v>-12</c:v>
                </c:pt>
                <c:pt idx="53">
                  <c:v>-25.550406252475348</c:v>
                </c:pt>
                <c:pt idx="54">
                  <c:v>0</c:v>
                </c:pt>
                <c:pt idx="55">
                  <c:v>-9.8270793278644781</c:v>
                </c:pt>
                <c:pt idx="56">
                  <c:v>12.829698097369761</c:v>
                </c:pt>
                <c:pt idx="57">
                  <c:v>12</c:v>
                </c:pt>
                <c:pt idx="58">
                  <c:v>-12</c:v>
                </c:pt>
                <c:pt idx="59">
                  <c:v>-24.609390244767855</c:v>
                </c:pt>
                <c:pt idx="60">
                  <c:v>2.3333333333333335</c:v>
                </c:pt>
                <c:pt idx="61">
                  <c:v>-8.029252658232803</c:v>
                </c:pt>
                <c:pt idx="62">
                  <c:v>14.203132463376605</c:v>
                </c:pt>
                <c:pt idx="63">
                  <c:v>12</c:v>
                </c:pt>
                <c:pt idx="64">
                  <c:v>-12</c:v>
                </c:pt>
                <c:pt idx="65">
                  <c:v>-23.554734780566797</c:v>
                </c:pt>
                <c:pt idx="66">
                  <c:v>4.666666666666667</c:v>
                </c:pt>
                <c:pt idx="67">
                  <c:v>-6.1877185053343773</c:v>
                </c:pt>
                <c:pt idx="68">
                  <c:v>15.517506829265256</c:v>
                </c:pt>
                <c:pt idx="69">
                  <c:v>12</c:v>
                </c:pt>
                <c:pt idx="70">
                  <c:v>-12</c:v>
                </c:pt>
                <c:pt idx="71">
                  <c:v>-22.380163934182676</c:v>
                </c:pt>
                <c:pt idx="72">
                  <c:v>7</c:v>
                </c:pt>
                <c:pt idx="73">
                  <c:v>-4.3000630515963358</c:v>
                </c:pt>
                <c:pt idx="74">
                  <c:v>16.777941702150098</c:v>
                </c:pt>
                <c:pt idx="75">
                  <c:v>12</c:v>
                </c:pt>
                <c:pt idx="76">
                  <c:v>-12</c:v>
                </c:pt>
                <c:pt idx="77">
                  <c:v>-21.078840109892809</c:v>
                </c:pt>
                <c:pt idx="78">
                  <c:v>9.3333333333333339</c:v>
                </c:pt>
                <c:pt idx="79">
                  <c:v>-2.3636564525099644</c:v>
                </c:pt>
                <c:pt idx="80">
                  <c:v>17.987756355580007</c:v>
                </c:pt>
                <c:pt idx="81">
                  <c:v>12</c:v>
                </c:pt>
                <c:pt idx="82">
                  <c:v>-12</c:v>
                </c:pt>
                <c:pt idx="83">
                  <c:v>-19.642597335724307</c:v>
                </c:pt>
                <c:pt idx="84">
                  <c:v>11.666666666666668</c:v>
                </c:pt>
                <c:pt idx="85">
                  <c:v>-0.37535794962416702</c:v>
                </c:pt>
                <c:pt idx="86">
                  <c:v>19.149459663035739</c:v>
                </c:pt>
                <c:pt idx="87">
                  <c:v>12</c:v>
                </c:pt>
                <c:pt idx="88">
                  <c:v>-12</c:v>
                </c:pt>
                <c:pt idx="89">
                  <c:v>-30.376282653093735</c:v>
                </c:pt>
                <c:pt idx="90">
                  <c:v>14.000000000000002</c:v>
                </c:pt>
                <c:pt idx="91">
                  <c:v>-3.0678010204149508</c:v>
                </c:pt>
                <c:pt idx="92">
                  <c:v>26.896999319700733</c:v>
                </c:pt>
                <c:pt idx="93">
                  <c:v>12</c:v>
                </c:pt>
                <c:pt idx="94">
                  <c:v>-12</c:v>
                </c:pt>
                <c:pt idx="95">
                  <c:v>-24.879281862192261</c:v>
                </c:pt>
                <c:pt idx="96">
                  <c:v>25</c:v>
                </c:pt>
                <c:pt idx="97">
                  <c:v>5.8156608222448263</c:v>
                </c:pt>
                <c:pt idx="98">
                  <c:v>31.34962606454722</c:v>
                </c:pt>
                <c:pt idx="99">
                  <c:v>12</c:v>
                </c:pt>
                <c:pt idx="100">
                  <c:v>-12</c:v>
                </c:pt>
                <c:pt idx="101">
                  <c:v>-23.375716830330454</c:v>
                </c:pt>
                <c:pt idx="102">
                  <c:v>0</c:v>
                </c:pt>
                <c:pt idx="103">
                  <c:v>-8.9906603193697858</c:v>
                </c:pt>
                <c:pt idx="104">
                  <c:v>22.648032351271631</c:v>
                </c:pt>
                <c:pt idx="105">
                  <c:v>12</c:v>
                </c:pt>
                <c:pt idx="106">
                  <c:v>-12</c:v>
                </c:pt>
                <c:pt idx="107">
                  <c:v>-10.52880704336475</c:v>
                </c:pt>
                <c:pt idx="108">
                  <c:v>-25</c:v>
                </c:pt>
                <c:pt idx="109">
                  <c:v>-19.434156555154736</c:v>
                </c:pt>
                <c:pt idx="110">
                  <c:v>20.32293673094285</c:v>
                </c:pt>
                <c:pt idx="111">
                  <c:v>12</c:v>
                </c:pt>
                <c:pt idx="112">
                  <c:v>60</c:v>
                </c:pt>
                <c:pt idx="113">
                  <c:v>59.977621104822219</c:v>
                </c:pt>
                <c:pt idx="114">
                  <c:v>59.910498330815244</c:v>
                </c:pt>
                <c:pt idx="115">
                  <c:v>59.7986734039103</c:v>
                </c:pt>
                <c:pt idx="116">
                  <c:v>59.642215838505066</c:v>
                </c:pt>
                <c:pt idx="117">
                  <c:v>59.441222894251112</c:v>
                </c:pt>
                <c:pt idx="118">
                  <c:v>59.195819515593755</c:v>
                </c:pt>
                <c:pt idx="119">
                  <c:v>58.906158254102053</c:v>
                </c:pt>
                <c:pt idx="120">
                  <c:v>58.572419173637371</c:v>
                </c:pt>
                <c:pt idx="121">
                  <c:v>58.19480973841911</c:v>
                </c:pt>
                <c:pt idx="122">
                  <c:v>57.77356468405749</c:v>
                </c:pt>
                <c:pt idx="123">
                  <c:v>57.308945871633512</c:v>
                </c:pt>
                <c:pt idx="124">
                  <c:v>56.801242124916655</c:v>
                </c:pt>
                <c:pt idx="125">
                  <c:v>56.250769050821617</c:v>
                </c:pt>
                <c:pt idx="126">
                  <c:v>55.657868843215709</c:v>
                </c:pt>
                <c:pt idx="127">
                  <c:v>55.022910070198847</c:v>
                </c:pt>
                <c:pt idx="128">
                  <c:v>54.346287444988349</c:v>
                </c:pt>
                <c:pt idx="129">
                  <c:v>53.628421580551006</c:v>
                </c:pt>
                <c:pt idx="130">
                  <c:v>52.869758728134926</c:v>
                </c:pt>
                <c:pt idx="131">
                  <c:v>52.070770499863713</c:v>
                </c:pt>
                <c:pt idx="132">
                  <c:v>51.231953575565385</c:v>
                </c:pt>
                <c:pt idx="133">
                  <c:v>50.353829394018334</c:v>
                </c:pt>
                <c:pt idx="134">
                  <c:v>49.436943828806236</c:v>
                </c:pt>
                <c:pt idx="135">
                  <c:v>48.481866848983351</c:v>
                </c:pt>
                <c:pt idx="136">
                  <c:v>47.489192164761299</c:v>
                </c:pt>
                <c:pt idx="137">
                  <c:v>46.45953685843741</c:v>
                </c:pt>
                <c:pt idx="138">
                  <c:v>45.39354100079418</c:v>
                </c:pt>
                <c:pt idx="139">
                  <c:v>44.29186725320821</c:v>
                </c:pt>
                <c:pt idx="140">
                  <c:v>43.155200455716098</c:v>
                </c:pt>
                <c:pt idx="141">
                  <c:v>41.984247201293201</c:v>
                </c:pt>
                <c:pt idx="142">
                  <c:v>40.779735396610057</c:v>
                </c:pt>
                <c:pt idx="143">
                  <c:v>39.542413809539362</c:v>
                </c:pt>
                <c:pt idx="144">
                  <c:v>38.27305160369496</c:v>
                </c:pt>
                <c:pt idx="145">
                  <c:v>36.97243786029204</c:v>
                </c:pt>
                <c:pt idx="146">
                  <c:v>35.641381087625909</c:v>
                </c:pt>
                <c:pt idx="147">
                  <c:v>34.280708718474088</c:v>
                </c:pt>
                <c:pt idx="148">
                  <c:v>32.891266595734379</c:v>
                </c:pt>
                <c:pt idx="149">
                  <c:v>31.473918446618441</c:v>
                </c:pt>
                <c:pt idx="150">
                  <c:v>30.029545345727961</c:v>
                </c:pt>
                <c:pt idx="151">
                  <c:v>28.559045167346859</c:v>
                </c:pt>
                <c:pt idx="152">
                  <c:v>27.063332027290457</c:v>
                </c:pt>
                <c:pt idx="153">
                  <c:v>25.54333571465812</c:v>
                </c:pt>
                <c:pt idx="154">
                  <c:v>24.00000111384292</c:v>
                </c:pt>
                <c:pt idx="155">
                  <c:v>22.434287617157558</c:v>
                </c:pt>
                <c:pt idx="156">
                  <c:v>20.847168528441451</c:v>
                </c:pt>
                <c:pt idx="157">
                  <c:v>19.239630458020226</c:v>
                </c:pt>
                <c:pt idx="158">
                  <c:v>17.612672709393095</c:v>
                </c:pt>
                <c:pt idx="159">
                  <c:v>15.967306658029923</c:v>
                </c:pt>
                <c:pt idx="160">
                  <c:v>14.304555122663807</c:v>
                </c:pt>
                <c:pt idx="161">
                  <c:v>12.625451729470267</c:v>
                </c:pt>
                <c:pt idx="162">
                  <c:v>10.931040269527855</c:v>
                </c:pt>
                <c:pt idx="163">
                  <c:v>9.2223740499601874</c:v>
                </c:pt>
                <c:pt idx="164">
                  <c:v>7.50051523916229</c:v>
                </c:pt>
                <c:pt idx="165">
                  <c:v>5.7665342065185783</c:v>
                </c:pt>
                <c:pt idx="166">
                  <c:v>4.0215088570226385</c:v>
                </c:pt>
                <c:pt idx="167">
                  <c:v>2.2665239612127621</c:v>
                </c:pt>
                <c:pt idx="168">
                  <c:v>0.50267048083958699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2.8515696384297637</c:v>
                </c:pt>
                <c:pt idx="177">
                  <c:v>1.9753111994832171</c:v>
                </c:pt>
                <c:pt idx="178">
                  <c:v>0.92563316887902047</c:v>
                </c:pt>
                <c:pt idx="179">
                  <c:v>-0.21601377837397351</c:v>
                </c:pt>
                <c:pt idx="180">
                  <c:v>-1.4157664759720063</c:v>
                </c:pt>
                <c:pt idx="181">
                  <c:v>-2.6556123420946562</c:v>
                </c:pt>
                <c:pt idx="182">
                  <c:v>-3.9245681685754725</c:v>
                </c:pt>
                <c:pt idx="183">
                  <c:v>-5.2153144569239593</c:v>
                </c:pt>
                <c:pt idx="184">
                  <c:v>-6.5226550874579061</c:v>
                </c:pt>
                <c:pt idx="185">
                  <c:v>-7.8427215966531474</c:v>
                </c:pt>
                <c:pt idx="186">
                  <c:v>-9.1725245020797033</c:v>
                </c:pt>
                <c:pt idx="187">
                  <c:v>-10.509682805443534</c:v>
                </c:pt>
                <c:pt idx="188">
                  <c:v>-11.852251962601201</c:v>
                </c:pt>
                <c:pt idx="189">
                  <c:v>-13.198609507350314</c:v>
                </c:pt>
                <c:pt idx="190">
                  <c:v>-14.547376030315508</c:v>
                </c:pt>
                <c:pt idx="191">
                  <c:v>-15.897358663204308</c:v>
                </c:pt>
                <c:pt idx="192">
                  <c:v>-17.247509325359044</c:v>
                </c:pt>
                <c:pt idx="193">
                  <c:v>-18.596892885306229</c:v>
                </c:pt>
                <c:pt idx="194">
                  <c:v>-19.944662101015112</c:v>
                </c:pt>
                <c:pt idx="195">
                  <c:v>-21.290037250525245</c:v>
                </c:pt>
                <c:pt idx="196">
                  <c:v>-22.632289027455251</c:v>
                </c:pt>
                <c:pt idx="197">
                  <c:v>-23.97072370792359</c:v>
                </c:pt>
                <c:pt idx="198">
                  <c:v>-25.30466988534544</c:v>
                </c:pt>
                <c:pt idx="199">
                  <c:v>-26.633466270137497</c:v>
                </c:pt>
                <c:pt idx="200">
                  <c:v>-27.956450194805811</c:v>
                </c:pt>
                <c:pt idx="201">
                  <c:v>-29.272946571435931</c:v>
                </c:pt>
                <c:pt idx="202">
                  <c:v>-30.582257131227855</c:v>
                </c:pt>
                <c:pt idx="203">
                  <c:v>-31.883649842884822</c:v>
                </c:pt>
                <c:pt idx="204">
                  <c:v>-33.176348463939625</c:v>
                </c:pt>
                <c:pt idx="205">
                  <c:v>-34.459522230103559</c:v>
                </c:pt>
                <c:pt idx="206">
                  <c:v>-35.732275734705851</c:v>
                </c:pt>
                <c:pt idx="207">
                  <c:v>-36.99363909448315</c:v>
                </c:pt>
                <c:pt idx="208">
                  <c:v>-38.242558539797471</c:v>
                </c:pt>
                <c:pt idx="209">
                  <c:v>-39.477887606536221</c:v>
                </c:pt>
                <c:pt idx="210">
                  <c:v>-40.698379142616446</c:v>
                </c:pt>
                <c:pt idx="211">
                  <c:v>-41.902678372794895</c:v>
                </c:pt>
                <c:pt idx="212">
                  <c:v>-43.089317289558807</c:v>
                </c:pt>
                <c:pt idx="213">
                  <c:v>-44.25671065311036</c:v>
                </c:pt>
                <c:pt idx="214">
                  <c:v>-45.403153887555582</c:v>
                </c:pt>
                <c:pt idx="215">
                  <c:v>-46.526823151096757</c:v>
                </c:pt>
                <c:pt idx="216">
                  <c:v>-47.625777833297384</c:v>
                </c:pt>
                <c:pt idx="217">
                  <c:v>-48.697965690882285</c:v>
                </c:pt>
                <c:pt idx="218">
                  <c:v>-49.741230774414589</c:v>
                </c:pt>
                <c:pt idx="219">
                  <c:v>-50.753324222038465</c:v>
                </c:pt>
                <c:pt idx="220">
                  <c:v>-51.731917905092047</c:v>
                </c:pt>
                <c:pt idx="221">
                  <c:v>-52.674620807053785</c:v>
                </c:pt>
                <c:pt idx="222">
                  <c:v>-53.578997906712083</c:v>
                </c:pt>
                <c:pt idx="223">
                  <c:v>-54.442591224662408</c:v>
                </c:pt>
                <c:pt idx="224">
                  <c:v>-55.262942586197084</c:v>
                </c:pt>
                <c:pt idx="225">
                  <c:v>-56.037617560739605</c:v>
                </c:pt>
                <c:pt idx="226">
                  <c:v>-56.764229965340405</c:v>
                </c:pt>
                <c:pt idx="227">
                  <c:v>-57.440466273599569</c:v>
                </c:pt>
                <c:pt idx="228">
                  <c:v>-58.064109256288212</c:v>
                </c:pt>
                <c:pt idx="229">
                  <c:v>-58.633060198267984</c:v>
                </c:pt>
                <c:pt idx="230">
                  <c:v>-59.145359087855262</c:v>
                </c:pt>
                <c:pt idx="231">
                  <c:v>-59.599202256688159</c:v>
                </c:pt>
                <c:pt idx="232">
                  <c:v>-59.992957055132891</c:v>
                </c:pt>
                <c:pt idx="233">
                  <c:v>-60.325173273076174</c:v>
                </c:pt>
                <c:pt idx="234">
                  <c:v>-60.594591150128096</c:v>
                </c:pt>
                <c:pt idx="235">
                  <c:v>-60.800145953957085</c:v>
                </c:pt>
                <c:pt idx="236">
                  <c:v>-60.940969232303956</c:v>
                </c:pt>
                <c:pt idx="237">
                  <c:v>-61.016386955989681</c:v>
                </c:pt>
                <c:pt idx="238">
                  <c:v>-61.025914861512376</c:v>
                </c:pt>
                <c:pt idx="239">
                  <c:v>-60.969251369261414</c:v>
                </c:pt>
              </c:numCache>
            </c:numRef>
          </c:xVal>
          <c:yVal>
            <c:numRef>
              <c:f>CALC60!$BJ$6:$BJ$581</c:f>
              <c:numCache>
                <c:formatCode>General</c:formatCode>
                <c:ptCount val="576"/>
                <c:pt idx="70">
                  <c:v>0</c:v>
                </c:pt>
                <c:pt idx="71">
                  <c:v>17.095385245717431</c:v>
                </c:pt>
                <c:pt idx="72">
                  <c:v>60</c:v>
                </c:pt>
                <c:pt idx="73">
                  <c:v>43.498225094514225</c:v>
                </c:pt>
                <c:pt idx="74">
                  <c:v>19.420897844612</c:v>
                </c:pt>
                <c:pt idx="75">
                  <c:v>0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CALC60!$BK$5</c:f>
              <c:strCache>
                <c:ptCount val="1"/>
                <c:pt idx="0">
                  <c:v>R10</c:v>
                </c:pt>
              </c:strCache>
            </c:strRef>
          </c:tx>
          <c:xVal>
            <c:numRef>
              <c:f>CALC60!$AY$6:$AY$581</c:f>
              <c:numCache>
                <c:formatCode>General</c:formatCode>
                <c:ptCount val="576"/>
                <c:pt idx="0">
                  <c:v>-19.833506546880365</c:v>
                </c:pt>
                <c:pt idx="1">
                  <c:v>-18.245852614565919</c:v>
                </c:pt>
                <c:pt idx="2">
                  <c:v>-16.629666681765414</c:v>
                </c:pt>
                <c:pt idx="3">
                  <c:v>-14.98231154257417</c:v>
                </c:pt>
                <c:pt idx="4">
                  <c:v>-13.301143585556035</c:v>
                </c:pt>
                <c:pt idx="5">
                  <c:v>-11.583569246398675</c:v>
                </c:pt>
                <c:pt idx="6">
                  <c:v>-9.8270793278644781</c:v>
                </c:pt>
                <c:pt idx="7">
                  <c:v>-8.029252658232803</c:v>
                </c:pt>
                <c:pt idx="8">
                  <c:v>-6.1877185053343773</c:v>
                </c:pt>
                <c:pt idx="9">
                  <c:v>-4.3000630515963358</c:v>
                </c:pt>
                <c:pt idx="10">
                  <c:v>-2.3636564525099644</c:v>
                </c:pt>
                <c:pt idx="11">
                  <c:v>-0.37535794962416702</c:v>
                </c:pt>
                <c:pt idx="12">
                  <c:v>-3.0678010204149508</c:v>
                </c:pt>
                <c:pt idx="13">
                  <c:v>5.8156608222448263</c:v>
                </c:pt>
                <c:pt idx="14">
                  <c:v>-8.9906603193697858</c:v>
                </c:pt>
                <c:pt idx="15">
                  <c:v>-19.434156555154736</c:v>
                </c:pt>
                <c:pt idx="16">
                  <c:v>-12</c:v>
                </c:pt>
                <c:pt idx="17">
                  <c:v>-29.167117021908272</c:v>
                </c:pt>
                <c:pt idx="18">
                  <c:v>-14</c:v>
                </c:pt>
                <c:pt idx="19">
                  <c:v>-19.833506546880365</c:v>
                </c:pt>
                <c:pt idx="20">
                  <c:v>1.5130248501190131</c:v>
                </c:pt>
                <c:pt idx="21">
                  <c:v>12</c:v>
                </c:pt>
                <c:pt idx="22">
                  <c:v>-12</c:v>
                </c:pt>
                <c:pt idx="23">
                  <c:v>-28.772550131225248</c:v>
                </c:pt>
                <c:pt idx="24">
                  <c:v>-11.666666666666666</c:v>
                </c:pt>
                <c:pt idx="25">
                  <c:v>-18.245852614565919</c:v>
                </c:pt>
                <c:pt idx="26">
                  <c:v>4.3925078710812571</c:v>
                </c:pt>
                <c:pt idx="27">
                  <c:v>12</c:v>
                </c:pt>
                <c:pt idx="28">
                  <c:v>-12</c:v>
                </c:pt>
                <c:pt idx="29">
                  <c:v>-28.303800039278563</c:v>
                </c:pt>
                <c:pt idx="30">
                  <c:v>-9.3333333333333321</c:v>
                </c:pt>
                <c:pt idx="31">
                  <c:v>-16.629666681765414</c:v>
                </c:pt>
                <c:pt idx="32">
                  <c:v>6.4527131206909987</c:v>
                </c:pt>
                <c:pt idx="33">
                  <c:v>12</c:v>
                </c:pt>
                <c:pt idx="34">
                  <c:v>-12</c:v>
                </c:pt>
                <c:pt idx="35">
                  <c:v>-27.754010010716058</c:v>
                </c:pt>
                <c:pt idx="36">
                  <c:v>-6.9999999999999982</c:v>
                </c:pt>
                <c:pt idx="37">
                  <c:v>-14.98231154257417</c:v>
                </c:pt>
                <c:pt idx="38">
                  <c:v>8.2375052570320868</c:v>
                </c:pt>
                <c:pt idx="39">
                  <c:v>12</c:v>
                </c:pt>
                <c:pt idx="40">
                  <c:v>-12</c:v>
                </c:pt>
                <c:pt idx="41">
                  <c:v>-27.116306655803694</c:v>
                </c:pt>
                <c:pt idx="42">
                  <c:v>-4.6666666666666643</c:v>
                </c:pt>
                <c:pt idx="43">
                  <c:v>-13.301143585556035</c:v>
                </c:pt>
                <c:pt idx="44">
                  <c:v>9.8664661885771885</c:v>
                </c:pt>
                <c:pt idx="45">
                  <c:v>12</c:v>
                </c:pt>
                <c:pt idx="46">
                  <c:v>-12</c:v>
                </c:pt>
                <c:pt idx="47">
                  <c:v>-26.383946707329393</c:v>
                </c:pt>
                <c:pt idx="48">
                  <c:v>-2.3333333333333308</c:v>
                </c:pt>
                <c:pt idx="49">
                  <c:v>-11.583569246398675</c:v>
                </c:pt>
                <c:pt idx="50">
                  <c:v>11.388844623449907</c:v>
                </c:pt>
                <c:pt idx="51">
                  <c:v>12</c:v>
                </c:pt>
                <c:pt idx="52">
                  <c:v>-12</c:v>
                </c:pt>
                <c:pt idx="53">
                  <c:v>-25.550406252475348</c:v>
                </c:pt>
                <c:pt idx="54">
                  <c:v>0</c:v>
                </c:pt>
                <c:pt idx="55">
                  <c:v>-9.8270793278644781</c:v>
                </c:pt>
                <c:pt idx="56">
                  <c:v>12.829698097369761</c:v>
                </c:pt>
                <c:pt idx="57">
                  <c:v>12</c:v>
                </c:pt>
                <c:pt idx="58">
                  <c:v>-12</c:v>
                </c:pt>
                <c:pt idx="59">
                  <c:v>-24.609390244767855</c:v>
                </c:pt>
                <c:pt idx="60">
                  <c:v>2.3333333333333335</c:v>
                </c:pt>
                <c:pt idx="61">
                  <c:v>-8.029252658232803</c:v>
                </c:pt>
                <c:pt idx="62">
                  <c:v>14.203132463376605</c:v>
                </c:pt>
                <c:pt idx="63">
                  <c:v>12</c:v>
                </c:pt>
                <c:pt idx="64">
                  <c:v>-12</c:v>
                </c:pt>
                <c:pt idx="65">
                  <c:v>-23.554734780566797</c:v>
                </c:pt>
                <c:pt idx="66">
                  <c:v>4.666666666666667</c:v>
                </c:pt>
                <c:pt idx="67">
                  <c:v>-6.1877185053343773</c:v>
                </c:pt>
                <c:pt idx="68">
                  <c:v>15.517506829265256</c:v>
                </c:pt>
                <c:pt idx="69">
                  <c:v>12</c:v>
                </c:pt>
                <c:pt idx="70">
                  <c:v>-12</c:v>
                </c:pt>
                <c:pt idx="71">
                  <c:v>-22.380163934182676</c:v>
                </c:pt>
                <c:pt idx="72">
                  <c:v>7</c:v>
                </c:pt>
                <c:pt idx="73">
                  <c:v>-4.3000630515963358</c:v>
                </c:pt>
                <c:pt idx="74">
                  <c:v>16.777941702150098</c:v>
                </c:pt>
                <c:pt idx="75">
                  <c:v>12</c:v>
                </c:pt>
                <c:pt idx="76">
                  <c:v>-12</c:v>
                </c:pt>
                <c:pt idx="77">
                  <c:v>-21.078840109892809</c:v>
                </c:pt>
                <c:pt idx="78">
                  <c:v>9.3333333333333339</c:v>
                </c:pt>
                <c:pt idx="79">
                  <c:v>-2.3636564525099644</c:v>
                </c:pt>
                <c:pt idx="80">
                  <c:v>17.987756355580007</c:v>
                </c:pt>
                <c:pt idx="81">
                  <c:v>12</c:v>
                </c:pt>
                <c:pt idx="82">
                  <c:v>-12</c:v>
                </c:pt>
                <c:pt idx="83">
                  <c:v>-19.642597335724307</c:v>
                </c:pt>
                <c:pt idx="84">
                  <c:v>11.666666666666668</c:v>
                </c:pt>
                <c:pt idx="85">
                  <c:v>-0.37535794962416702</c:v>
                </c:pt>
                <c:pt idx="86">
                  <c:v>19.149459663035739</c:v>
                </c:pt>
                <c:pt idx="87">
                  <c:v>12</c:v>
                </c:pt>
                <c:pt idx="88">
                  <c:v>-12</c:v>
                </c:pt>
                <c:pt idx="89">
                  <c:v>-30.376282653093735</c:v>
                </c:pt>
                <c:pt idx="90">
                  <c:v>14.000000000000002</c:v>
                </c:pt>
                <c:pt idx="91">
                  <c:v>-3.0678010204149508</c:v>
                </c:pt>
                <c:pt idx="92">
                  <c:v>26.896999319700733</c:v>
                </c:pt>
                <c:pt idx="93">
                  <c:v>12</c:v>
                </c:pt>
                <c:pt idx="94">
                  <c:v>-12</c:v>
                </c:pt>
                <c:pt idx="95">
                  <c:v>-24.879281862192261</c:v>
                </c:pt>
                <c:pt idx="96">
                  <c:v>25</c:v>
                </c:pt>
                <c:pt idx="97">
                  <c:v>5.8156608222448263</c:v>
                </c:pt>
                <c:pt idx="98">
                  <c:v>31.34962606454722</c:v>
                </c:pt>
                <c:pt idx="99">
                  <c:v>12</c:v>
                </c:pt>
                <c:pt idx="100">
                  <c:v>-12</c:v>
                </c:pt>
                <c:pt idx="101">
                  <c:v>-23.375716830330454</c:v>
                </c:pt>
                <c:pt idx="102">
                  <c:v>0</c:v>
                </c:pt>
                <c:pt idx="103">
                  <c:v>-8.9906603193697858</c:v>
                </c:pt>
                <c:pt idx="104">
                  <c:v>22.648032351271631</c:v>
                </c:pt>
                <c:pt idx="105">
                  <c:v>12</c:v>
                </c:pt>
                <c:pt idx="106">
                  <c:v>-12</c:v>
                </c:pt>
                <c:pt idx="107">
                  <c:v>-10.52880704336475</c:v>
                </c:pt>
                <c:pt idx="108">
                  <c:v>-25</c:v>
                </c:pt>
                <c:pt idx="109">
                  <c:v>-19.434156555154736</c:v>
                </c:pt>
                <c:pt idx="110">
                  <c:v>20.32293673094285</c:v>
                </c:pt>
                <c:pt idx="111">
                  <c:v>12</c:v>
                </c:pt>
                <c:pt idx="112">
                  <c:v>60</c:v>
                </c:pt>
                <c:pt idx="113">
                  <c:v>59.977621104822219</c:v>
                </c:pt>
                <c:pt idx="114">
                  <c:v>59.910498330815244</c:v>
                </c:pt>
                <c:pt idx="115">
                  <c:v>59.7986734039103</c:v>
                </c:pt>
                <c:pt idx="116">
                  <c:v>59.642215838505066</c:v>
                </c:pt>
                <c:pt idx="117">
                  <c:v>59.441222894251112</c:v>
                </c:pt>
                <c:pt idx="118">
                  <c:v>59.195819515593755</c:v>
                </c:pt>
                <c:pt idx="119">
                  <c:v>58.906158254102053</c:v>
                </c:pt>
                <c:pt idx="120">
                  <c:v>58.572419173637371</c:v>
                </c:pt>
                <c:pt idx="121">
                  <c:v>58.19480973841911</c:v>
                </c:pt>
                <c:pt idx="122">
                  <c:v>57.77356468405749</c:v>
                </c:pt>
                <c:pt idx="123">
                  <c:v>57.308945871633512</c:v>
                </c:pt>
                <c:pt idx="124">
                  <c:v>56.801242124916655</c:v>
                </c:pt>
                <c:pt idx="125">
                  <c:v>56.250769050821617</c:v>
                </c:pt>
                <c:pt idx="126">
                  <c:v>55.657868843215709</c:v>
                </c:pt>
                <c:pt idx="127">
                  <c:v>55.022910070198847</c:v>
                </c:pt>
                <c:pt idx="128">
                  <c:v>54.346287444988349</c:v>
                </c:pt>
                <c:pt idx="129">
                  <c:v>53.628421580551006</c:v>
                </c:pt>
                <c:pt idx="130">
                  <c:v>52.869758728134926</c:v>
                </c:pt>
                <c:pt idx="131">
                  <c:v>52.070770499863713</c:v>
                </c:pt>
                <c:pt idx="132">
                  <c:v>51.231953575565385</c:v>
                </c:pt>
                <c:pt idx="133">
                  <c:v>50.353829394018334</c:v>
                </c:pt>
                <c:pt idx="134">
                  <c:v>49.436943828806236</c:v>
                </c:pt>
                <c:pt idx="135">
                  <c:v>48.481866848983351</c:v>
                </c:pt>
                <c:pt idx="136">
                  <c:v>47.489192164761299</c:v>
                </c:pt>
                <c:pt idx="137">
                  <c:v>46.45953685843741</c:v>
                </c:pt>
                <c:pt idx="138">
                  <c:v>45.39354100079418</c:v>
                </c:pt>
                <c:pt idx="139">
                  <c:v>44.29186725320821</c:v>
                </c:pt>
                <c:pt idx="140">
                  <c:v>43.155200455716098</c:v>
                </c:pt>
                <c:pt idx="141">
                  <c:v>41.984247201293201</c:v>
                </c:pt>
                <c:pt idx="142">
                  <c:v>40.779735396610057</c:v>
                </c:pt>
                <c:pt idx="143">
                  <c:v>39.542413809539362</c:v>
                </c:pt>
                <c:pt idx="144">
                  <c:v>38.27305160369496</c:v>
                </c:pt>
                <c:pt idx="145">
                  <c:v>36.97243786029204</c:v>
                </c:pt>
                <c:pt idx="146">
                  <c:v>35.641381087625909</c:v>
                </c:pt>
                <c:pt idx="147">
                  <c:v>34.280708718474088</c:v>
                </c:pt>
                <c:pt idx="148">
                  <c:v>32.891266595734379</c:v>
                </c:pt>
                <c:pt idx="149">
                  <c:v>31.473918446618441</c:v>
                </c:pt>
                <c:pt idx="150">
                  <c:v>30.029545345727961</c:v>
                </c:pt>
                <c:pt idx="151">
                  <c:v>28.559045167346859</c:v>
                </c:pt>
                <c:pt idx="152">
                  <c:v>27.063332027290457</c:v>
                </c:pt>
                <c:pt idx="153">
                  <c:v>25.54333571465812</c:v>
                </c:pt>
                <c:pt idx="154">
                  <c:v>24.00000111384292</c:v>
                </c:pt>
                <c:pt idx="155">
                  <c:v>22.434287617157558</c:v>
                </c:pt>
                <c:pt idx="156">
                  <c:v>20.847168528441451</c:v>
                </c:pt>
                <c:pt idx="157">
                  <c:v>19.239630458020226</c:v>
                </c:pt>
                <c:pt idx="158">
                  <c:v>17.612672709393095</c:v>
                </c:pt>
                <c:pt idx="159">
                  <c:v>15.967306658029923</c:v>
                </c:pt>
                <c:pt idx="160">
                  <c:v>14.304555122663807</c:v>
                </c:pt>
                <c:pt idx="161">
                  <c:v>12.625451729470267</c:v>
                </c:pt>
                <c:pt idx="162">
                  <c:v>10.931040269527855</c:v>
                </c:pt>
                <c:pt idx="163">
                  <c:v>9.2223740499601874</c:v>
                </c:pt>
                <c:pt idx="164">
                  <c:v>7.50051523916229</c:v>
                </c:pt>
                <c:pt idx="165">
                  <c:v>5.7665342065185783</c:v>
                </c:pt>
                <c:pt idx="166">
                  <c:v>4.0215088570226385</c:v>
                </c:pt>
                <c:pt idx="167">
                  <c:v>2.2665239612127621</c:v>
                </c:pt>
                <c:pt idx="168">
                  <c:v>0.50267048083958699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2.8515696384297637</c:v>
                </c:pt>
                <c:pt idx="177">
                  <c:v>1.9753111994832171</c:v>
                </c:pt>
                <c:pt idx="178">
                  <c:v>0.92563316887902047</c:v>
                </c:pt>
                <c:pt idx="179">
                  <c:v>-0.21601377837397351</c:v>
                </c:pt>
                <c:pt idx="180">
                  <c:v>-1.4157664759720063</c:v>
                </c:pt>
                <c:pt idx="181">
                  <c:v>-2.6556123420946562</c:v>
                </c:pt>
                <c:pt idx="182">
                  <c:v>-3.9245681685754725</c:v>
                </c:pt>
                <c:pt idx="183">
                  <c:v>-5.2153144569239593</c:v>
                </c:pt>
                <c:pt idx="184">
                  <c:v>-6.5226550874579061</c:v>
                </c:pt>
                <c:pt idx="185">
                  <c:v>-7.8427215966531474</c:v>
                </c:pt>
                <c:pt idx="186">
                  <c:v>-9.1725245020797033</c:v>
                </c:pt>
                <c:pt idx="187">
                  <c:v>-10.509682805443534</c:v>
                </c:pt>
                <c:pt idx="188">
                  <c:v>-11.852251962601201</c:v>
                </c:pt>
                <c:pt idx="189">
                  <c:v>-13.198609507350314</c:v>
                </c:pt>
                <c:pt idx="190">
                  <c:v>-14.547376030315508</c:v>
                </c:pt>
                <c:pt idx="191">
                  <c:v>-15.897358663204308</c:v>
                </c:pt>
                <c:pt idx="192">
                  <c:v>-17.247509325359044</c:v>
                </c:pt>
                <c:pt idx="193">
                  <c:v>-18.596892885306229</c:v>
                </c:pt>
                <c:pt idx="194">
                  <c:v>-19.944662101015112</c:v>
                </c:pt>
                <c:pt idx="195">
                  <c:v>-21.290037250525245</c:v>
                </c:pt>
                <c:pt idx="196">
                  <c:v>-22.632289027455251</c:v>
                </c:pt>
                <c:pt idx="197">
                  <c:v>-23.97072370792359</c:v>
                </c:pt>
                <c:pt idx="198">
                  <c:v>-25.30466988534544</c:v>
                </c:pt>
                <c:pt idx="199">
                  <c:v>-26.633466270137497</c:v>
                </c:pt>
                <c:pt idx="200">
                  <c:v>-27.956450194805811</c:v>
                </c:pt>
                <c:pt idx="201">
                  <c:v>-29.272946571435931</c:v>
                </c:pt>
                <c:pt idx="202">
                  <c:v>-30.582257131227855</c:v>
                </c:pt>
                <c:pt idx="203">
                  <c:v>-31.883649842884822</c:v>
                </c:pt>
                <c:pt idx="204">
                  <c:v>-33.176348463939625</c:v>
                </c:pt>
                <c:pt idx="205">
                  <c:v>-34.459522230103559</c:v>
                </c:pt>
                <c:pt idx="206">
                  <c:v>-35.732275734705851</c:v>
                </c:pt>
                <c:pt idx="207">
                  <c:v>-36.99363909448315</c:v>
                </c:pt>
                <c:pt idx="208">
                  <c:v>-38.242558539797471</c:v>
                </c:pt>
                <c:pt idx="209">
                  <c:v>-39.477887606536221</c:v>
                </c:pt>
                <c:pt idx="210">
                  <c:v>-40.698379142616446</c:v>
                </c:pt>
                <c:pt idx="211">
                  <c:v>-41.902678372794895</c:v>
                </c:pt>
                <c:pt idx="212">
                  <c:v>-43.089317289558807</c:v>
                </c:pt>
                <c:pt idx="213">
                  <c:v>-44.25671065311036</c:v>
                </c:pt>
                <c:pt idx="214">
                  <c:v>-45.403153887555582</c:v>
                </c:pt>
                <c:pt idx="215">
                  <c:v>-46.526823151096757</c:v>
                </c:pt>
                <c:pt idx="216">
                  <c:v>-47.625777833297384</c:v>
                </c:pt>
                <c:pt idx="217">
                  <c:v>-48.697965690882285</c:v>
                </c:pt>
                <c:pt idx="218">
                  <c:v>-49.741230774414589</c:v>
                </c:pt>
                <c:pt idx="219">
                  <c:v>-50.753324222038465</c:v>
                </c:pt>
                <c:pt idx="220">
                  <c:v>-51.731917905092047</c:v>
                </c:pt>
                <c:pt idx="221">
                  <c:v>-52.674620807053785</c:v>
                </c:pt>
                <c:pt idx="222">
                  <c:v>-53.578997906712083</c:v>
                </c:pt>
                <c:pt idx="223">
                  <c:v>-54.442591224662408</c:v>
                </c:pt>
                <c:pt idx="224">
                  <c:v>-55.262942586197084</c:v>
                </c:pt>
                <c:pt idx="225">
                  <c:v>-56.037617560739605</c:v>
                </c:pt>
                <c:pt idx="226">
                  <c:v>-56.764229965340405</c:v>
                </c:pt>
                <c:pt idx="227">
                  <c:v>-57.440466273599569</c:v>
                </c:pt>
                <c:pt idx="228">
                  <c:v>-58.064109256288212</c:v>
                </c:pt>
                <c:pt idx="229">
                  <c:v>-58.633060198267984</c:v>
                </c:pt>
                <c:pt idx="230">
                  <c:v>-59.145359087855262</c:v>
                </c:pt>
                <c:pt idx="231">
                  <c:v>-59.599202256688159</c:v>
                </c:pt>
                <c:pt idx="232">
                  <c:v>-59.992957055132891</c:v>
                </c:pt>
                <c:pt idx="233">
                  <c:v>-60.325173273076174</c:v>
                </c:pt>
                <c:pt idx="234">
                  <c:v>-60.594591150128096</c:v>
                </c:pt>
                <c:pt idx="235">
                  <c:v>-60.800145953957085</c:v>
                </c:pt>
                <c:pt idx="236">
                  <c:v>-60.940969232303956</c:v>
                </c:pt>
                <c:pt idx="237">
                  <c:v>-61.016386955989681</c:v>
                </c:pt>
                <c:pt idx="238">
                  <c:v>-61.025914861512376</c:v>
                </c:pt>
                <c:pt idx="239">
                  <c:v>-60.969251369261414</c:v>
                </c:pt>
              </c:numCache>
            </c:numRef>
          </c:xVal>
          <c:yVal>
            <c:numRef>
              <c:f>CALC60!$BK$6:$BK$581</c:f>
              <c:numCache>
                <c:formatCode>General</c:formatCode>
                <c:ptCount val="576"/>
                <c:pt idx="76">
                  <c:v>0</c:v>
                </c:pt>
                <c:pt idx="77">
                  <c:v>17.820624631561081</c:v>
                </c:pt>
                <c:pt idx="78">
                  <c:v>60</c:v>
                </c:pt>
                <c:pt idx="79">
                  <c:v>43.777163319837754</c:v>
                </c:pt>
                <c:pt idx="80">
                  <c:v>19.08263016007519</c:v>
                </c:pt>
                <c:pt idx="81">
                  <c:v>0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CALC60!$BL$5</c:f>
              <c:strCache>
                <c:ptCount val="1"/>
                <c:pt idx="0">
                  <c:v>R11</c:v>
                </c:pt>
              </c:strCache>
            </c:strRef>
          </c:tx>
          <c:xVal>
            <c:numRef>
              <c:f>CALC60!$AY$6:$AY$581</c:f>
              <c:numCache>
                <c:formatCode>General</c:formatCode>
                <c:ptCount val="576"/>
                <c:pt idx="0">
                  <c:v>-19.833506546880365</c:v>
                </c:pt>
                <c:pt idx="1">
                  <c:v>-18.245852614565919</c:v>
                </c:pt>
                <c:pt idx="2">
                  <c:v>-16.629666681765414</c:v>
                </c:pt>
                <c:pt idx="3">
                  <c:v>-14.98231154257417</c:v>
                </c:pt>
                <c:pt idx="4">
                  <c:v>-13.301143585556035</c:v>
                </c:pt>
                <c:pt idx="5">
                  <c:v>-11.583569246398675</c:v>
                </c:pt>
                <c:pt idx="6">
                  <c:v>-9.8270793278644781</c:v>
                </c:pt>
                <c:pt idx="7">
                  <c:v>-8.029252658232803</c:v>
                </c:pt>
                <c:pt idx="8">
                  <c:v>-6.1877185053343773</c:v>
                </c:pt>
                <c:pt idx="9">
                  <c:v>-4.3000630515963358</c:v>
                </c:pt>
                <c:pt idx="10">
                  <c:v>-2.3636564525099644</c:v>
                </c:pt>
                <c:pt idx="11">
                  <c:v>-0.37535794962416702</c:v>
                </c:pt>
                <c:pt idx="12">
                  <c:v>-3.0678010204149508</c:v>
                </c:pt>
                <c:pt idx="13">
                  <c:v>5.8156608222448263</c:v>
                </c:pt>
                <c:pt idx="14">
                  <c:v>-8.9906603193697858</c:v>
                </c:pt>
                <c:pt idx="15">
                  <c:v>-19.434156555154736</c:v>
                </c:pt>
                <c:pt idx="16">
                  <c:v>-12</c:v>
                </c:pt>
                <c:pt idx="17">
                  <c:v>-29.167117021908272</c:v>
                </c:pt>
                <c:pt idx="18">
                  <c:v>-14</c:v>
                </c:pt>
                <c:pt idx="19">
                  <c:v>-19.833506546880365</c:v>
                </c:pt>
                <c:pt idx="20">
                  <c:v>1.5130248501190131</c:v>
                </c:pt>
                <c:pt idx="21">
                  <c:v>12</c:v>
                </c:pt>
                <c:pt idx="22">
                  <c:v>-12</c:v>
                </c:pt>
                <c:pt idx="23">
                  <c:v>-28.772550131225248</c:v>
                </c:pt>
                <c:pt idx="24">
                  <c:v>-11.666666666666666</c:v>
                </c:pt>
                <c:pt idx="25">
                  <c:v>-18.245852614565919</c:v>
                </c:pt>
                <c:pt idx="26">
                  <c:v>4.3925078710812571</c:v>
                </c:pt>
                <c:pt idx="27">
                  <c:v>12</c:v>
                </c:pt>
                <c:pt idx="28">
                  <c:v>-12</c:v>
                </c:pt>
                <c:pt idx="29">
                  <c:v>-28.303800039278563</c:v>
                </c:pt>
                <c:pt idx="30">
                  <c:v>-9.3333333333333321</c:v>
                </c:pt>
                <c:pt idx="31">
                  <c:v>-16.629666681765414</c:v>
                </c:pt>
                <c:pt idx="32">
                  <c:v>6.4527131206909987</c:v>
                </c:pt>
                <c:pt idx="33">
                  <c:v>12</c:v>
                </c:pt>
                <c:pt idx="34">
                  <c:v>-12</c:v>
                </c:pt>
                <c:pt idx="35">
                  <c:v>-27.754010010716058</c:v>
                </c:pt>
                <c:pt idx="36">
                  <c:v>-6.9999999999999982</c:v>
                </c:pt>
                <c:pt idx="37">
                  <c:v>-14.98231154257417</c:v>
                </c:pt>
                <c:pt idx="38">
                  <c:v>8.2375052570320868</c:v>
                </c:pt>
                <c:pt idx="39">
                  <c:v>12</c:v>
                </c:pt>
                <c:pt idx="40">
                  <c:v>-12</c:v>
                </c:pt>
                <c:pt idx="41">
                  <c:v>-27.116306655803694</c:v>
                </c:pt>
                <c:pt idx="42">
                  <c:v>-4.6666666666666643</c:v>
                </c:pt>
                <c:pt idx="43">
                  <c:v>-13.301143585556035</c:v>
                </c:pt>
                <c:pt idx="44">
                  <c:v>9.8664661885771885</c:v>
                </c:pt>
                <c:pt idx="45">
                  <c:v>12</c:v>
                </c:pt>
                <c:pt idx="46">
                  <c:v>-12</c:v>
                </c:pt>
                <c:pt idx="47">
                  <c:v>-26.383946707329393</c:v>
                </c:pt>
                <c:pt idx="48">
                  <c:v>-2.3333333333333308</c:v>
                </c:pt>
                <c:pt idx="49">
                  <c:v>-11.583569246398675</c:v>
                </c:pt>
                <c:pt idx="50">
                  <c:v>11.388844623449907</c:v>
                </c:pt>
                <c:pt idx="51">
                  <c:v>12</c:v>
                </c:pt>
                <c:pt idx="52">
                  <c:v>-12</c:v>
                </c:pt>
                <c:pt idx="53">
                  <c:v>-25.550406252475348</c:v>
                </c:pt>
                <c:pt idx="54">
                  <c:v>0</c:v>
                </c:pt>
                <c:pt idx="55">
                  <c:v>-9.8270793278644781</c:v>
                </c:pt>
                <c:pt idx="56">
                  <c:v>12.829698097369761</c:v>
                </c:pt>
                <c:pt idx="57">
                  <c:v>12</c:v>
                </c:pt>
                <c:pt idx="58">
                  <c:v>-12</c:v>
                </c:pt>
                <c:pt idx="59">
                  <c:v>-24.609390244767855</c:v>
                </c:pt>
                <c:pt idx="60">
                  <c:v>2.3333333333333335</c:v>
                </c:pt>
                <c:pt idx="61">
                  <c:v>-8.029252658232803</c:v>
                </c:pt>
                <c:pt idx="62">
                  <c:v>14.203132463376605</c:v>
                </c:pt>
                <c:pt idx="63">
                  <c:v>12</c:v>
                </c:pt>
                <c:pt idx="64">
                  <c:v>-12</c:v>
                </c:pt>
                <c:pt idx="65">
                  <c:v>-23.554734780566797</c:v>
                </c:pt>
                <c:pt idx="66">
                  <c:v>4.666666666666667</c:v>
                </c:pt>
                <c:pt idx="67">
                  <c:v>-6.1877185053343773</c:v>
                </c:pt>
                <c:pt idx="68">
                  <c:v>15.517506829265256</c:v>
                </c:pt>
                <c:pt idx="69">
                  <c:v>12</c:v>
                </c:pt>
                <c:pt idx="70">
                  <c:v>-12</c:v>
                </c:pt>
                <c:pt idx="71">
                  <c:v>-22.380163934182676</c:v>
                </c:pt>
                <c:pt idx="72">
                  <c:v>7</c:v>
                </c:pt>
                <c:pt idx="73">
                  <c:v>-4.3000630515963358</c:v>
                </c:pt>
                <c:pt idx="74">
                  <c:v>16.777941702150098</c:v>
                </c:pt>
                <c:pt idx="75">
                  <c:v>12</c:v>
                </c:pt>
                <c:pt idx="76">
                  <c:v>-12</c:v>
                </c:pt>
                <c:pt idx="77">
                  <c:v>-21.078840109892809</c:v>
                </c:pt>
                <c:pt idx="78">
                  <c:v>9.3333333333333339</c:v>
                </c:pt>
                <c:pt idx="79">
                  <c:v>-2.3636564525099644</c:v>
                </c:pt>
                <c:pt idx="80">
                  <c:v>17.987756355580007</c:v>
                </c:pt>
                <c:pt idx="81">
                  <c:v>12</c:v>
                </c:pt>
                <c:pt idx="82">
                  <c:v>-12</c:v>
                </c:pt>
                <c:pt idx="83">
                  <c:v>-19.642597335724307</c:v>
                </c:pt>
                <c:pt idx="84">
                  <c:v>11.666666666666668</c:v>
                </c:pt>
                <c:pt idx="85">
                  <c:v>-0.37535794962416702</c:v>
                </c:pt>
                <c:pt idx="86">
                  <c:v>19.149459663035739</c:v>
                </c:pt>
                <c:pt idx="87">
                  <c:v>12</c:v>
                </c:pt>
                <c:pt idx="88">
                  <c:v>-12</c:v>
                </c:pt>
                <c:pt idx="89">
                  <c:v>-30.376282653093735</c:v>
                </c:pt>
                <c:pt idx="90">
                  <c:v>14.000000000000002</c:v>
                </c:pt>
                <c:pt idx="91">
                  <c:v>-3.0678010204149508</c:v>
                </c:pt>
                <c:pt idx="92">
                  <c:v>26.896999319700733</c:v>
                </c:pt>
                <c:pt idx="93">
                  <c:v>12</c:v>
                </c:pt>
                <c:pt idx="94">
                  <c:v>-12</c:v>
                </c:pt>
                <c:pt idx="95">
                  <c:v>-24.879281862192261</c:v>
                </c:pt>
                <c:pt idx="96">
                  <c:v>25</c:v>
                </c:pt>
                <c:pt idx="97">
                  <c:v>5.8156608222448263</c:v>
                </c:pt>
                <c:pt idx="98">
                  <c:v>31.34962606454722</c:v>
                </c:pt>
                <c:pt idx="99">
                  <c:v>12</c:v>
                </c:pt>
                <c:pt idx="100">
                  <c:v>-12</c:v>
                </c:pt>
                <c:pt idx="101">
                  <c:v>-23.375716830330454</c:v>
                </c:pt>
                <c:pt idx="102">
                  <c:v>0</c:v>
                </c:pt>
                <c:pt idx="103">
                  <c:v>-8.9906603193697858</c:v>
                </c:pt>
                <c:pt idx="104">
                  <c:v>22.648032351271631</c:v>
                </c:pt>
                <c:pt idx="105">
                  <c:v>12</c:v>
                </c:pt>
                <c:pt idx="106">
                  <c:v>-12</c:v>
                </c:pt>
                <c:pt idx="107">
                  <c:v>-10.52880704336475</c:v>
                </c:pt>
                <c:pt idx="108">
                  <c:v>-25</c:v>
                </c:pt>
                <c:pt idx="109">
                  <c:v>-19.434156555154736</c:v>
                </c:pt>
                <c:pt idx="110">
                  <c:v>20.32293673094285</c:v>
                </c:pt>
                <c:pt idx="111">
                  <c:v>12</c:v>
                </c:pt>
                <c:pt idx="112">
                  <c:v>60</c:v>
                </c:pt>
                <c:pt idx="113">
                  <c:v>59.977621104822219</c:v>
                </c:pt>
                <c:pt idx="114">
                  <c:v>59.910498330815244</c:v>
                </c:pt>
                <c:pt idx="115">
                  <c:v>59.7986734039103</c:v>
                </c:pt>
                <c:pt idx="116">
                  <c:v>59.642215838505066</c:v>
                </c:pt>
                <c:pt idx="117">
                  <c:v>59.441222894251112</c:v>
                </c:pt>
                <c:pt idx="118">
                  <c:v>59.195819515593755</c:v>
                </c:pt>
                <c:pt idx="119">
                  <c:v>58.906158254102053</c:v>
                </c:pt>
                <c:pt idx="120">
                  <c:v>58.572419173637371</c:v>
                </c:pt>
                <c:pt idx="121">
                  <c:v>58.19480973841911</c:v>
                </c:pt>
                <c:pt idx="122">
                  <c:v>57.77356468405749</c:v>
                </c:pt>
                <c:pt idx="123">
                  <c:v>57.308945871633512</c:v>
                </c:pt>
                <c:pt idx="124">
                  <c:v>56.801242124916655</c:v>
                </c:pt>
                <c:pt idx="125">
                  <c:v>56.250769050821617</c:v>
                </c:pt>
                <c:pt idx="126">
                  <c:v>55.657868843215709</c:v>
                </c:pt>
                <c:pt idx="127">
                  <c:v>55.022910070198847</c:v>
                </c:pt>
                <c:pt idx="128">
                  <c:v>54.346287444988349</c:v>
                </c:pt>
                <c:pt idx="129">
                  <c:v>53.628421580551006</c:v>
                </c:pt>
                <c:pt idx="130">
                  <c:v>52.869758728134926</c:v>
                </c:pt>
                <c:pt idx="131">
                  <c:v>52.070770499863713</c:v>
                </c:pt>
                <c:pt idx="132">
                  <c:v>51.231953575565385</c:v>
                </c:pt>
                <c:pt idx="133">
                  <c:v>50.353829394018334</c:v>
                </c:pt>
                <c:pt idx="134">
                  <c:v>49.436943828806236</c:v>
                </c:pt>
                <c:pt idx="135">
                  <c:v>48.481866848983351</c:v>
                </c:pt>
                <c:pt idx="136">
                  <c:v>47.489192164761299</c:v>
                </c:pt>
                <c:pt idx="137">
                  <c:v>46.45953685843741</c:v>
                </c:pt>
                <c:pt idx="138">
                  <c:v>45.39354100079418</c:v>
                </c:pt>
                <c:pt idx="139">
                  <c:v>44.29186725320821</c:v>
                </c:pt>
                <c:pt idx="140">
                  <c:v>43.155200455716098</c:v>
                </c:pt>
                <c:pt idx="141">
                  <c:v>41.984247201293201</c:v>
                </c:pt>
                <c:pt idx="142">
                  <c:v>40.779735396610057</c:v>
                </c:pt>
                <c:pt idx="143">
                  <c:v>39.542413809539362</c:v>
                </c:pt>
                <c:pt idx="144">
                  <c:v>38.27305160369496</c:v>
                </c:pt>
                <c:pt idx="145">
                  <c:v>36.97243786029204</c:v>
                </c:pt>
                <c:pt idx="146">
                  <c:v>35.641381087625909</c:v>
                </c:pt>
                <c:pt idx="147">
                  <c:v>34.280708718474088</c:v>
                </c:pt>
                <c:pt idx="148">
                  <c:v>32.891266595734379</c:v>
                </c:pt>
                <c:pt idx="149">
                  <c:v>31.473918446618441</c:v>
                </c:pt>
                <c:pt idx="150">
                  <c:v>30.029545345727961</c:v>
                </c:pt>
                <c:pt idx="151">
                  <c:v>28.559045167346859</c:v>
                </c:pt>
                <c:pt idx="152">
                  <c:v>27.063332027290457</c:v>
                </c:pt>
                <c:pt idx="153">
                  <c:v>25.54333571465812</c:v>
                </c:pt>
                <c:pt idx="154">
                  <c:v>24.00000111384292</c:v>
                </c:pt>
                <c:pt idx="155">
                  <c:v>22.434287617157558</c:v>
                </c:pt>
                <c:pt idx="156">
                  <c:v>20.847168528441451</c:v>
                </c:pt>
                <c:pt idx="157">
                  <c:v>19.239630458020226</c:v>
                </c:pt>
                <c:pt idx="158">
                  <c:v>17.612672709393095</c:v>
                </c:pt>
                <c:pt idx="159">
                  <c:v>15.967306658029923</c:v>
                </c:pt>
                <c:pt idx="160">
                  <c:v>14.304555122663807</c:v>
                </c:pt>
                <c:pt idx="161">
                  <c:v>12.625451729470267</c:v>
                </c:pt>
                <c:pt idx="162">
                  <c:v>10.931040269527855</c:v>
                </c:pt>
                <c:pt idx="163">
                  <c:v>9.2223740499601874</c:v>
                </c:pt>
                <c:pt idx="164">
                  <c:v>7.50051523916229</c:v>
                </c:pt>
                <c:pt idx="165">
                  <c:v>5.7665342065185783</c:v>
                </c:pt>
                <c:pt idx="166">
                  <c:v>4.0215088570226385</c:v>
                </c:pt>
                <c:pt idx="167">
                  <c:v>2.2665239612127621</c:v>
                </c:pt>
                <c:pt idx="168">
                  <c:v>0.50267048083958699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2.8515696384297637</c:v>
                </c:pt>
                <c:pt idx="177">
                  <c:v>1.9753111994832171</c:v>
                </c:pt>
                <c:pt idx="178">
                  <c:v>0.92563316887902047</c:v>
                </c:pt>
                <c:pt idx="179">
                  <c:v>-0.21601377837397351</c:v>
                </c:pt>
                <c:pt idx="180">
                  <c:v>-1.4157664759720063</c:v>
                </c:pt>
                <c:pt idx="181">
                  <c:v>-2.6556123420946562</c:v>
                </c:pt>
                <c:pt idx="182">
                  <c:v>-3.9245681685754725</c:v>
                </c:pt>
                <c:pt idx="183">
                  <c:v>-5.2153144569239593</c:v>
                </c:pt>
                <c:pt idx="184">
                  <c:v>-6.5226550874579061</c:v>
                </c:pt>
                <c:pt idx="185">
                  <c:v>-7.8427215966531474</c:v>
                </c:pt>
                <c:pt idx="186">
                  <c:v>-9.1725245020797033</c:v>
                </c:pt>
                <c:pt idx="187">
                  <c:v>-10.509682805443534</c:v>
                </c:pt>
                <c:pt idx="188">
                  <c:v>-11.852251962601201</c:v>
                </c:pt>
                <c:pt idx="189">
                  <c:v>-13.198609507350314</c:v>
                </c:pt>
                <c:pt idx="190">
                  <c:v>-14.547376030315508</c:v>
                </c:pt>
                <c:pt idx="191">
                  <c:v>-15.897358663204308</c:v>
                </c:pt>
                <c:pt idx="192">
                  <c:v>-17.247509325359044</c:v>
                </c:pt>
                <c:pt idx="193">
                  <c:v>-18.596892885306229</c:v>
                </c:pt>
                <c:pt idx="194">
                  <c:v>-19.944662101015112</c:v>
                </c:pt>
                <c:pt idx="195">
                  <c:v>-21.290037250525245</c:v>
                </c:pt>
                <c:pt idx="196">
                  <c:v>-22.632289027455251</c:v>
                </c:pt>
                <c:pt idx="197">
                  <c:v>-23.97072370792359</c:v>
                </c:pt>
                <c:pt idx="198">
                  <c:v>-25.30466988534544</c:v>
                </c:pt>
                <c:pt idx="199">
                  <c:v>-26.633466270137497</c:v>
                </c:pt>
                <c:pt idx="200">
                  <c:v>-27.956450194805811</c:v>
                </c:pt>
                <c:pt idx="201">
                  <c:v>-29.272946571435931</c:v>
                </c:pt>
                <c:pt idx="202">
                  <c:v>-30.582257131227855</c:v>
                </c:pt>
                <c:pt idx="203">
                  <c:v>-31.883649842884822</c:v>
                </c:pt>
                <c:pt idx="204">
                  <c:v>-33.176348463939625</c:v>
                </c:pt>
                <c:pt idx="205">
                  <c:v>-34.459522230103559</c:v>
                </c:pt>
                <c:pt idx="206">
                  <c:v>-35.732275734705851</c:v>
                </c:pt>
                <c:pt idx="207">
                  <c:v>-36.99363909448315</c:v>
                </c:pt>
                <c:pt idx="208">
                  <c:v>-38.242558539797471</c:v>
                </c:pt>
                <c:pt idx="209">
                  <c:v>-39.477887606536221</c:v>
                </c:pt>
                <c:pt idx="210">
                  <c:v>-40.698379142616446</c:v>
                </c:pt>
                <c:pt idx="211">
                  <c:v>-41.902678372794895</c:v>
                </c:pt>
                <c:pt idx="212">
                  <c:v>-43.089317289558807</c:v>
                </c:pt>
                <c:pt idx="213">
                  <c:v>-44.25671065311036</c:v>
                </c:pt>
                <c:pt idx="214">
                  <c:v>-45.403153887555582</c:v>
                </c:pt>
                <c:pt idx="215">
                  <c:v>-46.526823151096757</c:v>
                </c:pt>
                <c:pt idx="216">
                  <c:v>-47.625777833297384</c:v>
                </c:pt>
                <c:pt idx="217">
                  <c:v>-48.697965690882285</c:v>
                </c:pt>
                <c:pt idx="218">
                  <c:v>-49.741230774414589</c:v>
                </c:pt>
                <c:pt idx="219">
                  <c:v>-50.753324222038465</c:v>
                </c:pt>
                <c:pt idx="220">
                  <c:v>-51.731917905092047</c:v>
                </c:pt>
                <c:pt idx="221">
                  <c:v>-52.674620807053785</c:v>
                </c:pt>
                <c:pt idx="222">
                  <c:v>-53.578997906712083</c:v>
                </c:pt>
                <c:pt idx="223">
                  <c:v>-54.442591224662408</c:v>
                </c:pt>
                <c:pt idx="224">
                  <c:v>-55.262942586197084</c:v>
                </c:pt>
                <c:pt idx="225">
                  <c:v>-56.037617560739605</c:v>
                </c:pt>
                <c:pt idx="226">
                  <c:v>-56.764229965340405</c:v>
                </c:pt>
                <c:pt idx="227">
                  <c:v>-57.440466273599569</c:v>
                </c:pt>
                <c:pt idx="228">
                  <c:v>-58.064109256288212</c:v>
                </c:pt>
                <c:pt idx="229">
                  <c:v>-58.633060198267984</c:v>
                </c:pt>
                <c:pt idx="230">
                  <c:v>-59.145359087855262</c:v>
                </c:pt>
                <c:pt idx="231">
                  <c:v>-59.599202256688159</c:v>
                </c:pt>
                <c:pt idx="232">
                  <c:v>-59.992957055132891</c:v>
                </c:pt>
                <c:pt idx="233">
                  <c:v>-60.325173273076174</c:v>
                </c:pt>
                <c:pt idx="234">
                  <c:v>-60.594591150128096</c:v>
                </c:pt>
                <c:pt idx="235">
                  <c:v>-60.800145953957085</c:v>
                </c:pt>
                <c:pt idx="236">
                  <c:v>-60.940969232303956</c:v>
                </c:pt>
                <c:pt idx="237">
                  <c:v>-61.016386955989681</c:v>
                </c:pt>
                <c:pt idx="238">
                  <c:v>-61.025914861512376</c:v>
                </c:pt>
                <c:pt idx="239">
                  <c:v>-60.969251369261414</c:v>
                </c:pt>
              </c:numCache>
            </c:numRef>
          </c:xVal>
          <c:yVal>
            <c:numRef>
              <c:f>CALC60!$BL$6:$BL$581</c:f>
              <c:numCache>
                <c:formatCode>General</c:formatCode>
                <c:ptCount val="576"/>
                <c:pt idx="82">
                  <c:v>0</c:v>
                </c:pt>
                <c:pt idx="83">
                  <c:v>18.482172652693723</c:v>
                </c:pt>
                <c:pt idx="84">
                  <c:v>60</c:v>
                </c:pt>
                <c:pt idx="85">
                  <c:v>44.0316048664262</c:v>
                </c:pt>
                <c:pt idx="86">
                  <c:v>18.678469598086053</c:v>
                </c:pt>
                <c:pt idx="87">
                  <c:v>0</c:v>
                </c:pt>
              </c:numCache>
            </c:numRef>
          </c:yVal>
          <c:smooth val="0"/>
        </c:ser>
        <c:ser>
          <c:idx val="13"/>
          <c:order val="13"/>
          <c:tx>
            <c:strRef>
              <c:f>CALC60!$BM$5</c:f>
              <c:strCache>
                <c:ptCount val="1"/>
                <c:pt idx="0">
                  <c:v>R12</c:v>
                </c:pt>
              </c:strCache>
            </c:strRef>
          </c:tx>
          <c:xVal>
            <c:numRef>
              <c:f>CALC60!$AY$6:$AY$581</c:f>
              <c:numCache>
                <c:formatCode>General</c:formatCode>
                <c:ptCount val="576"/>
                <c:pt idx="0">
                  <c:v>-19.833506546880365</c:v>
                </c:pt>
                <c:pt idx="1">
                  <c:v>-18.245852614565919</c:v>
                </c:pt>
                <c:pt idx="2">
                  <c:v>-16.629666681765414</c:v>
                </c:pt>
                <c:pt idx="3">
                  <c:v>-14.98231154257417</c:v>
                </c:pt>
                <c:pt idx="4">
                  <c:v>-13.301143585556035</c:v>
                </c:pt>
                <c:pt idx="5">
                  <c:v>-11.583569246398675</c:v>
                </c:pt>
                <c:pt idx="6">
                  <c:v>-9.8270793278644781</c:v>
                </c:pt>
                <c:pt idx="7">
                  <c:v>-8.029252658232803</c:v>
                </c:pt>
                <c:pt idx="8">
                  <c:v>-6.1877185053343773</c:v>
                </c:pt>
                <c:pt idx="9">
                  <c:v>-4.3000630515963358</c:v>
                </c:pt>
                <c:pt idx="10">
                  <c:v>-2.3636564525099644</c:v>
                </c:pt>
                <c:pt idx="11">
                  <c:v>-0.37535794962416702</c:v>
                </c:pt>
                <c:pt idx="12">
                  <c:v>-3.0678010204149508</c:v>
                </c:pt>
                <c:pt idx="13">
                  <c:v>5.8156608222448263</c:v>
                </c:pt>
                <c:pt idx="14">
                  <c:v>-8.9906603193697858</c:v>
                </c:pt>
                <c:pt idx="15">
                  <c:v>-19.434156555154736</c:v>
                </c:pt>
                <c:pt idx="16">
                  <c:v>-12</c:v>
                </c:pt>
                <c:pt idx="17">
                  <c:v>-29.167117021908272</c:v>
                </c:pt>
                <c:pt idx="18">
                  <c:v>-14</c:v>
                </c:pt>
                <c:pt idx="19">
                  <c:v>-19.833506546880365</c:v>
                </c:pt>
                <c:pt idx="20">
                  <c:v>1.5130248501190131</c:v>
                </c:pt>
                <c:pt idx="21">
                  <c:v>12</c:v>
                </c:pt>
                <c:pt idx="22">
                  <c:v>-12</c:v>
                </c:pt>
                <c:pt idx="23">
                  <c:v>-28.772550131225248</c:v>
                </c:pt>
                <c:pt idx="24">
                  <c:v>-11.666666666666666</c:v>
                </c:pt>
                <c:pt idx="25">
                  <c:v>-18.245852614565919</c:v>
                </c:pt>
                <c:pt idx="26">
                  <c:v>4.3925078710812571</c:v>
                </c:pt>
                <c:pt idx="27">
                  <c:v>12</c:v>
                </c:pt>
                <c:pt idx="28">
                  <c:v>-12</c:v>
                </c:pt>
                <c:pt idx="29">
                  <c:v>-28.303800039278563</c:v>
                </c:pt>
                <c:pt idx="30">
                  <c:v>-9.3333333333333321</c:v>
                </c:pt>
                <c:pt idx="31">
                  <c:v>-16.629666681765414</c:v>
                </c:pt>
                <c:pt idx="32">
                  <c:v>6.4527131206909987</c:v>
                </c:pt>
                <c:pt idx="33">
                  <c:v>12</c:v>
                </c:pt>
                <c:pt idx="34">
                  <c:v>-12</c:v>
                </c:pt>
                <c:pt idx="35">
                  <c:v>-27.754010010716058</c:v>
                </c:pt>
                <c:pt idx="36">
                  <c:v>-6.9999999999999982</c:v>
                </c:pt>
                <c:pt idx="37">
                  <c:v>-14.98231154257417</c:v>
                </c:pt>
                <c:pt idx="38">
                  <c:v>8.2375052570320868</c:v>
                </c:pt>
                <c:pt idx="39">
                  <c:v>12</c:v>
                </c:pt>
                <c:pt idx="40">
                  <c:v>-12</c:v>
                </c:pt>
                <c:pt idx="41">
                  <c:v>-27.116306655803694</c:v>
                </c:pt>
                <c:pt idx="42">
                  <c:v>-4.6666666666666643</c:v>
                </c:pt>
                <c:pt idx="43">
                  <c:v>-13.301143585556035</c:v>
                </c:pt>
                <c:pt idx="44">
                  <c:v>9.8664661885771885</c:v>
                </c:pt>
                <c:pt idx="45">
                  <c:v>12</c:v>
                </c:pt>
                <c:pt idx="46">
                  <c:v>-12</c:v>
                </c:pt>
                <c:pt idx="47">
                  <c:v>-26.383946707329393</c:v>
                </c:pt>
                <c:pt idx="48">
                  <c:v>-2.3333333333333308</c:v>
                </c:pt>
                <c:pt idx="49">
                  <c:v>-11.583569246398675</c:v>
                </c:pt>
                <c:pt idx="50">
                  <c:v>11.388844623449907</c:v>
                </c:pt>
                <c:pt idx="51">
                  <c:v>12</c:v>
                </c:pt>
                <c:pt idx="52">
                  <c:v>-12</c:v>
                </c:pt>
                <c:pt idx="53">
                  <c:v>-25.550406252475348</c:v>
                </c:pt>
                <c:pt idx="54">
                  <c:v>0</c:v>
                </c:pt>
                <c:pt idx="55">
                  <c:v>-9.8270793278644781</c:v>
                </c:pt>
                <c:pt idx="56">
                  <c:v>12.829698097369761</c:v>
                </c:pt>
                <c:pt idx="57">
                  <c:v>12</c:v>
                </c:pt>
                <c:pt idx="58">
                  <c:v>-12</c:v>
                </c:pt>
                <c:pt idx="59">
                  <c:v>-24.609390244767855</c:v>
                </c:pt>
                <c:pt idx="60">
                  <c:v>2.3333333333333335</c:v>
                </c:pt>
                <c:pt idx="61">
                  <c:v>-8.029252658232803</c:v>
                </c:pt>
                <c:pt idx="62">
                  <c:v>14.203132463376605</c:v>
                </c:pt>
                <c:pt idx="63">
                  <c:v>12</c:v>
                </c:pt>
                <c:pt idx="64">
                  <c:v>-12</c:v>
                </c:pt>
                <c:pt idx="65">
                  <c:v>-23.554734780566797</c:v>
                </c:pt>
                <c:pt idx="66">
                  <c:v>4.666666666666667</c:v>
                </c:pt>
                <c:pt idx="67">
                  <c:v>-6.1877185053343773</c:v>
                </c:pt>
                <c:pt idx="68">
                  <c:v>15.517506829265256</c:v>
                </c:pt>
                <c:pt idx="69">
                  <c:v>12</c:v>
                </c:pt>
                <c:pt idx="70">
                  <c:v>-12</c:v>
                </c:pt>
                <c:pt idx="71">
                  <c:v>-22.380163934182676</c:v>
                </c:pt>
                <c:pt idx="72">
                  <c:v>7</c:v>
                </c:pt>
                <c:pt idx="73">
                  <c:v>-4.3000630515963358</c:v>
                </c:pt>
                <c:pt idx="74">
                  <c:v>16.777941702150098</c:v>
                </c:pt>
                <c:pt idx="75">
                  <c:v>12</c:v>
                </c:pt>
                <c:pt idx="76">
                  <c:v>-12</c:v>
                </c:pt>
                <c:pt idx="77">
                  <c:v>-21.078840109892809</c:v>
                </c:pt>
                <c:pt idx="78">
                  <c:v>9.3333333333333339</c:v>
                </c:pt>
                <c:pt idx="79">
                  <c:v>-2.3636564525099644</c:v>
                </c:pt>
                <c:pt idx="80">
                  <c:v>17.987756355580007</c:v>
                </c:pt>
                <c:pt idx="81">
                  <c:v>12</c:v>
                </c:pt>
                <c:pt idx="82">
                  <c:v>-12</c:v>
                </c:pt>
                <c:pt idx="83">
                  <c:v>-19.642597335724307</c:v>
                </c:pt>
                <c:pt idx="84">
                  <c:v>11.666666666666668</c:v>
                </c:pt>
                <c:pt idx="85">
                  <c:v>-0.37535794962416702</c:v>
                </c:pt>
                <c:pt idx="86">
                  <c:v>19.149459663035739</c:v>
                </c:pt>
                <c:pt idx="87">
                  <c:v>12</c:v>
                </c:pt>
                <c:pt idx="88">
                  <c:v>-12</c:v>
                </c:pt>
                <c:pt idx="89">
                  <c:v>-30.376282653093735</c:v>
                </c:pt>
                <c:pt idx="90">
                  <c:v>14.000000000000002</c:v>
                </c:pt>
                <c:pt idx="91">
                  <c:v>-3.0678010204149508</c:v>
                </c:pt>
                <c:pt idx="92">
                  <c:v>26.896999319700733</c:v>
                </c:pt>
                <c:pt idx="93">
                  <c:v>12</c:v>
                </c:pt>
                <c:pt idx="94">
                  <c:v>-12</c:v>
                </c:pt>
                <c:pt idx="95">
                  <c:v>-24.879281862192261</c:v>
                </c:pt>
                <c:pt idx="96">
                  <c:v>25</c:v>
                </c:pt>
                <c:pt idx="97">
                  <c:v>5.8156608222448263</c:v>
                </c:pt>
                <c:pt idx="98">
                  <c:v>31.34962606454722</c:v>
                </c:pt>
                <c:pt idx="99">
                  <c:v>12</c:v>
                </c:pt>
                <c:pt idx="100">
                  <c:v>-12</c:v>
                </c:pt>
                <c:pt idx="101">
                  <c:v>-23.375716830330454</c:v>
                </c:pt>
                <c:pt idx="102">
                  <c:v>0</c:v>
                </c:pt>
                <c:pt idx="103">
                  <c:v>-8.9906603193697858</c:v>
                </c:pt>
                <c:pt idx="104">
                  <c:v>22.648032351271631</c:v>
                </c:pt>
                <c:pt idx="105">
                  <c:v>12</c:v>
                </c:pt>
                <c:pt idx="106">
                  <c:v>-12</c:v>
                </c:pt>
                <c:pt idx="107">
                  <c:v>-10.52880704336475</c:v>
                </c:pt>
                <c:pt idx="108">
                  <c:v>-25</c:v>
                </c:pt>
                <c:pt idx="109">
                  <c:v>-19.434156555154736</c:v>
                </c:pt>
                <c:pt idx="110">
                  <c:v>20.32293673094285</c:v>
                </c:pt>
                <c:pt idx="111">
                  <c:v>12</c:v>
                </c:pt>
                <c:pt idx="112">
                  <c:v>60</c:v>
                </c:pt>
                <c:pt idx="113">
                  <c:v>59.977621104822219</c:v>
                </c:pt>
                <c:pt idx="114">
                  <c:v>59.910498330815244</c:v>
                </c:pt>
                <c:pt idx="115">
                  <c:v>59.7986734039103</c:v>
                </c:pt>
                <c:pt idx="116">
                  <c:v>59.642215838505066</c:v>
                </c:pt>
                <c:pt idx="117">
                  <c:v>59.441222894251112</c:v>
                </c:pt>
                <c:pt idx="118">
                  <c:v>59.195819515593755</c:v>
                </c:pt>
                <c:pt idx="119">
                  <c:v>58.906158254102053</c:v>
                </c:pt>
                <c:pt idx="120">
                  <c:v>58.572419173637371</c:v>
                </c:pt>
                <c:pt idx="121">
                  <c:v>58.19480973841911</c:v>
                </c:pt>
                <c:pt idx="122">
                  <c:v>57.77356468405749</c:v>
                </c:pt>
                <c:pt idx="123">
                  <c:v>57.308945871633512</c:v>
                </c:pt>
                <c:pt idx="124">
                  <c:v>56.801242124916655</c:v>
                </c:pt>
                <c:pt idx="125">
                  <c:v>56.250769050821617</c:v>
                </c:pt>
                <c:pt idx="126">
                  <c:v>55.657868843215709</c:v>
                </c:pt>
                <c:pt idx="127">
                  <c:v>55.022910070198847</c:v>
                </c:pt>
                <c:pt idx="128">
                  <c:v>54.346287444988349</c:v>
                </c:pt>
                <c:pt idx="129">
                  <c:v>53.628421580551006</c:v>
                </c:pt>
                <c:pt idx="130">
                  <c:v>52.869758728134926</c:v>
                </c:pt>
                <c:pt idx="131">
                  <c:v>52.070770499863713</c:v>
                </c:pt>
                <c:pt idx="132">
                  <c:v>51.231953575565385</c:v>
                </c:pt>
                <c:pt idx="133">
                  <c:v>50.353829394018334</c:v>
                </c:pt>
                <c:pt idx="134">
                  <c:v>49.436943828806236</c:v>
                </c:pt>
                <c:pt idx="135">
                  <c:v>48.481866848983351</c:v>
                </c:pt>
                <c:pt idx="136">
                  <c:v>47.489192164761299</c:v>
                </c:pt>
                <c:pt idx="137">
                  <c:v>46.45953685843741</c:v>
                </c:pt>
                <c:pt idx="138">
                  <c:v>45.39354100079418</c:v>
                </c:pt>
                <c:pt idx="139">
                  <c:v>44.29186725320821</c:v>
                </c:pt>
                <c:pt idx="140">
                  <c:v>43.155200455716098</c:v>
                </c:pt>
                <c:pt idx="141">
                  <c:v>41.984247201293201</c:v>
                </c:pt>
                <c:pt idx="142">
                  <c:v>40.779735396610057</c:v>
                </c:pt>
                <c:pt idx="143">
                  <c:v>39.542413809539362</c:v>
                </c:pt>
                <c:pt idx="144">
                  <c:v>38.27305160369496</c:v>
                </c:pt>
                <c:pt idx="145">
                  <c:v>36.97243786029204</c:v>
                </c:pt>
                <c:pt idx="146">
                  <c:v>35.641381087625909</c:v>
                </c:pt>
                <c:pt idx="147">
                  <c:v>34.280708718474088</c:v>
                </c:pt>
                <c:pt idx="148">
                  <c:v>32.891266595734379</c:v>
                </c:pt>
                <c:pt idx="149">
                  <c:v>31.473918446618441</c:v>
                </c:pt>
                <c:pt idx="150">
                  <c:v>30.029545345727961</c:v>
                </c:pt>
                <c:pt idx="151">
                  <c:v>28.559045167346859</c:v>
                </c:pt>
                <c:pt idx="152">
                  <c:v>27.063332027290457</c:v>
                </c:pt>
                <c:pt idx="153">
                  <c:v>25.54333571465812</c:v>
                </c:pt>
                <c:pt idx="154">
                  <c:v>24.00000111384292</c:v>
                </c:pt>
                <c:pt idx="155">
                  <c:v>22.434287617157558</c:v>
                </c:pt>
                <c:pt idx="156">
                  <c:v>20.847168528441451</c:v>
                </c:pt>
                <c:pt idx="157">
                  <c:v>19.239630458020226</c:v>
                </c:pt>
                <c:pt idx="158">
                  <c:v>17.612672709393095</c:v>
                </c:pt>
                <c:pt idx="159">
                  <c:v>15.967306658029923</c:v>
                </c:pt>
                <c:pt idx="160">
                  <c:v>14.304555122663807</c:v>
                </c:pt>
                <c:pt idx="161">
                  <c:v>12.625451729470267</c:v>
                </c:pt>
                <c:pt idx="162">
                  <c:v>10.931040269527855</c:v>
                </c:pt>
                <c:pt idx="163">
                  <c:v>9.2223740499601874</c:v>
                </c:pt>
                <c:pt idx="164">
                  <c:v>7.50051523916229</c:v>
                </c:pt>
                <c:pt idx="165">
                  <c:v>5.7665342065185783</c:v>
                </c:pt>
                <c:pt idx="166">
                  <c:v>4.0215088570226385</c:v>
                </c:pt>
                <c:pt idx="167">
                  <c:v>2.2665239612127621</c:v>
                </c:pt>
                <c:pt idx="168">
                  <c:v>0.50267048083958699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2.8515696384297637</c:v>
                </c:pt>
                <c:pt idx="177">
                  <c:v>1.9753111994832171</c:v>
                </c:pt>
                <c:pt idx="178">
                  <c:v>0.92563316887902047</c:v>
                </c:pt>
                <c:pt idx="179">
                  <c:v>-0.21601377837397351</c:v>
                </c:pt>
                <c:pt idx="180">
                  <c:v>-1.4157664759720063</c:v>
                </c:pt>
                <c:pt idx="181">
                  <c:v>-2.6556123420946562</c:v>
                </c:pt>
                <c:pt idx="182">
                  <c:v>-3.9245681685754725</c:v>
                </c:pt>
                <c:pt idx="183">
                  <c:v>-5.2153144569239593</c:v>
                </c:pt>
                <c:pt idx="184">
                  <c:v>-6.5226550874579061</c:v>
                </c:pt>
                <c:pt idx="185">
                  <c:v>-7.8427215966531474</c:v>
                </c:pt>
                <c:pt idx="186">
                  <c:v>-9.1725245020797033</c:v>
                </c:pt>
                <c:pt idx="187">
                  <c:v>-10.509682805443534</c:v>
                </c:pt>
                <c:pt idx="188">
                  <c:v>-11.852251962601201</c:v>
                </c:pt>
                <c:pt idx="189">
                  <c:v>-13.198609507350314</c:v>
                </c:pt>
                <c:pt idx="190">
                  <c:v>-14.547376030315508</c:v>
                </c:pt>
                <c:pt idx="191">
                  <c:v>-15.897358663204308</c:v>
                </c:pt>
                <c:pt idx="192">
                  <c:v>-17.247509325359044</c:v>
                </c:pt>
                <c:pt idx="193">
                  <c:v>-18.596892885306229</c:v>
                </c:pt>
                <c:pt idx="194">
                  <c:v>-19.944662101015112</c:v>
                </c:pt>
                <c:pt idx="195">
                  <c:v>-21.290037250525245</c:v>
                </c:pt>
                <c:pt idx="196">
                  <c:v>-22.632289027455251</c:v>
                </c:pt>
                <c:pt idx="197">
                  <c:v>-23.97072370792359</c:v>
                </c:pt>
                <c:pt idx="198">
                  <c:v>-25.30466988534544</c:v>
                </c:pt>
                <c:pt idx="199">
                  <c:v>-26.633466270137497</c:v>
                </c:pt>
                <c:pt idx="200">
                  <c:v>-27.956450194805811</c:v>
                </c:pt>
                <c:pt idx="201">
                  <c:v>-29.272946571435931</c:v>
                </c:pt>
                <c:pt idx="202">
                  <c:v>-30.582257131227855</c:v>
                </c:pt>
                <c:pt idx="203">
                  <c:v>-31.883649842884822</c:v>
                </c:pt>
                <c:pt idx="204">
                  <c:v>-33.176348463939625</c:v>
                </c:pt>
                <c:pt idx="205">
                  <c:v>-34.459522230103559</c:v>
                </c:pt>
                <c:pt idx="206">
                  <c:v>-35.732275734705851</c:v>
                </c:pt>
                <c:pt idx="207">
                  <c:v>-36.99363909448315</c:v>
                </c:pt>
                <c:pt idx="208">
                  <c:v>-38.242558539797471</c:v>
                </c:pt>
                <c:pt idx="209">
                  <c:v>-39.477887606536221</c:v>
                </c:pt>
                <c:pt idx="210">
                  <c:v>-40.698379142616446</c:v>
                </c:pt>
                <c:pt idx="211">
                  <c:v>-41.902678372794895</c:v>
                </c:pt>
                <c:pt idx="212">
                  <c:v>-43.089317289558807</c:v>
                </c:pt>
                <c:pt idx="213">
                  <c:v>-44.25671065311036</c:v>
                </c:pt>
                <c:pt idx="214">
                  <c:v>-45.403153887555582</c:v>
                </c:pt>
                <c:pt idx="215">
                  <c:v>-46.526823151096757</c:v>
                </c:pt>
                <c:pt idx="216">
                  <c:v>-47.625777833297384</c:v>
                </c:pt>
                <c:pt idx="217">
                  <c:v>-48.697965690882285</c:v>
                </c:pt>
                <c:pt idx="218">
                  <c:v>-49.741230774414589</c:v>
                </c:pt>
                <c:pt idx="219">
                  <c:v>-50.753324222038465</c:v>
                </c:pt>
                <c:pt idx="220">
                  <c:v>-51.731917905092047</c:v>
                </c:pt>
                <c:pt idx="221">
                  <c:v>-52.674620807053785</c:v>
                </c:pt>
                <c:pt idx="222">
                  <c:v>-53.578997906712083</c:v>
                </c:pt>
                <c:pt idx="223">
                  <c:v>-54.442591224662408</c:v>
                </c:pt>
                <c:pt idx="224">
                  <c:v>-55.262942586197084</c:v>
                </c:pt>
                <c:pt idx="225">
                  <c:v>-56.037617560739605</c:v>
                </c:pt>
                <c:pt idx="226">
                  <c:v>-56.764229965340405</c:v>
                </c:pt>
                <c:pt idx="227">
                  <c:v>-57.440466273599569</c:v>
                </c:pt>
                <c:pt idx="228">
                  <c:v>-58.064109256288212</c:v>
                </c:pt>
                <c:pt idx="229">
                  <c:v>-58.633060198267984</c:v>
                </c:pt>
                <c:pt idx="230">
                  <c:v>-59.145359087855262</c:v>
                </c:pt>
                <c:pt idx="231">
                  <c:v>-59.599202256688159</c:v>
                </c:pt>
                <c:pt idx="232">
                  <c:v>-59.992957055132891</c:v>
                </c:pt>
                <c:pt idx="233">
                  <c:v>-60.325173273076174</c:v>
                </c:pt>
                <c:pt idx="234">
                  <c:v>-60.594591150128096</c:v>
                </c:pt>
                <c:pt idx="235">
                  <c:v>-60.800145953957085</c:v>
                </c:pt>
                <c:pt idx="236">
                  <c:v>-60.940969232303956</c:v>
                </c:pt>
                <c:pt idx="237">
                  <c:v>-61.016386955989681</c:v>
                </c:pt>
                <c:pt idx="238">
                  <c:v>-61.025914861512376</c:v>
                </c:pt>
                <c:pt idx="239">
                  <c:v>-60.969251369261414</c:v>
                </c:pt>
              </c:numCache>
            </c:numRef>
          </c:xVal>
          <c:yVal>
            <c:numRef>
              <c:f>CALC60!$BM$6:$BM$581</c:f>
              <c:numCache>
                <c:formatCode>General</c:formatCode>
                <c:ptCount val="576"/>
                <c:pt idx="88">
                  <c:v>0</c:v>
                </c:pt>
                <c:pt idx="89">
                  <c:v>7.8938099707052896</c:v>
                </c:pt>
                <c:pt idx="90">
                  <c:v>35</c:v>
                </c:pt>
                <c:pt idx="91">
                  <c:v>24.57454229643842</c:v>
                </c:pt>
                <c:pt idx="92">
                  <c:v>13.344639795394848</c:v>
                </c:pt>
                <c:pt idx="93">
                  <c:v>0</c:v>
                </c:pt>
              </c:numCache>
            </c:numRef>
          </c:yVal>
          <c:smooth val="0"/>
        </c:ser>
        <c:ser>
          <c:idx val="14"/>
          <c:order val="14"/>
          <c:tx>
            <c:strRef>
              <c:f>CALC60!$BN$5</c:f>
              <c:strCache>
                <c:ptCount val="1"/>
                <c:pt idx="0">
                  <c:v>R13</c:v>
                </c:pt>
              </c:strCache>
            </c:strRef>
          </c:tx>
          <c:spPr>
            <a:ln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CALC60!$AY$6:$AY$581</c:f>
              <c:numCache>
                <c:formatCode>General</c:formatCode>
                <c:ptCount val="576"/>
                <c:pt idx="0">
                  <c:v>-19.833506546880365</c:v>
                </c:pt>
                <c:pt idx="1">
                  <c:v>-18.245852614565919</c:v>
                </c:pt>
                <c:pt idx="2">
                  <c:v>-16.629666681765414</c:v>
                </c:pt>
                <c:pt idx="3">
                  <c:v>-14.98231154257417</c:v>
                </c:pt>
                <c:pt idx="4">
                  <c:v>-13.301143585556035</c:v>
                </c:pt>
                <c:pt idx="5">
                  <c:v>-11.583569246398675</c:v>
                </c:pt>
                <c:pt idx="6">
                  <c:v>-9.8270793278644781</c:v>
                </c:pt>
                <c:pt idx="7">
                  <c:v>-8.029252658232803</c:v>
                </c:pt>
                <c:pt idx="8">
                  <c:v>-6.1877185053343773</c:v>
                </c:pt>
                <c:pt idx="9">
                  <c:v>-4.3000630515963358</c:v>
                </c:pt>
                <c:pt idx="10">
                  <c:v>-2.3636564525099644</c:v>
                </c:pt>
                <c:pt idx="11">
                  <c:v>-0.37535794962416702</c:v>
                </c:pt>
                <c:pt idx="12">
                  <c:v>-3.0678010204149508</c:v>
                </c:pt>
                <c:pt idx="13">
                  <c:v>5.8156608222448263</c:v>
                </c:pt>
                <c:pt idx="14">
                  <c:v>-8.9906603193697858</c:v>
                </c:pt>
                <c:pt idx="15">
                  <c:v>-19.434156555154736</c:v>
                </c:pt>
                <c:pt idx="16">
                  <c:v>-12</c:v>
                </c:pt>
                <c:pt idx="17">
                  <c:v>-29.167117021908272</c:v>
                </c:pt>
                <c:pt idx="18">
                  <c:v>-14</c:v>
                </c:pt>
                <c:pt idx="19">
                  <c:v>-19.833506546880365</c:v>
                </c:pt>
                <c:pt idx="20">
                  <c:v>1.5130248501190131</c:v>
                </c:pt>
                <c:pt idx="21">
                  <c:v>12</c:v>
                </c:pt>
                <c:pt idx="22">
                  <c:v>-12</c:v>
                </c:pt>
                <c:pt idx="23">
                  <c:v>-28.772550131225248</c:v>
                </c:pt>
                <c:pt idx="24">
                  <c:v>-11.666666666666666</c:v>
                </c:pt>
                <c:pt idx="25">
                  <c:v>-18.245852614565919</c:v>
                </c:pt>
                <c:pt idx="26">
                  <c:v>4.3925078710812571</c:v>
                </c:pt>
                <c:pt idx="27">
                  <c:v>12</c:v>
                </c:pt>
                <c:pt idx="28">
                  <c:v>-12</c:v>
                </c:pt>
                <c:pt idx="29">
                  <c:v>-28.303800039278563</c:v>
                </c:pt>
                <c:pt idx="30">
                  <c:v>-9.3333333333333321</c:v>
                </c:pt>
                <c:pt idx="31">
                  <c:v>-16.629666681765414</c:v>
                </c:pt>
                <c:pt idx="32">
                  <c:v>6.4527131206909987</c:v>
                </c:pt>
                <c:pt idx="33">
                  <c:v>12</c:v>
                </c:pt>
                <c:pt idx="34">
                  <c:v>-12</c:v>
                </c:pt>
                <c:pt idx="35">
                  <c:v>-27.754010010716058</c:v>
                </c:pt>
                <c:pt idx="36">
                  <c:v>-6.9999999999999982</c:v>
                </c:pt>
                <c:pt idx="37">
                  <c:v>-14.98231154257417</c:v>
                </c:pt>
                <c:pt idx="38">
                  <c:v>8.2375052570320868</c:v>
                </c:pt>
                <c:pt idx="39">
                  <c:v>12</c:v>
                </c:pt>
                <c:pt idx="40">
                  <c:v>-12</c:v>
                </c:pt>
                <c:pt idx="41">
                  <c:v>-27.116306655803694</c:v>
                </c:pt>
                <c:pt idx="42">
                  <c:v>-4.6666666666666643</c:v>
                </c:pt>
                <c:pt idx="43">
                  <c:v>-13.301143585556035</c:v>
                </c:pt>
                <c:pt idx="44">
                  <c:v>9.8664661885771885</c:v>
                </c:pt>
                <c:pt idx="45">
                  <c:v>12</c:v>
                </c:pt>
                <c:pt idx="46">
                  <c:v>-12</c:v>
                </c:pt>
                <c:pt idx="47">
                  <c:v>-26.383946707329393</c:v>
                </c:pt>
                <c:pt idx="48">
                  <c:v>-2.3333333333333308</c:v>
                </c:pt>
                <c:pt idx="49">
                  <c:v>-11.583569246398675</c:v>
                </c:pt>
                <c:pt idx="50">
                  <c:v>11.388844623449907</c:v>
                </c:pt>
                <c:pt idx="51">
                  <c:v>12</c:v>
                </c:pt>
                <c:pt idx="52">
                  <c:v>-12</c:v>
                </c:pt>
                <c:pt idx="53">
                  <c:v>-25.550406252475348</c:v>
                </c:pt>
                <c:pt idx="54">
                  <c:v>0</c:v>
                </c:pt>
                <c:pt idx="55">
                  <c:v>-9.8270793278644781</c:v>
                </c:pt>
                <c:pt idx="56">
                  <c:v>12.829698097369761</c:v>
                </c:pt>
                <c:pt idx="57">
                  <c:v>12</c:v>
                </c:pt>
                <c:pt idx="58">
                  <c:v>-12</c:v>
                </c:pt>
                <c:pt idx="59">
                  <c:v>-24.609390244767855</c:v>
                </c:pt>
                <c:pt idx="60">
                  <c:v>2.3333333333333335</c:v>
                </c:pt>
                <c:pt idx="61">
                  <c:v>-8.029252658232803</c:v>
                </c:pt>
                <c:pt idx="62">
                  <c:v>14.203132463376605</c:v>
                </c:pt>
                <c:pt idx="63">
                  <c:v>12</c:v>
                </c:pt>
                <c:pt idx="64">
                  <c:v>-12</c:v>
                </c:pt>
                <c:pt idx="65">
                  <c:v>-23.554734780566797</c:v>
                </c:pt>
                <c:pt idx="66">
                  <c:v>4.666666666666667</c:v>
                </c:pt>
                <c:pt idx="67">
                  <c:v>-6.1877185053343773</c:v>
                </c:pt>
                <c:pt idx="68">
                  <c:v>15.517506829265256</c:v>
                </c:pt>
                <c:pt idx="69">
                  <c:v>12</c:v>
                </c:pt>
                <c:pt idx="70">
                  <c:v>-12</c:v>
                </c:pt>
                <c:pt idx="71">
                  <c:v>-22.380163934182676</c:v>
                </c:pt>
                <c:pt idx="72">
                  <c:v>7</c:v>
                </c:pt>
                <c:pt idx="73">
                  <c:v>-4.3000630515963358</c:v>
                </c:pt>
                <c:pt idx="74">
                  <c:v>16.777941702150098</c:v>
                </c:pt>
                <c:pt idx="75">
                  <c:v>12</c:v>
                </c:pt>
                <c:pt idx="76">
                  <c:v>-12</c:v>
                </c:pt>
                <c:pt idx="77">
                  <c:v>-21.078840109892809</c:v>
                </c:pt>
                <c:pt idx="78">
                  <c:v>9.3333333333333339</c:v>
                </c:pt>
                <c:pt idx="79">
                  <c:v>-2.3636564525099644</c:v>
                </c:pt>
                <c:pt idx="80">
                  <c:v>17.987756355580007</c:v>
                </c:pt>
                <c:pt idx="81">
                  <c:v>12</c:v>
                </c:pt>
                <c:pt idx="82">
                  <c:v>-12</c:v>
                </c:pt>
                <c:pt idx="83">
                  <c:v>-19.642597335724307</c:v>
                </c:pt>
                <c:pt idx="84">
                  <c:v>11.666666666666668</c:v>
                </c:pt>
                <c:pt idx="85">
                  <c:v>-0.37535794962416702</c:v>
                </c:pt>
                <c:pt idx="86">
                  <c:v>19.149459663035739</c:v>
                </c:pt>
                <c:pt idx="87">
                  <c:v>12</c:v>
                </c:pt>
                <c:pt idx="88">
                  <c:v>-12</c:v>
                </c:pt>
                <c:pt idx="89">
                  <c:v>-30.376282653093735</c:v>
                </c:pt>
                <c:pt idx="90">
                  <c:v>14.000000000000002</c:v>
                </c:pt>
                <c:pt idx="91">
                  <c:v>-3.0678010204149508</c:v>
                </c:pt>
                <c:pt idx="92">
                  <c:v>26.896999319700733</c:v>
                </c:pt>
                <c:pt idx="93">
                  <c:v>12</c:v>
                </c:pt>
                <c:pt idx="94">
                  <c:v>-12</c:v>
                </c:pt>
                <c:pt idx="95">
                  <c:v>-24.879281862192261</c:v>
                </c:pt>
                <c:pt idx="96">
                  <c:v>25</c:v>
                </c:pt>
                <c:pt idx="97">
                  <c:v>5.8156608222448263</c:v>
                </c:pt>
                <c:pt idx="98">
                  <c:v>31.34962606454722</c:v>
                </c:pt>
                <c:pt idx="99">
                  <c:v>12</c:v>
                </c:pt>
                <c:pt idx="100">
                  <c:v>-12</c:v>
                </c:pt>
                <c:pt idx="101">
                  <c:v>-23.375716830330454</c:v>
                </c:pt>
                <c:pt idx="102">
                  <c:v>0</c:v>
                </c:pt>
                <c:pt idx="103">
                  <c:v>-8.9906603193697858</c:v>
                </c:pt>
                <c:pt idx="104">
                  <c:v>22.648032351271631</c:v>
                </c:pt>
                <c:pt idx="105">
                  <c:v>12</c:v>
                </c:pt>
                <c:pt idx="106">
                  <c:v>-12</c:v>
                </c:pt>
                <c:pt idx="107">
                  <c:v>-10.52880704336475</c:v>
                </c:pt>
                <c:pt idx="108">
                  <c:v>-25</c:v>
                </c:pt>
                <c:pt idx="109">
                  <c:v>-19.434156555154736</c:v>
                </c:pt>
                <c:pt idx="110">
                  <c:v>20.32293673094285</c:v>
                </c:pt>
                <c:pt idx="111">
                  <c:v>12</c:v>
                </c:pt>
                <c:pt idx="112">
                  <c:v>60</c:v>
                </c:pt>
                <c:pt idx="113">
                  <c:v>59.977621104822219</c:v>
                </c:pt>
                <c:pt idx="114">
                  <c:v>59.910498330815244</c:v>
                </c:pt>
                <c:pt idx="115">
                  <c:v>59.7986734039103</c:v>
                </c:pt>
                <c:pt idx="116">
                  <c:v>59.642215838505066</c:v>
                </c:pt>
                <c:pt idx="117">
                  <c:v>59.441222894251112</c:v>
                </c:pt>
                <c:pt idx="118">
                  <c:v>59.195819515593755</c:v>
                </c:pt>
                <c:pt idx="119">
                  <c:v>58.906158254102053</c:v>
                </c:pt>
                <c:pt idx="120">
                  <c:v>58.572419173637371</c:v>
                </c:pt>
                <c:pt idx="121">
                  <c:v>58.19480973841911</c:v>
                </c:pt>
                <c:pt idx="122">
                  <c:v>57.77356468405749</c:v>
                </c:pt>
                <c:pt idx="123">
                  <c:v>57.308945871633512</c:v>
                </c:pt>
                <c:pt idx="124">
                  <c:v>56.801242124916655</c:v>
                </c:pt>
                <c:pt idx="125">
                  <c:v>56.250769050821617</c:v>
                </c:pt>
                <c:pt idx="126">
                  <c:v>55.657868843215709</c:v>
                </c:pt>
                <c:pt idx="127">
                  <c:v>55.022910070198847</c:v>
                </c:pt>
                <c:pt idx="128">
                  <c:v>54.346287444988349</c:v>
                </c:pt>
                <c:pt idx="129">
                  <c:v>53.628421580551006</c:v>
                </c:pt>
                <c:pt idx="130">
                  <c:v>52.869758728134926</c:v>
                </c:pt>
                <c:pt idx="131">
                  <c:v>52.070770499863713</c:v>
                </c:pt>
                <c:pt idx="132">
                  <c:v>51.231953575565385</c:v>
                </c:pt>
                <c:pt idx="133">
                  <c:v>50.353829394018334</c:v>
                </c:pt>
                <c:pt idx="134">
                  <c:v>49.436943828806236</c:v>
                </c:pt>
                <c:pt idx="135">
                  <c:v>48.481866848983351</c:v>
                </c:pt>
                <c:pt idx="136">
                  <c:v>47.489192164761299</c:v>
                </c:pt>
                <c:pt idx="137">
                  <c:v>46.45953685843741</c:v>
                </c:pt>
                <c:pt idx="138">
                  <c:v>45.39354100079418</c:v>
                </c:pt>
                <c:pt idx="139">
                  <c:v>44.29186725320821</c:v>
                </c:pt>
                <c:pt idx="140">
                  <c:v>43.155200455716098</c:v>
                </c:pt>
                <c:pt idx="141">
                  <c:v>41.984247201293201</c:v>
                </c:pt>
                <c:pt idx="142">
                  <c:v>40.779735396610057</c:v>
                </c:pt>
                <c:pt idx="143">
                  <c:v>39.542413809539362</c:v>
                </c:pt>
                <c:pt idx="144">
                  <c:v>38.27305160369496</c:v>
                </c:pt>
                <c:pt idx="145">
                  <c:v>36.97243786029204</c:v>
                </c:pt>
                <c:pt idx="146">
                  <c:v>35.641381087625909</c:v>
                </c:pt>
                <c:pt idx="147">
                  <c:v>34.280708718474088</c:v>
                </c:pt>
                <c:pt idx="148">
                  <c:v>32.891266595734379</c:v>
                </c:pt>
                <c:pt idx="149">
                  <c:v>31.473918446618441</c:v>
                </c:pt>
                <c:pt idx="150">
                  <c:v>30.029545345727961</c:v>
                </c:pt>
                <c:pt idx="151">
                  <c:v>28.559045167346859</c:v>
                </c:pt>
                <c:pt idx="152">
                  <c:v>27.063332027290457</c:v>
                </c:pt>
                <c:pt idx="153">
                  <c:v>25.54333571465812</c:v>
                </c:pt>
                <c:pt idx="154">
                  <c:v>24.00000111384292</c:v>
                </c:pt>
                <c:pt idx="155">
                  <c:v>22.434287617157558</c:v>
                </c:pt>
                <c:pt idx="156">
                  <c:v>20.847168528441451</c:v>
                </c:pt>
                <c:pt idx="157">
                  <c:v>19.239630458020226</c:v>
                </c:pt>
                <c:pt idx="158">
                  <c:v>17.612672709393095</c:v>
                </c:pt>
                <c:pt idx="159">
                  <c:v>15.967306658029923</c:v>
                </c:pt>
                <c:pt idx="160">
                  <c:v>14.304555122663807</c:v>
                </c:pt>
                <c:pt idx="161">
                  <c:v>12.625451729470267</c:v>
                </c:pt>
                <c:pt idx="162">
                  <c:v>10.931040269527855</c:v>
                </c:pt>
                <c:pt idx="163">
                  <c:v>9.2223740499601874</c:v>
                </c:pt>
                <c:pt idx="164">
                  <c:v>7.50051523916229</c:v>
                </c:pt>
                <c:pt idx="165">
                  <c:v>5.7665342065185783</c:v>
                </c:pt>
                <c:pt idx="166">
                  <c:v>4.0215088570226385</c:v>
                </c:pt>
                <c:pt idx="167">
                  <c:v>2.2665239612127621</c:v>
                </c:pt>
                <c:pt idx="168">
                  <c:v>0.50267048083958699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2.8515696384297637</c:v>
                </c:pt>
                <c:pt idx="177">
                  <c:v>1.9753111994832171</c:v>
                </c:pt>
                <c:pt idx="178">
                  <c:v>0.92563316887902047</c:v>
                </c:pt>
                <c:pt idx="179">
                  <c:v>-0.21601377837397351</c:v>
                </c:pt>
                <c:pt idx="180">
                  <c:v>-1.4157664759720063</c:v>
                </c:pt>
                <c:pt idx="181">
                  <c:v>-2.6556123420946562</c:v>
                </c:pt>
                <c:pt idx="182">
                  <c:v>-3.9245681685754725</c:v>
                </c:pt>
                <c:pt idx="183">
                  <c:v>-5.2153144569239593</c:v>
                </c:pt>
                <c:pt idx="184">
                  <c:v>-6.5226550874579061</c:v>
                </c:pt>
                <c:pt idx="185">
                  <c:v>-7.8427215966531474</c:v>
                </c:pt>
                <c:pt idx="186">
                  <c:v>-9.1725245020797033</c:v>
                </c:pt>
                <c:pt idx="187">
                  <c:v>-10.509682805443534</c:v>
                </c:pt>
                <c:pt idx="188">
                  <c:v>-11.852251962601201</c:v>
                </c:pt>
                <c:pt idx="189">
                  <c:v>-13.198609507350314</c:v>
                </c:pt>
                <c:pt idx="190">
                  <c:v>-14.547376030315508</c:v>
                </c:pt>
                <c:pt idx="191">
                  <c:v>-15.897358663204308</c:v>
                </c:pt>
                <c:pt idx="192">
                  <c:v>-17.247509325359044</c:v>
                </c:pt>
                <c:pt idx="193">
                  <c:v>-18.596892885306229</c:v>
                </c:pt>
                <c:pt idx="194">
                  <c:v>-19.944662101015112</c:v>
                </c:pt>
                <c:pt idx="195">
                  <c:v>-21.290037250525245</c:v>
                </c:pt>
                <c:pt idx="196">
                  <c:v>-22.632289027455251</c:v>
                </c:pt>
                <c:pt idx="197">
                  <c:v>-23.97072370792359</c:v>
                </c:pt>
                <c:pt idx="198">
                  <c:v>-25.30466988534544</c:v>
                </c:pt>
                <c:pt idx="199">
                  <c:v>-26.633466270137497</c:v>
                </c:pt>
                <c:pt idx="200">
                  <c:v>-27.956450194805811</c:v>
                </c:pt>
                <c:pt idx="201">
                  <c:v>-29.272946571435931</c:v>
                </c:pt>
                <c:pt idx="202">
                  <c:v>-30.582257131227855</c:v>
                </c:pt>
                <c:pt idx="203">
                  <c:v>-31.883649842884822</c:v>
                </c:pt>
                <c:pt idx="204">
                  <c:v>-33.176348463939625</c:v>
                </c:pt>
                <c:pt idx="205">
                  <c:v>-34.459522230103559</c:v>
                </c:pt>
                <c:pt idx="206">
                  <c:v>-35.732275734705851</c:v>
                </c:pt>
                <c:pt idx="207">
                  <c:v>-36.99363909448315</c:v>
                </c:pt>
                <c:pt idx="208">
                  <c:v>-38.242558539797471</c:v>
                </c:pt>
                <c:pt idx="209">
                  <c:v>-39.477887606536221</c:v>
                </c:pt>
                <c:pt idx="210">
                  <c:v>-40.698379142616446</c:v>
                </c:pt>
                <c:pt idx="211">
                  <c:v>-41.902678372794895</c:v>
                </c:pt>
                <c:pt idx="212">
                  <c:v>-43.089317289558807</c:v>
                </c:pt>
                <c:pt idx="213">
                  <c:v>-44.25671065311036</c:v>
                </c:pt>
                <c:pt idx="214">
                  <c:v>-45.403153887555582</c:v>
                </c:pt>
                <c:pt idx="215">
                  <c:v>-46.526823151096757</c:v>
                </c:pt>
                <c:pt idx="216">
                  <c:v>-47.625777833297384</c:v>
                </c:pt>
                <c:pt idx="217">
                  <c:v>-48.697965690882285</c:v>
                </c:pt>
                <c:pt idx="218">
                  <c:v>-49.741230774414589</c:v>
                </c:pt>
                <c:pt idx="219">
                  <c:v>-50.753324222038465</c:v>
                </c:pt>
                <c:pt idx="220">
                  <c:v>-51.731917905092047</c:v>
                </c:pt>
                <c:pt idx="221">
                  <c:v>-52.674620807053785</c:v>
                </c:pt>
                <c:pt idx="222">
                  <c:v>-53.578997906712083</c:v>
                </c:pt>
                <c:pt idx="223">
                  <c:v>-54.442591224662408</c:v>
                </c:pt>
                <c:pt idx="224">
                  <c:v>-55.262942586197084</c:v>
                </c:pt>
                <c:pt idx="225">
                  <c:v>-56.037617560739605</c:v>
                </c:pt>
                <c:pt idx="226">
                  <c:v>-56.764229965340405</c:v>
                </c:pt>
                <c:pt idx="227">
                  <c:v>-57.440466273599569</c:v>
                </c:pt>
                <c:pt idx="228">
                  <c:v>-58.064109256288212</c:v>
                </c:pt>
                <c:pt idx="229">
                  <c:v>-58.633060198267984</c:v>
                </c:pt>
                <c:pt idx="230">
                  <c:v>-59.145359087855262</c:v>
                </c:pt>
                <c:pt idx="231">
                  <c:v>-59.599202256688159</c:v>
                </c:pt>
                <c:pt idx="232">
                  <c:v>-59.992957055132891</c:v>
                </c:pt>
                <c:pt idx="233">
                  <c:v>-60.325173273076174</c:v>
                </c:pt>
                <c:pt idx="234">
                  <c:v>-60.594591150128096</c:v>
                </c:pt>
                <c:pt idx="235">
                  <c:v>-60.800145953957085</c:v>
                </c:pt>
                <c:pt idx="236">
                  <c:v>-60.940969232303956</c:v>
                </c:pt>
                <c:pt idx="237">
                  <c:v>-61.016386955989681</c:v>
                </c:pt>
                <c:pt idx="238">
                  <c:v>-61.025914861512376</c:v>
                </c:pt>
                <c:pt idx="239">
                  <c:v>-60.969251369261414</c:v>
                </c:pt>
              </c:numCache>
            </c:numRef>
          </c:xVal>
          <c:yVal>
            <c:numRef>
              <c:f>CALC60!$BN$6:$BN$581</c:f>
              <c:numCache>
                <c:formatCode>General</c:formatCode>
                <c:ptCount val="576"/>
                <c:pt idx="94">
                  <c:v>0</c:v>
                </c:pt>
                <c:pt idx="95">
                  <c:v>15.301114296488521</c:v>
                </c:pt>
                <c:pt idx="96">
                  <c:v>30</c:v>
                </c:pt>
                <c:pt idx="97">
                  <c:v>24.346582421735683</c:v>
                </c:pt>
                <c:pt idx="98">
                  <c:v>5.0588507748494571</c:v>
                </c:pt>
                <c:pt idx="99">
                  <c:v>0</c:v>
                </c:pt>
              </c:numCache>
            </c:numRef>
          </c:yVal>
          <c:smooth val="0"/>
        </c:ser>
        <c:ser>
          <c:idx val="15"/>
          <c:order val="15"/>
          <c:tx>
            <c:strRef>
              <c:f>CALC60!$BO$5</c:f>
              <c:strCache>
                <c:ptCount val="1"/>
                <c:pt idx="0">
                  <c:v>R14</c:v>
                </c:pt>
              </c:strCache>
            </c:strRef>
          </c:tx>
          <c:spPr>
            <a:ln w="285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CALC60!$AY$6:$AY$581</c:f>
              <c:numCache>
                <c:formatCode>General</c:formatCode>
                <c:ptCount val="576"/>
                <c:pt idx="0">
                  <c:v>-19.833506546880365</c:v>
                </c:pt>
                <c:pt idx="1">
                  <c:v>-18.245852614565919</c:v>
                </c:pt>
                <c:pt idx="2">
                  <c:v>-16.629666681765414</c:v>
                </c:pt>
                <c:pt idx="3">
                  <c:v>-14.98231154257417</c:v>
                </c:pt>
                <c:pt idx="4">
                  <c:v>-13.301143585556035</c:v>
                </c:pt>
                <c:pt idx="5">
                  <c:v>-11.583569246398675</c:v>
                </c:pt>
                <c:pt idx="6">
                  <c:v>-9.8270793278644781</c:v>
                </c:pt>
                <c:pt idx="7">
                  <c:v>-8.029252658232803</c:v>
                </c:pt>
                <c:pt idx="8">
                  <c:v>-6.1877185053343773</c:v>
                </c:pt>
                <c:pt idx="9">
                  <c:v>-4.3000630515963358</c:v>
                </c:pt>
                <c:pt idx="10">
                  <c:v>-2.3636564525099644</c:v>
                </c:pt>
                <c:pt idx="11">
                  <c:v>-0.37535794962416702</c:v>
                </c:pt>
                <c:pt idx="12">
                  <c:v>-3.0678010204149508</c:v>
                </c:pt>
                <c:pt idx="13">
                  <c:v>5.8156608222448263</c:v>
                </c:pt>
                <c:pt idx="14">
                  <c:v>-8.9906603193697858</c:v>
                </c:pt>
                <c:pt idx="15">
                  <c:v>-19.434156555154736</c:v>
                </c:pt>
                <c:pt idx="16">
                  <c:v>-12</c:v>
                </c:pt>
                <c:pt idx="17">
                  <c:v>-29.167117021908272</c:v>
                </c:pt>
                <c:pt idx="18">
                  <c:v>-14</c:v>
                </c:pt>
                <c:pt idx="19">
                  <c:v>-19.833506546880365</c:v>
                </c:pt>
                <c:pt idx="20">
                  <c:v>1.5130248501190131</c:v>
                </c:pt>
                <c:pt idx="21">
                  <c:v>12</c:v>
                </c:pt>
                <c:pt idx="22">
                  <c:v>-12</c:v>
                </c:pt>
                <c:pt idx="23">
                  <c:v>-28.772550131225248</c:v>
                </c:pt>
                <c:pt idx="24">
                  <c:v>-11.666666666666666</c:v>
                </c:pt>
                <c:pt idx="25">
                  <c:v>-18.245852614565919</c:v>
                </c:pt>
                <c:pt idx="26">
                  <c:v>4.3925078710812571</c:v>
                </c:pt>
                <c:pt idx="27">
                  <c:v>12</c:v>
                </c:pt>
                <c:pt idx="28">
                  <c:v>-12</c:v>
                </c:pt>
                <c:pt idx="29">
                  <c:v>-28.303800039278563</c:v>
                </c:pt>
                <c:pt idx="30">
                  <c:v>-9.3333333333333321</c:v>
                </c:pt>
                <c:pt idx="31">
                  <c:v>-16.629666681765414</c:v>
                </c:pt>
                <c:pt idx="32">
                  <c:v>6.4527131206909987</c:v>
                </c:pt>
                <c:pt idx="33">
                  <c:v>12</c:v>
                </c:pt>
                <c:pt idx="34">
                  <c:v>-12</c:v>
                </c:pt>
                <c:pt idx="35">
                  <c:v>-27.754010010716058</c:v>
                </c:pt>
                <c:pt idx="36">
                  <c:v>-6.9999999999999982</c:v>
                </c:pt>
                <c:pt idx="37">
                  <c:v>-14.98231154257417</c:v>
                </c:pt>
                <c:pt idx="38">
                  <c:v>8.2375052570320868</c:v>
                </c:pt>
                <c:pt idx="39">
                  <c:v>12</c:v>
                </c:pt>
                <c:pt idx="40">
                  <c:v>-12</c:v>
                </c:pt>
                <c:pt idx="41">
                  <c:v>-27.116306655803694</c:v>
                </c:pt>
                <c:pt idx="42">
                  <c:v>-4.6666666666666643</c:v>
                </c:pt>
                <c:pt idx="43">
                  <c:v>-13.301143585556035</c:v>
                </c:pt>
                <c:pt idx="44">
                  <c:v>9.8664661885771885</c:v>
                </c:pt>
                <c:pt idx="45">
                  <c:v>12</c:v>
                </c:pt>
                <c:pt idx="46">
                  <c:v>-12</c:v>
                </c:pt>
                <c:pt idx="47">
                  <c:v>-26.383946707329393</c:v>
                </c:pt>
                <c:pt idx="48">
                  <c:v>-2.3333333333333308</c:v>
                </c:pt>
                <c:pt idx="49">
                  <c:v>-11.583569246398675</c:v>
                </c:pt>
                <c:pt idx="50">
                  <c:v>11.388844623449907</c:v>
                </c:pt>
                <c:pt idx="51">
                  <c:v>12</c:v>
                </c:pt>
                <c:pt idx="52">
                  <c:v>-12</c:v>
                </c:pt>
                <c:pt idx="53">
                  <c:v>-25.550406252475348</c:v>
                </c:pt>
                <c:pt idx="54">
                  <c:v>0</c:v>
                </c:pt>
                <c:pt idx="55">
                  <c:v>-9.8270793278644781</c:v>
                </c:pt>
                <c:pt idx="56">
                  <c:v>12.829698097369761</c:v>
                </c:pt>
                <c:pt idx="57">
                  <c:v>12</c:v>
                </c:pt>
                <c:pt idx="58">
                  <c:v>-12</c:v>
                </c:pt>
                <c:pt idx="59">
                  <c:v>-24.609390244767855</c:v>
                </c:pt>
                <c:pt idx="60">
                  <c:v>2.3333333333333335</c:v>
                </c:pt>
                <c:pt idx="61">
                  <c:v>-8.029252658232803</c:v>
                </c:pt>
                <c:pt idx="62">
                  <c:v>14.203132463376605</c:v>
                </c:pt>
                <c:pt idx="63">
                  <c:v>12</c:v>
                </c:pt>
                <c:pt idx="64">
                  <c:v>-12</c:v>
                </c:pt>
                <c:pt idx="65">
                  <c:v>-23.554734780566797</c:v>
                </c:pt>
                <c:pt idx="66">
                  <c:v>4.666666666666667</c:v>
                </c:pt>
                <c:pt idx="67">
                  <c:v>-6.1877185053343773</c:v>
                </c:pt>
                <c:pt idx="68">
                  <c:v>15.517506829265256</c:v>
                </c:pt>
                <c:pt idx="69">
                  <c:v>12</c:v>
                </c:pt>
                <c:pt idx="70">
                  <c:v>-12</c:v>
                </c:pt>
                <c:pt idx="71">
                  <c:v>-22.380163934182676</c:v>
                </c:pt>
                <c:pt idx="72">
                  <c:v>7</c:v>
                </c:pt>
                <c:pt idx="73">
                  <c:v>-4.3000630515963358</c:v>
                </c:pt>
                <c:pt idx="74">
                  <c:v>16.777941702150098</c:v>
                </c:pt>
                <c:pt idx="75">
                  <c:v>12</c:v>
                </c:pt>
                <c:pt idx="76">
                  <c:v>-12</c:v>
                </c:pt>
                <c:pt idx="77">
                  <c:v>-21.078840109892809</c:v>
                </c:pt>
                <c:pt idx="78">
                  <c:v>9.3333333333333339</c:v>
                </c:pt>
                <c:pt idx="79">
                  <c:v>-2.3636564525099644</c:v>
                </c:pt>
                <c:pt idx="80">
                  <c:v>17.987756355580007</c:v>
                </c:pt>
                <c:pt idx="81">
                  <c:v>12</c:v>
                </c:pt>
                <c:pt idx="82">
                  <c:v>-12</c:v>
                </c:pt>
                <c:pt idx="83">
                  <c:v>-19.642597335724307</c:v>
                </c:pt>
                <c:pt idx="84">
                  <c:v>11.666666666666668</c:v>
                </c:pt>
                <c:pt idx="85">
                  <c:v>-0.37535794962416702</c:v>
                </c:pt>
                <c:pt idx="86">
                  <c:v>19.149459663035739</c:v>
                </c:pt>
                <c:pt idx="87">
                  <c:v>12</c:v>
                </c:pt>
                <c:pt idx="88">
                  <c:v>-12</c:v>
                </c:pt>
                <c:pt idx="89">
                  <c:v>-30.376282653093735</c:v>
                </c:pt>
                <c:pt idx="90">
                  <c:v>14.000000000000002</c:v>
                </c:pt>
                <c:pt idx="91">
                  <c:v>-3.0678010204149508</c:v>
                </c:pt>
                <c:pt idx="92">
                  <c:v>26.896999319700733</c:v>
                </c:pt>
                <c:pt idx="93">
                  <c:v>12</c:v>
                </c:pt>
                <c:pt idx="94">
                  <c:v>-12</c:v>
                </c:pt>
                <c:pt idx="95">
                  <c:v>-24.879281862192261</c:v>
                </c:pt>
                <c:pt idx="96">
                  <c:v>25</c:v>
                </c:pt>
                <c:pt idx="97">
                  <c:v>5.8156608222448263</c:v>
                </c:pt>
                <c:pt idx="98">
                  <c:v>31.34962606454722</c:v>
                </c:pt>
                <c:pt idx="99">
                  <c:v>12</c:v>
                </c:pt>
                <c:pt idx="100">
                  <c:v>-12</c:v>
                </c:pt>
                <c:pt idx="101">
                  <c:v>-23.375716830330454</c:v>
                </c:pt>
                <c:pt idx="102">
                  <c:v>0</c:v>
                </c:pt>
                <c:pt idx="103">
                  <c:v>-8.9906603193697858</c:v>
                </c:pt>
                <c:pt idx="104">
                  <c:v>22.648032351271631</c:v>
                </c:pt>
                <c:pt idx="105">
                  <c:v>12</c:v>
                </c:pt>
                <c:pt idx="106">
                  <c:v>-12</c:v>
                </c:pt>
                <c:pt idx="107">
                  <c:v>-10.52880704336475</c:v>
                </c:pt>
                <c:pt idx="108">
                  <c:v>-25</c:v>
                </c:pt>
                <c:pt idx="109">
                  <c:v>-19.434156555154736</c:v>
                </c:pt>
                <c:pt idx="110">
                  <c:v>20.32293673094285</c:v>
                </c:pt>
                <c:pt idx="111">
                  <c:v>12</c:v>
                </c:pt>
                <c:pt idx="112">
                  <c:v>60</c:v>
                </c:pt>
                <c:pt idx="113">
                  <c:v>59.977621104822219</c:v>
                </c:pt>
                <c:pt idx="114">
                  <c:v>59.910498330815244</c:v>
                </c:pt>
                <c:pt idx="115">
                  <c:v>59.7986734039103</c:v>
                </c:pt>
                <c:pt idx="116">
                  <c:v>59.642215838505066</c:v>
                </c:pt>
                <c:pt idx="117">
                  <c:v>59.441222894251112</c:v>
                </c:pt>
                <c:pt idx="118">
                  <c:v>59.195819515593755</c:v>
                </c:pt>
                <c:pt idx="119">
                  <c:v>58.906158254102053</c:v>
                </c:pt>
                <c:pt idx="120">
                  <c:v>58.572419173637371</c:v>
                </c:pt>
                <c:pt idx="121">
                  <c:v>58.19480973841911</c:v>
                </c:pt>
                <c:pt idx="122">
                  <c:v>57.77356468405749</c:v>
                </c:pt>
                <c:pt idx="123">
                  <c:v>57.308945871633512</c:v>
                </c:pt>
                <c:pt idx="124">
                  <c:v>56.801242124916655</c:v>
                </c:pt>
                <c:pt idx="125">
                  <c:v>56.250769050821617</c:v>
                </c:pt>
                <c:pt idx="126">
                  <c:v>55.657868843215709</c:v>
                </c:pt>
                <c:pt idx="127">
                  <c:v>55.022910070198847</c:v>
                </c:pt>
                <c:pt idx="128">
                  <c:v>54.346287444988349</c:v>
                </c:pt>
                <c:pt idx="129">
                  <c:v>53.628421580551006</c:v>
                </c:pt>
                <c:pt idx="130">
                  <c:v>52.869758728134926</c:v>
                </c:pt>
                <c:pt idx="131">
                  <c:v>52.070770499863713</c:v>
                </c:pt>
                <c:pt idx="132">
                  <c:v>51.231953575565385</c:v>
                </c:pt>
                <c:pt idx="133">
                  <c:v>50.353829394018334</c:v>
                </c:pt>
                <c:pt idx="134">
                  <c:v>49.436943828806236</c:v>
                </c:pt>
                <c:pt idx="135">
                  <c:v>48.481866848983351</c:v>
                </c:pt>
                <c:pt idx="136">
                  <c:v>47.489192164761299</c:v>
                </c:pt>
                <c:pt idx="137">
                  <c:v>46.45953685843741</c:v>
                </c:pt>
                <c:pt idx="138">
                  <c:v>45.39354100079418</c:v>
                </c:pt>
                <c:pt idx="139">
                  <c:v>44.29186725320821</c:v>
                </c:pt>
                <c:pt idx="140">
                  <c:v>43.155200455716098</c:v>
                </c:pt>
                <c:pt idx="141">
                  <c:v>41.984247201293201</c:v>
                </c:pt>
                <c:pt idx="142">
                  <c:v>40.779735396610057</c:v>
                </c:pt>
                <c:pt idx="143">
                  <c:v>39.542413809539362</c:v>
                </c:pt>
                <c:pt idx="144">
                  <c:v>38.27305160369496</c:v>
                </c:pt>
                <c:pt idx="145">
                  <c:v>36.97243786029204</c:v>
                </c:pt>
                <c:pt idx="146">
                  <c:v>35.641381087625909</c:v>
                </c:pt>
                <c:pt idx="147">
                  <c:v>34.280708718474088</c:v>
                </c:pt>
                <c:pt idx="148">
                  <c:v>32.891266595734379</c:v>
                </c:pt>
                <c:pt idx="149">
                  <c:v>31.473918446618441</c:v>
                </c:pt>
                <c:pt idx="150">
                  <c:v>30.029545345727961</c:v>
                </c:pt>
                <c:pt idx="151">
                  <c:v>28.559045167346859</c:v>
                </c:pt>
                <c:pt idx="152">
                  <c:v>27.063332027290457</c:v>
                </c:pt>
                <c:pt idx="153">
                  <c:v>25.54333571465812</c:v>
                </c:pt>
                <c:pt idx="154">
                  <c:v>24.00000111384292</c:v>
                </c:pt>
                <c:pt idx="155">
                  <c:v>22.434287617157558</c:v>
                </c:pt>
                <c:pt idx="156">
                  <c:v>20.847168528441451</c:v>
                </c:pt>
                <c:pt idx="157">
                  <c:v>19.239630458020226</c:v>
                </c:pt>
                <c:pt idx="158">
                  <c:v>17.612672709393095</c:v>
                </c:pt>
                <c:pt idx="159">
                  <c:v>15.967306658029923</c:v>
                </c:pt>
                <c:pt idx="160">
                  <c:v>14.304555122663807</c:v>
                </c:pt>
                <c:pt idx="161">
                  <c:v>12.625451729470267</c:v>
                </c:pt>
                <c:pt idx="162">
                  <c:v>10.931040269527855</c:v>
                </c:pt>
                <c:pt idx="163">
                  <c:v>9.2223740499601874</c:v>
                </c:pt>
                <c:pt idx="164">
                  <c:v>7.50051523916229</c:v>
                </c:pt>
                <c:pt idx="165">
                  <c:v>5.7665342065185783</c:v>
                </c:pt>
                <c:pt idx="166">
                  <c:v>4.0215088570226385</c:v>
                </c:pt>
                <c:pt idx="167">
                  <c:v>2.2665239612127621</c:v>
                </c:pt>
                <c:pt idx="168">
                  <c:v>0.50267048083958699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2.8515696384297637</c:v>
                </c:pt>
                <c:pt idx="177">
                  <c:v>1.9753111994832171</c:v>
                </c:pt>
                <c:pt idx="178">
                  <c:v>0.92563316887902047</c:v>
                </c:pt>
                <c:pt idx="179">
                  <c:v>-0.21601377837397351</c:v>
                </c:pt>
                <c:pt idx="180">
                  <c:v>-1.4157664759720063</c:v>
                </c:pt>
                <c:pt idx="181">
                  <c:v>-2.6556123420946562</c:v>
                </c:pt>
                <c:pt idx="182">
                  <c:v>-3.9245681685754725</c:v>
                </c:pt>
                <c:pt idx="183">
                  <c:v>-5.2153144569239593</c:v>
                </c:pt>
                <c:pt idx="184">
                  <c:v>-6.5226550874579061</c:v>
                </c:pt>
                <c:pt idx="185">
                  <c:v>-7.8427215966531474</c:v>
                </c:pt>
                <c:pt idx="186">
                  <c:v>-9.1725245020797033</c:v>
                </c:pt>
                <c:pt idx="187">
                  <c:v>-10.509682805443534</c:v>
                </c:pt>
                <c:pt idx="188">
                  <c:v>-11.852251962601201</c:v>
                </c:pt>
                <c:pt idx="189">
                  <c:v>-13.198609507350314</c:v>
                </c:pt>
                <c:pt idx="190">
                  <c:v>-14.547376030315508</c:v>
                </c:pt>
                <c:pt idx="191">
                  <c:v>-15.897358663204308</c:v>
                </c:pt>
                <c:pt idx="192">
                  <c:v>-17.247509325359044</c:v>
                </c:pt>
                <c:pt idx="193">
                  <c:v>-18.596892885306229</c:v>
                </c:pt>
                <c:pt idx="194">
                  <c:v>-19.944662101015112</c:v>
                </c:pt>
                <c:pt idx="195">
                  <c:v>-21.290037250525245</c:v>
                </c:pt>
                <c:pt idx="196">
                  <c:v>-22.632289027455251</c:v>
                </c:pt>
                <c:pt idx="197">
                  <c:v>-23.97072370792359</c:v>
                </c:pt>
                <c:pt idx="198">
                  <c:v>-25.30466988534544</c:v>
                </c:pt>
                <c:pt idx="199">
                  <c:v>-26.633466270137497</c:v>
                </c:pt>
                <c:pt idx="200">
                  <c:v>-27.956450194805811</c:v>
                </c:pt>
                <c:pt idx="201">
                  <c:v>-29.272946571435931</c:v>
                </c:pt>
                <c:pt idx="202">
                  <c:v>-30.582257131227855</c:v>
                </c:pt>
                <c:pt idx="203">
                  <c:v>-31.883649842884822</c:v>
                </c:pt>
                <c:pt idx="204">
                  <c:v>-33.176348463939625</c:v>
                </c:pt>
                <c:pt idx="205">
                  <c:v>-34.459522230103559</c:v>
                </c:pt>
                <c:pt idx="206">
                  <c:v>-35.732275734705851</c:v>
                </c:pt>
                <c:pt idx="207">
                  <c:v>-36.99363909448315</c:v>
                </c:pt>
                <c:pt idx="208">
                  <c:v>-38.242558539797471</c:v>
                </c:pt>
                <c:pt idx="209">
                  <c:v>-39.477887606536221</c:v>
                </c:pt>
                <c:pt idx="210">
                  <c:v>-40.698379142616446</c:v>
                </c:pt>
                <c:pt idx="211">
                  <c:v>-41.902678372794895</c:v>
                </c:pt>
                <c:pt idx="212">
                  <c:v>-43.089317289558807</c:v>
                </c:pt>
                <c:pt idx="213">
                  <c:v>-44.25671065311036</c:v>
                </c:pt>
                <c:pt idx="214">
                  <c:v>-45.403153887555582</c:v>
                </c:pt>
                <c:pt idx="215">
                  <c:v>-46.526823151096757</c:v>
                </c:pt>
                <c:pt idx="216">
                  <c:v>-47.625777833297384</c:v>
                </c:pt>
                <c:pt idx="217">
                  <c:v>-48.697965690882285</c:v>
                </c:pt>
                <c:pt idx="218">
                  <c:v>-49.741230774414589</c:v>
                </c:pt>
                <c:pt idx="219">
                  <c:v>-50.753324222038465</c:v>
                </c:pt>
                <c:pt idx="220">
                  <c:v>-51.731917905092047</c:v>
                </c:pt>
                <c:pt idx="221">
                  <c:v>-52.674620807053785</c:v>
                </c:pt>
                <c:pt idx="222">
                  <c:v>-53.578997906712083</c:v>
                </c:pt>
                <c:pt idx="223">
                  <c:v>-54.442591224662408</c:v>
                </c:pt>
                <c:pt idx="224">
                  <c:v>-55.262942586197084</c:v>
                </c:pt>
                <c:pt idx="225">
                  <c:v>-56.037617560739605</c:v>
                </c:pt>
                <c:pt idx="226">
                  <c:v>-56.764229965340405</c:v>
                </c:pt>
                <c:pt idx="227">
                  <c:v>-57.440466273599569</c:v>
                </c:pt>
                <c:pt idx="228">
                  <c:v>-58.064109256288212</c:v>
                </c:pt>
                <c:pt idx="229">
                  <c:v>-58.633060198267984</c:v>
                </c:pt>
                <c:pt idx="230">
                  <c:v>-59.145359087855262</c:v>
                </c:pt>
                <c:pt idx="231">
                  <c:v>-59.599202256688159</c:v>
                </c:pt>
                <c:pt idx="232">
                  <c:v>-59.992957055132891</c:v>
                </c:pt>
                <c:pt idx="233">
                  <c:v>-60.325173273076174</c:v>
                </c:pt>
                <c:pt idx="234">
                  <c:v>-60.594591150128096</c:v>
                </c:pt>
                <c:pt idx="235">
                  <c:v>-60.800145953957085</c:v>
                </c:pt>
                <c:pt idx="236">
                  <c:v>-60.940969232303956</c:v>
                </c:pt>
                <c:pt idx="237">
                  <c:v>-61.016386955989681</c:v>
                </c:pt>
                <c:pt idx="238">
                  <c:v>-61.025914861512376</c:v>
                </c:pt>
                <c:pt idx="239">
                  <c:v>-60.969251369261414</c:v>
                </c:pt>
              </c:numCache>
            </c:numRef>
          </c:xVal>
          <c:yVal>
            <c:numRef>
              <c:f>CALC60!$BO$6:$BO$581</c:f>
              <c:numCache>
                <c:formatCode>General</c:formatCode>
                <c:ptCount val="576"/>
                <c:pt idx="100">
                  <c:v>0</c:v>
                </c:pt>
                <c:pt idx="101">
                  <c:v>-16.449713267900339</c:v>
                </c:pt>
                <c:pt idx="102">
                  <c:v>30</c:v>
                </c:pt>
                <c:pt idx="103">
                  <c:v>12.134725666200417</c:v>
                </c:pt>
                <c:pt idx="104">
                  <c:v>16.929837773773048</c:v>
                </c:pt>
                <c:pt idx="105">
                  <c:v>0</c:v>
                </c:pt>
              </c:numCache>
            </c:numRef>
          </c:yVal>
          <c:smooth val="0"/>
        </c:ser>
        <c:ser>
          <c:idx val="16"/>
          <c:order val="16"/>
          <c:tx>
            <c:strRef>
              <c:f>CALC60!$BP$5</c:f>
              <c:strCache>
                <c:ptCount val="1"/>
                <c:pt idx="0">
                  <c:v>R15</c:v>
                </c:pt>
              </c:strCache>
            </c:strRef>
          </c:tx>
          <c:xVal>
            <c:numRef>
              <c:f>CALC60!$AY$6:$AY$581</c:f>
              <c:numCache>
                <c:formatCode>General</c:formatCode>
                <c:ptCount val="576"/>
                <c:pt idx="0">
                  <c:v>-19.833506546880365</c:v>
                </c:pt>
                <c:pt idx="1">
                  <c:v>-18.245852614565919</c:v>
                </c:pt>
                <c:pt idx="2">
                  <c:v>-16.629666681765414</c:v>
                </c:pt>
                <c:pt idx="3">
                  <c:v>-14.98231154257417</c:v>
                </c:pt>
                <c:pt idx="4">
                  <c:v>-13.301143585556035</c:v>
                </c:pt>
                <c:pt idx="5">
                  <c:v>-11.583569246398675</c:v>
                </c:pt>
                <c:pt idx="6">
                  <c:v>-9.8270793278644781</c:v>
                </c:pt>
                <c:pt idx="7">
                  <c:v>-8.029252658232803</c:v>
                </c:pt>
                <c:pt idx="8">
                  <c:v>-6.1877185053343773</c:v>
                </c:pt>
                <c:pt idx="9">
                  <c:v>-4.3000630515963358</c:v>
                </c:pt>
                <c:pt idx="10">
                  <c:v>-2.3636564525099644</c:v>
                </c:pt>
                <c:pt idx="11">
                  <c:v>-0.37535794962416702</c:v>
                </c:pt>
                <c:pt idx="12">
                  <c:v>-3.0678010204149508</c:v>
                </c:pt>
                <c:pt idx="13">
                  <c:v>5.8156608222448263</c:v>
                </c:pt>
                <c:pt idx="14">
                  <c:v>-8.9906603193697858</c:v>
                </c:pt>
                <c:pt idx="15">
                  <c:v>-19.434156555154736</c:v>
                </c:pt>
                <c:pt idx="16">
                  <c:v>-12</c:v>
                </c:pt>
                <c:pt idx="17">
                  <c:v>-29.167117021908272</c:v>
                </c:pt>
                <c:pt idx="18">
                  <c:v>-14</c:v>
                </c:pt>
                <c:pt idx="19">
                  <c:v>-19.833506546880365</c:v>
                </c:pt>
                <c:pt idx="20">
                  <c:v>1.5130248501190131</c:v>
                </c:pt>
                <c:pt idx="21">
                  <c:v>12</c:v>
                </c:pt>
                <c:pt idx="22">
                  <c:v>-12</c:v>
                </c:pt>
                <c:pt idx="23">
                  <c:v>-28.772550131225248</c:v>
                </c:pt>
                <c:pt idx="24">
                  <c:v>-11.666666666666666</c:v>
                </c:pt>
                <c:pt idx="25">
                  <c:v>-18.245852614565919</c:v>
                </c:pt>
                <c:pt idx="26">
                  <c:v>4.3925078710812571</c:v>
                </c:pt>
                <c:pt idx="27">
                  <c:v>12</c:v>
                </c:pt>
                <c:pt idx="28">
                  <c:v>-12</c:v>
                </c:pt>
                <c:pt idx="29">
                  <c:v>-28.303800039278563</c:v>
                </c:pt>
                <c:pt idx="30">
                  <c:v>-9.3333333333333321</c:v>
                </c:pt>
                <c:pt idx="31">
                  <c:v>-16.629666681765414</c:v>
                </c:pt>
                <c:pt idx="32">
                  <c:v>6.4527131206909987</c:v>
                </c:pt>
                <c:pt idx="33">
                  <c:v>12</c:v>
                </c:pt>
                <c:pt idx="34">
                  <c:v>-12</c:v>
                </c:pt>
                <c:pt idx="35">
                  <c:v>-27.754010010716058</c:v>
                </c:pt>
                <c:pt idx="36">
                  <c:v>-6.9999999999999982</c:v>
                </c:pt>
                <c:pt idx="37">
                  <c:v>-14.98231154257417</c:v>
                </c:pt>
                <c:pt idx="38">
                  <c:v>8.2375052570320868</c:v>
                </c:pt>
                <c:pt idx="39">
                  <c:v>12</c:v>
                </c:pt>
                <c:pt idx="40">
                  <c:v>-12</c:v>
                </c:pt>
                <c:pt idx="41">
                  <c:v>-27.116306655803694</c:v>
                </c:pt>
                <c:pt idx="42">
                  <c:v>-4.6666666666666643</c:v>
                </c:pt>
                <c:pt idx="43">
                  <c:v>-13.301143585556035</c:v>
                </c:pt>
                <c:pt idx="44">
                  <c:v>9.8664661885771885</c:v>
                </c:pt>
                <c:pt idx="45">
                  <c:v>12</c:v>
                </c:pt>
                <c:pt idx="46">
                  <c:v>-12</c:v>
                </c:pt>
                <c:pt idx="47">
                  <c:v>-26.383946707329393</c:v>
                </c:pt>
                <c:pt idx="48">
                  <c:v>-2.3333333333333308</c:v>
                </c:pt>
                <c:pt idx="49">
                  <c:v>-11.583569246398675</c:v>
                </c:pt>
                <c:pt idx="50">
                  <c:v>11.388844623449907</c:v>
                </c:pt>
                <c:pt idx="51">
                  <c:v>12</c:v>
                </c:pt>
                <c:pt idx="52">
                  <c:v>-12</c:v>
                </c:pt>
                <c:pt idx="53">
                  <c:v>-25.550406252475348</c:v>
                </c:pt>
                <c:pt idx="54">
                  <c:v>0</c:v>
                </c:pt>
                <c:pt idx="55">
                  <c:v>-9.8270793278644781</c:v>
                </c:pt>
                <c:pt idx="56">
                  <c:v>12.829698097369761</c:v>
                </c:pt>
                <c:pt idx="57">
                  <c:v>12</c:v>
                </c:pt>
                <c:pt idx="58">
                  <c:v>-12</c:v>
                </c:pt>
                <c:pt idx="59">
                  <c:v>-24.609390244767855</c:v>
                </c:pt>
                <c:pt idx="60">
                  <c:v>2.3333333333333335</c:v>
                </c:pt>
                <c:pt idx="61">
                  <c:v>-8.029252658232803</c:v>
                </c:pt>
                <c:pt idx="62">
                  <c:v>14.203132463376605</c:v>
                </c:pt>
                <c:pt idx="63">
                  <c:v>12</c:v>
                </c:pt>
                <c:pt idx="64">
                  <c:v>-12</c:v>
                </c:pt>
                <c:pt idx="65">
                  <c:v>-23.554734780566797</c:v>
                </c:pt>
                <c:pt idx="66">
                  <c:v>4.666666666666667</c:v>
                </c:pt>
                <c:pt idx="67">
                  <c:v>-6.1877185053343773</c:v>
                </c:pt>
                <c:pt idx="68">
                  <c:v>15.517506829265256</c:v>
                </c:pt>
                <c:pt idx="69">
                  <c:v>12</c:v>
                </c:pt>
                <c:pt idx="70">
                  <c:v>-12</c:v>
                </c:pt>
                <c:pt idx="71">
                  <c:v>-22.380163934182676</c:v>
                </c:pt>
                <c:pt idx="72">
                  <c:v>7</c:v>
                </c:pt>
                <c:pt idx="73">
                  <c:v>-4.3000630515963358</c:v>
                </c:pt>
                <c:pt idx="74">
                  <c:v>16.777941702150098</c:v>
                </c:pt>
                <c:pt idx="75">
                  <c:v>12</c:v>
                </c:pt>
                <c:pt idx="76">
                  <c:v>-12</c:v>
                </c:pt>
                <c:pt idx="77">
                  <c:v>-21.078840109892809</c:v>
                </c:pt>
                <c:pt idx="78">
                  <c:v>9.3333333333333339</c:v>
                </c:pt>
                <c:pt idx="79">
                  <c:v>-2.3636564525099644</c:v>
                </c:pt>
                <c:pt idx="80">
                  <c:v>17.987756355580007</c:v>
                </c:pt>
                <c:pt idx="81">
                  <c:v>12</c:v>
                </c:pt>
                <c:pt idx="82">
                  <c:v>-12</c:v>
                </c:pt>
                <c:pt idx="83">
                  <c:v>-19.642597335724307</c:v>
                </c:pt>
                <c:pt idx="84">
                  <c:v>11.666666666666668</c:v>
                </c:pt>
                <c:pt idx="85">
                  <c:v>-0.37535794962416702</c:v>
                </c:pt>
                <c:pt idx="86">
                  <c:v>19.149459663035739</c:v>
                </c:pt>
                <c:pt idx="87">
                  <c:v>12</c:v>
                </c:pt>
                <c:pt idx="88">
                  <c:v>-12</c:v>
                </c:pt>
                <c:pt idx="89">
                  <c:v>-30.376282653093735</c:v>
                </c:pt>
                <c:pt idx="90">
                  <c:v>14.000000000000002</c:v>
                </c:pt>
                <c:pt idx="91">
                  <c:v>-3.0678010204149508</c:v>
                </c:pt>
                <c:pt idx="92">
                  <c:v>26.896999319700733</c:v>
                </c:pt>
                <c:pt idx="93">
                  <c:v>12</c:v>
                </c:pt>
                <c:pt idx="94">
                  <c:v>-12</c:v>
                </c:pt>
                <c:pt idx="95">
                  <c:v>-24.879281862192261</c:v>
                </c:pt>
                <c:pt idx="96">
                  <c:v>25</c:v>
                </c:pt>
                <c:pt idx="97">
                  <c:v>5.8156608222448263</c:v>
                </c:pt>
                <c:pt idx="98">
                  <c:v>31.34962606454722</c:v>
                </c:pt>
                <c:pt idx="99">
                  <c:v>12</c:v>
                </c:pt>
                <c:pt idx="100">
                  <c:v>-12</c:v>
                </c:pt>
                <c:pt idx="101">
                  <c:v>-23.375716830330454</c:v>
                </c:pt>
                <c:pt idx="102">
                  <c:v>0</c:v>
                </c:pt>
                <c:pt idx="103">
                  <c:v>-8.9906603193697858</c:v>
                </c:pt>
                <c:pt idx="104">
                  <c:v>22.648032351271631</c:v>
                </c:pt>
                <c:pt idx="105">
                  <c:v>12</c:v>
                </c:pt>
                <c:pt idx="106">
                  <c:v>-12</c:v>
                </c:pt>
                <c:pt idx="107">
                  <c:v>-10.52880704336475</c:v>
                </c:pt>
                <c:pt idx="108">
                  <c:v>-25</c:v>
                </c:pt>
                <c:pt idx="109">
                  <c:v>-19.434156555154736</c:v>
                </c:pt>
                <c:pt idx="110">
                  <c:v>20.32293673094285</c:v>
                </c:pt>
                <c:pt idx="111">
                  <c:v>12</c:v>
                </c:pt>
                <c:pt idx="112">
                  <c:v>60</c:v>
                </c:pt>
                <c:pt idx="113">
                  <c:v>59.977621104822219</c:v>
                </c:pt>
                <c:pt idx="114">
                  <c:v>59.910498330815244</c:v>
                </c:pt>
                <c:pt idx="115">
                  <c:v>59.7986734039103</c:v>
                </c:pt>
                <c:pt idx="116">
                  <c:v>59.642215838505066</c:v>
                </c:pt>
                <c:pt idx="117">
                  <c:v>59.441222894251112</c:v>
                </c:pt>
                <c:pt idx="118">
                  <c:v>59.195819515593755</c:v>
                </c:pt>
                <c:pt idx="119">
                  <c:v>58.906158254102053</c:v>
                </c:pt>
                <c:pt idx="120">
                  <c:v>58.572419173637371</c:v>
                </c:pt>
                <c:pt idx="121">
                  <c:v>58.19480973841911</c:v>
                </c:pt>
                <c:pt idx="122">
                  <c:v>57.77356468405749</c:v>
                </c:pt>
                <c:pt idx="123">
                  <c:v>57.308945871633512</c:v>
                </c:pt>
                <c:pt idx="124">
                  <c:v>56.801242124916655</c:v>
                </c:pt>
                <c:pt idx="125">
                  <c:v>56.250769050821617</c:v>
                </c:pt>
                <c:pt idx="126">
                  <c:v>55.657868843215709</c:v>
                </c:pt>
                <c:pt idx="127">
                  <c:v>55.022910070198847</c:v>
                </c:pt>
                <c:pt idx="128">
                  <c:v>54.346287444988349</c:v>
                </c:pt>
                <c:pt idx="129">
                  <c:v>53.628421580551006</c:v>
                </c:pt>
                <c:pt idx="130">
                  <c:v>52.869758728134926</c:v>
                </c:pt>
                <c:pt idx="131">
                  <c:v>52.070770499863713</c:v>
                </c:pt>
                <c:pt idx="132">
                  <c:v>51.231953575565385</c:v>
                </c:pt>
                <c:pt idx="133">
                  <c:v>50.353829394018334</c:v>
                </c:pt>
                <c:pt idx="134">
                  <c:v>49.436943828806236</c:v>
                </c:pt>
                <c:pt idx="135">
                  <c:v>48.481866848983351</c:v>
                </c:pt>
                <c:pt idx="136">
                  <c:v>47.489192164761299</c:v>
                </c:pt>
                <c:pt idx="137">
                  <c:v>46.45953685843741</c:v>
                </c:pt>
                <c:pt idx="138">
                  <c:v>45.39354100079418</c:v>
                </c:pt>
                <c:pt idx="139">
                  <c:v>44.29186725320821</c:v>
                </c:pt>
                <c:pt idx="140">
                  <c:v>43.155200455716098</c:v>
                </c:pt>
                <c:pt idx="141">
                  <c:v>41.984247201293201</c:v>
                </c:pt>
                <c:pt idx="142">
                  <c:v>40.779735396610057</c:v>
                </c:pt>
                <c:pt idx="143">
                  <c:v>39.542413809539362</c:v>
                </c:pt>
                <c:pt idx="144">
                  <c:v>38.27305160369496</c:v>
                </c:pt>
                <c:pt idx="145">
                  <c:v>36.97243786029204</c:v>
                </c:pt>
                <c:pt idx="146">
                  <c:v>35.641381087625909</c:v>
                </c:pt>
                <c:pt idx="147">
                  <c:v>34.280708718474088</c:v>
                </c:pt>
                <c:pt idx="148">
                  <c:v>32.891266595734379</c:v>
                </c:pt>
                <c:pt idx="149">
                  <c:v>31.473918446618441</c:v>
                </c:pt>
                <c:pt idx="150">
                  <c:v>30.029545345727961</c:v>
                </c:pt>
                <c:pt idx="151">
                  <c:v>28.559045167346859</c:v>
                </c:pt>
                <c:pt idx="152">
                  <c:v>27.063332027290457</c:v>
                </c:pt>
                <c:pt idx="153">
                  <c:v>25.54333571465812</c:v>
                </c:pt>
                <c:pt idx="154">
                  <c:v>24.00000111384292</c:v>
                </c:pt>
                <c:pt idx="155">
                  <c:v>22.434287617157558</c:v>
                </c:pt>
                <c:pt idx="156">
                  <c:v>20.847168528441451</c:v>
                </c:pt>
                <c:pt idx="157">
                  <c:v>19.239630458020226</c:v>
                </c:pt>
                <c:pt idx="158">
                  <c:v>17.612672709393095</c:v>
                </c:pt>
                <c:pt idx="159">
                  <c:v>15.967306658029923</c:v>
                </c:pt>
                <c:pt idx="160">
                  <c:v>14.304555122663807</c:v>
                </c:pt>
                <c:pt idx="161">
                  <c:v>12.625451729470267</c:v>
                </c:pt>
                <c:pt idx="162">
                  <c:v>10.931040269527855</c:v>
                </c:pt>
                <c:pt idx="163">
                  <c:v>9.2223740499601874</c:v>
                </c:pt>
                <c:pt idx="164">
                  <c:v>7.50051523916229</c:v>
                </c:pt>
                <c:pt idx="165">
                  <c:v>5.7665342065185783</c:v>
                </c:pt>
                <c:pt idx="166">
                  <c:v>4.0215088570226385</c:v>
                </c:pt>
                <c:pt idx="167">
                  <c:v>2.2665239612127621</c:v>
                </c:pt>
                <c:pt idx="168">
                  <c:v>0.50267048083958699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2.8515696384297637</c:v>
                </c:pt>
                <c:pt idx="177">
                  <c:v>1.9753111994832171</c:v>
                </c:pt>
                <c:pt idx="178">
                  <c:v>0.92563316887902047</c:v>
                </c:pt>
                <c:pt idx="179">
                  <c:v>-0.21601377837397351</c:v>
                </c:pt>
                <c:pt idx="180">
                  <c:v>-1.4157664759720063</c:v>
                </c:pt>
                <c:pt idx="181">
                  <c:v>-2.6556123420946562</c:v>
                </c:pt>
                <c:pt idx="182">
                  <c:v>-3.9245681685754725</c:v>
                </c:pt>
                <c:pt idx="183">
                  <c:v>-5.2153144569239593</c:v>
                </c:pt>
                <c:pt idx="184">
                  <c:v>-6.5226550874579061</c:v>
                </c:pt>
                <c:pt idx="185">
                  <c:v>-7.8427215966531474</c:v>
                </c:pt>
                <c:pt idx="186">
                  <c:v>-9.1725245020797033</c:v>
                </c:pt>
                <c:pt idx="187">
                  <c:v>-10.509682805443534</c:v>
                </c:pt>
                <c:pt idx="188">
                  <c:v>-11.852251962601201</c:v>
                </c:pt>
                <c:pt idx="189">
                  <c:v>-13.198609507350314</c:v>
                </c:pt>
                <c:pt idx="190">
                  <c:v>-14.547376030315508</c:v>
                </c:pt>
                <c:pt idx="191">
                  <c:v>-15.897358663204308</c:v>
                </c:pt>
                <c:pt idx="192">
                  <c:v>-17.247509325359044</c:v>
                </c:pt>
                <c:pt idx="193">
                  <c:v>-18.596892885306229</c:v>
                </c:pt>
                <c:pt idx="194">
                  <c:v>-19.944662101015112</c:v>
                </c:pt>
                <c:pt idx="195">
                  <c:v>-21.290037250525245</c:v>
                </c:pt>
                <c:pt idx="196">
                  <c:v>-22.632289027455251</c:v>
                </c:pt>
                <c:pt idx="197">
                  <c:v>-23.97072370792359</c:v>
                </c:pt>
                <c:pt idx="198">
                  <c:v>-25.30466988534544</c:v>
                </c:pt>
                <c:pt idx="199">
                  <c:v>-26.633466270137497</c:v>
                </c:pt>
                <c:pt idx="200">
                  <c:v>-27.956450194805811</c:v>
                </c:pt>
                <c:pt idx="201">
                  <c:v>-29.272946571435931</c:v>
                </c:pt>
                <c:pt idx="202">
                  <c:v>-30.582257131227855</c:v>
                </c:pt>
                <c:pt idx="203">
                  <c:v>-31.883649842884822</c:v>
                </c:pt>
                <c:pt idx="204">
                  <c:v>-33.176348463939625</c:v>
                </c:pt>
                <c:pt idx="205">
                  <c:v>-34.459522230103559</c:v>
                </c:pt>
                <c:pt idx="206">
                  <c:v>-35.732275734705851</c:v>
                </c:pt>
                <c:pt idx="207">
                  <c:v>-36.99363909448315</c:v>
                </c:pt>
                <c:pt idx="208">
                  <c:v>-38.242558539797471</c:v>
                </c:pt>
                <c:pt idx="209">
                  <c:v>-39.477887606536221</c:v>
                </c:pt>
                <c:pt idx="210">
                  <c:v>-40.698379142616446</c:v>
                </c:pt>
                <c:pt idx="211">
                  <c:v>-41.902678372794895</c:v>
                </c:pt>
                <c:pt idx="212">
                  <c:v>-43.089317289558807</c:v>
                </c:pt>
                <c:pt idx="213">
                  <c:v>-44.25671065311036</c:v>
                </c:pt>
                <c:pt idx="214">
                  <c:v>-45.403153887555582</c:v>
                </c:pt>
                <c:pt idx="215">
                  <c:v>-46.526823151096757</c:v>
                </c:pt>
                <c:pt idx="216">
                  <c:v>-47.625777833297384</c:v>
                </c:pt>
                <c:pt idx="217">
                  <c:v>-48.697965690882285</c:v>
                </c:pt>
                <c:pt idx="218">
                  <c:v>-49.741230774414589</c:v>
                </c:pt>
                <c:pt idx="219">
                  <c:v>-50.753324222038465</c:v>
                </c:pt>
                <c:pt idx="220">
                  <c:v>-51.731917905092047</c:v>
                </c:pt>
                <c:pt idx="221">
                  <c:v>-52.674620807053785</c:v>
                </c:pt>
                <c:pt idx="222">
                  <c:v>-53.578997906712083</c:v>
                </c:pt>
                <c:pt idx="223">
                  <c:v>-54.442591224662408</c:v>
                </c:pt>
                <c:pt idx="224">
                  <c:v>-55.262942586197084</c:v>
                </c:pt>
                <c:pt idx="225">
                  <c:v>-56.037617560739605</c:v>
                </c:pt>
                <c:pt idx="226">
                  <c:v>-56.764229965340405</c:v>
                </c:pt>
                <c:pt idx="227">
                  <c:v>-57.440466273599569</c:v>
                </c:pt>
                <c:pt idx="228">
                  <c:v>-58.064109256288212</c:v>
                </c:pt>
                <c:pt idx="229">
                  <c:v>-58.633060198267984</c:v>
                </c:pt>
                <c:pt idx="230">
                  <c:v>-59.145359087855262</c:v>
                </c:pt>
                <c:pt idx="231">
                  <c:v>-59.599202256688159</c:v>
                </c:pt>
                <c:pt idx="232">
                  <c:v>-59.992957055132891</c:v>
                </c:pt>
                <c:pt idx="233">
                  <c:v>-60.325173273076174</c:v>
                </c:pt>
                <c:pt idx="234">
                  <c:v>-60.594591150128096</c:v>
                </c:pt>
                <c:pt idx="235">
                  <c:v>-60.800145953957085</c:v>
                </c:pt>
                <c:pt idx="236">
                  <c:v>-60.940969232303956</c:v>
                </c:pt>
                <c:pt idx="237">
                  <c:v>-61.016386955989681</c:v>
                </c:pt>
                <c:pt idx="238">
                  <c:v>-61.025914861512376</c:v>
                </c:pt>
                <c:pt idx="239">
                  <c:v>-60.969251369261414</c:v>
                </c:pt>
              </c:numCache>
            </c:numRef>
          </c:xVal>
          <c:yVal>
            <c:numRef>
              <c:f>CALC60!$BP$6:$BP$581</c:f>
              <c:numCache>
                <c:formatCode>General</c:formatCode>
                <c:ptCount val="576"/>
                <c:pt idx="106">
                  <c:v>0</c:v>
                </c:pt>
                <c:pt idx="107">
                  <c:v>-19.945816385506681</c:v>
                </c:pt>
                <c:pt idx="108">
                  <c:v>30</c:v>
                </c:pt>
                <c:pt idx="109">
                  <c:v>10.790070620957902</c:v>
                </c:pt>
                <c:pt idx="110">
                  <c:v>18.185948536513635</c:v>
                </c:pt>
                <c:pt idx="111">
                  <c:v>0</c:v>
                </c:pt>
              </c:numCache>
            </c:numRef>
          </c:yVal>
          <c:smooth val="0"/>
        </c:ser>
        <c:ser>
          <c:idx val="17"/>
          <c:order val="17"/>
          <c:tx>
            <c:strRef>
              <c:f>CALC60!$BQ$5</c:f>
              <c:strCache>
                <c:ptCount val="1"/>
                <c:pt idx="0">
                  <c:v>R16</c:v>
                </c:pt>
              </c:strCache>
            </c:strRef>
          </c:tx>
          <c:marker>
            <c:symbol val="none"/>
          </c:marker>
          <c:xVal>
            <c:numRef>
              <c:f>CALC60!$AY$6:$AY$581</c:f>
              <c:numCache>
                <c:formatCode>General</c:formatCode>
                <c:ptCount val="576"/>
                <c:pt idx="0">
                  <c:v>-19.833506546880365</c:v>
                </c:pt>
                <c:pt idx="1">
                  <c:v>-18.245852614565919</c:v>
                </c:pt>
                <c:pt idx="2">
                  <c:v>-16.629666681765414</c:v>
                </c:pt>
                <c:pt idx="3">
                  <c:v>-14.98231154257417</c:v>
                </c:pt>
                <c:pt idx="4">
                  <c:v>-13.301143585556035</c:v>
                </c:pt>
                <c:pt idx="5">
                  <c:v>-11.583569246398675</c:v>
                </c:pt>
                <c:pt idx="6">
                  <c:v>-9.8270793278644781</c:v>
                </c:pt>
                <c:pt idx="7">
                  <c:v>-8.029252658232803</c:v>
                </c:pt>
                <c:pt idx="8">
                  <c:v>-6.1877185053343773</c:v>
                </c:pt>
                <c:pt idx="9">
                  <c:v>-4.3000630515963358</c:v>
                </c:pt>
                <c:pt idx="10">
                  <c:v>-2.3636564525099644</c:v>
                </c:pt>
                <c:pt idx="11">
                  <c:v>-0.37535794962416702</c:v>
                </c:pt>
                <c:pt idx="12">
                  <c:v>-3.0678010204149508</c:v>
                </c:pt>
                <c:pt idx="13">
                  <c:v>5.8156608222448263</c:v>
                </c:pt>
                <c:pt idx="14">
                  <c:v>-8.9906603193697858</c:v>
                </c:pt>
                <c:pt idx="15">
                  <c:v>-19.434156555154736</c:v>
                </c:pt>
                <c:pt idx="16">
                  <c:v>-12</c:v>
                </c:pt>
                <c:pt idx="17">
                  <c:v>-29.167117021908272</c:v>
                </c:pt>
                <c:pt idx="18">
                  <c:v>-14</c:v>
                </c:pt>
                <c:pt idx="19">
                  <c:v>-19.833506546880365</c:v>
                </c:pt>
                <c:pt idx="20">
                  <c:v>1.5130248501190131</c:v>
                </c:pt>
                <c:pt idx="21">
                  <c:v>12</c:v>
                </c:pt>
                <c:pt idx="22">
                  <c:v>-12</c:v>
                </c:pt>
                <c:pt idx="23">
                  <c:v>-28.772550131225248</c:v>
                </c:pt>
                <c:pt idx="24">
                  <c:v>-11.666666666666666</c:v>
                </c:pt>
                <c:pt idx="25">
                  <c:v>-18.245852614565919</c:v>
                </c:pt>
                <c:pt idx="26">
                  <c:v>4.3925078710812571</c:v>
                </c:pt>
                <c:pt idx="27">
                  <c:v>12</c:v>
                </c:pt>
                <c:pt idx="28">
                  <c:v>-12</c:v>
                </c:pt>
                <c:pt idx="29">
                  <c:v>-28.303800039278563</c:v>
                </c:pt>
                <c:pt idx="30">
                  <c:v>-9.3333333333333321</c:v>
                </c:pt>
                <c:pt idx="31">
                  <c:v>-16.629666681765414</c:v>
                </c:pt>
                <c:pt idx="32">
                  <c:v>6.4527131206909987</c:v>
                </c:pt>
                <c:pt idx="33">
                  <c:v>12</c:v>
                </c:pt>
                <c:pt idx="34">
                  <c:v>-12</c:v>
                </c:pt>
                <c:pt idx="35">
                  <c:v>-27.754010010716058</c:v>
                </c:pt>
                <c:pt idx="36">
                  <c:v>-6.9999999999999982</c:v>
                </c:pt>
                <c:pt idx="37">
                  <c:v>-14.98231154257417</c:v>
                </c:pt>
                <c:pt idx="38">
                  <c:v>8.2375052570320868</c:v>
                </c:pt>
                <c:pt idx="39">
                  <c:v>12</c:v>
                </c:pt>
                <c:pt idx="40">
                  <c:v>-12</c:v>
                </c:pt>
                <c:pt idx="41">
                  <c:v>-27.116306655803694</c:v>
                </c:pt>
                <c:pt idx="42">
                  <c:v>-4.6666666666666643</c:v>
                </c:pt>
                <c:pt idx="43">
                  <c:v>-13.301143585556035</c:v>
                </c:pt>
                <c:pt idx="44">
                  <c:v>9.8664661885771885</c:v>
                </c:pt>
                <c:pt idx="45">
                  <c:v>12</c:v>
                </c:pt>
                <c:pt idx="46">
                  <c:v>-12</c:v>
                </c:pt>
                <c:pt idx="47">
                  <c:v>-26.383946707329393</c:v>
                </c:pt>
                <c:pt idx="48">
                  <c:v>-2.3333333333333308</c:v>
                </c:pt>
                <c:pt idx="49">
                  <c:v>-11.583569246398675</c:v>
                </c:pt>
                <c:pt idx="50">
                  <c:v>11.388844623449907</c:v>
                </c:pt>
                <c:pt idx="51">
                  <c:v>12</c:v>
                </c:pt>
                <c:pt idx="52">
                  <c:v>-12</c:v>
                </c:pt>
                <c:pt idx="53">
                  <c:v>-25.550406252475348</c:v>
                </c:pt>
                <c:pt idx="54">
                  <c:v>0</c:v>
                </c:pt>
                <c:pt idx="55">
                  <c:v>-9.8270793278644781</c:v>
                </c:pt>
                <c:pt idx="56">
                  <c:v>12.829698097369761</c:v>
                </c:pt>
                <c:pt idx="57">
                  <c:v>12</c:v>
                </c:pt>
                <c:pt idx="58">
                  <c:v>-12</c:v>
                </c:pt>
                <c:pt idx="59">
                  <c:v>-24.609390244767855</c:v>
                </c:pt>
                <c:pt idx="60">
                  <c:v>2.3333333333333335</c:v>
                </c:pt>
                <c:pt idx="61">
                  <c:v>-8.029252658232803</c:v>
                </c:pt>
                <c:pt idx="62">
                  <c:v>14.203132463376605</c:v>
                </c:pt>
                <c:pt idx="63">
                  <c:v>12</c:v>
                </c:pt>
                <c:pt idx="64">
                  <c:v>-12</c:v>
                </c:pt>
                <c:pt idx="65">
                  <c:v>-23.554734780566797</c:v>
                </c:pt>
                <c:pt idx="66">
                  <c:v>4.666666666666667</c:v>
                </c:pt>
                <c:pt idx="67">
                  <c:v>-6.1877185053343773</c:v>
                </c:pt>
                <c:pt idx="68">
                  <c:v>15.517506829265256</c:v>
                </c:pt>
                <c:pt idx="69">
                  <c:v>12</c:v>
                </c:pt>
                <c:pt idx="70">
                  <c:v>-12</c:v>
                </c:pt>
                <c:pt idx="71">
                  <c:v>-22.380163934182676</c:v>
                </c:pt>
                <c:pt idx="72">
                  <c:v>7</c:v>
                </c:pt>
                <c:pt idx="73">
                  <c:v>-4.3000630515963358</c:v>
                </c:pt>
                <c:pt idx="74">
                  <c:v>16.777941702150098</c:v>
                </c:pt>
                <c:pt idx="75">
                  <c:v>12</c:v>
                </c:pt>
                <c:pt idx="76">
                  <c:v>-12</c:v>
                </c:pt>
                <c:pt idx="77">
                  <c:v>-21.078840109892809</c:v>
                </c:pt>
                <c:pt idx="78">
                  <c:v>9.3333333333333339</c:v>
                </c:pt>
                <c:pt idx="79">
                  <c:v>-2.3636564525099644</c:v>
                </c:pt>
                <c:pt idx="80">
                  <c:v>17.987756355580007</c:v>
                </c:pt>
                <c:pt idx="81">
                  <c:v>12</c:v>
                </c:pt>
                <c:pt idx="82">
                  <c:v>-12</c:v>
                </c:pt>
                <c:pt idx="83">
                  <c:v>-19.642597335724307</c:v>
                </c:pt>
                <c:pt idx="84">
                  <c:v>11.666666666666668</c:v>
                </c:pt>
                <c:pt idx="85">
                  <c:v>-0.37535794962416702</c:v>
                </c:pt>
                <c:pt idx="86">
                  <c:v>19.149459663035739</c:v>
                </c:pt>
                <c:pt idx="87">
                  <c:v>12</c:v>
                </c:pt>
                <c:pt idx="88">
                  <c:v>-12</c:v>
                </c:pt>
                <c:pt idx="89">
                  <c:v>-30.376282653093735</c:v>
                </c:pt>
                <c:pt idx="90">
                  <c:v>14.000000000000002</c:v>
                </c:pt>
                <c:pt idx="91">
                  <c:v>-3.0678010204149508</c:v>
                </c:pt>
                <c:pt idx="92">
                  <c:v>26.896999319700733</c:v>
                </c:pt>
                <c:pt idx="93">
                  <c:v>12</c:v>
                </c:pt>
                <c:pt idx="94">
                  <c:v>-12</c:v>
                </c:pt>
                <c:pt idx="95">
                  <c:v>-24.879281862192261</c:v>
                </c:pt>
                <c:pt idx="96">
                  <c:v>25</c:v>
                </c:pt>
                <c:pt idx="97">
                  <c:v>5.8156608222448263</c:v>
                </c:pt>
                <c:pt idx="98">
                  <c:v>31.34962606454722</c:v>
                </c:pt>
                <c:pt idx="99">
                  <c:v>12</c:v>
                </c:pt>
                <c:pt idx="100">
                  <c:v>-12</c:v>
                </c:pt>
                <c:pt idx="101">
                  <c:v>-23.375716830330454</c:v>
                </c:pt>
                <c:pt idx="102">
                  <c:v>0</c:v>
                </c:pt>
                <c:pt idx="103">
                  <c:v>-8.9906603193697858</c:v>
                </c:pt>
                <c:pt idx="104">
                  <c:v>22.648032351271631</c:v>
                </c:pt>
                <c:pt idx="105">
                  <c:v>12</c:v>
                </c:pt>
                <c:pt idx="106">
                  <c:v>-12</c:v>
                </c:pt>
                <c:pt idx="107">
                  <c:v>-10.52880704336475</c:v>
                </c:pt>
                <c:pt idx="108">
                  <c:v>-25</c:v>
                </c:pt>
                <c:pt idx="109">
                  <c:v>-19.434156555154736</c:v>
                </c:pt>
                <c:pt idx="110">
                  <c:v>20.32293673094285</c:v>
                </c:pt>
                <c:pt idx="111">
                  <c:v>12</c:v>
                </c:pt>
                <c:pt idx="112">
                  <c:v>60</c:v>
                </c:pt>
                <c:pt idx="113">
                  <c:v>59.977621104822219</c:v>
                </c:pt>
                <c:pt idx="114">
                  <c:v>59.910498330815244</c:v>
                </c:pt>
                <c:pt idx="115">
                  <c:v>59.7986734039103</c:v>
                </c:pt>
                <c:pt idx="116">
                  <c:v>59.642215838505066</c:v>
                </c:pt>
                <c:pt idx="117">
                  <c:v>59.441222894251112</c:v>
                </c:pt>
                <c:pt idx="118">
                  <c:v>59.195819515593755</c:v>
                </c:pt>
                <c:pt idx="119">
                  <c:v>58.906158254102053</c:v>
                </c:pt>
                <c:pt idx="120">
                  <c:v>58.572419173637371</c:v>
                </c:pt>
                <c:pt idx="121">
                  <c:v>58.19480973841911</c:v>
                </c:pt>
                <c:pt idx="122">
                  <c:v>57.77356468405749</c:v>
                </c:pt>
                <c:pt idx="123">
                  <c:v>57.308945871633512</c:v>
                </c:pt>
                <c:pt idx="124">
                  <c:v>56.801242124916655</c:v>
                </c:pt>
                <c:pt idx="125">
                  <c:v>56.250769050821617</c:v>
                </c:pt>
                <c:pt idx="126">
                  <c:v>55.657868843215709</c:v>
                </c:pt>
                <c:pt idx="127">
                  <c:v>55.022910070198847</c:v>
                </c:pt>
                <c:pt idx="128">
                  <c:v>54.346287444988349</c:v>
                </c:pt>
                <c:pt idx="129">
                  <c:v>53.628421580551006</c:v>
                </c:pt>
                <c:pt idx="130">
                  <c:v>52.869758728134926</c:v>
                </c:pt>
                <c:pt idx="131">
                  <c:v>52.070770499863713</c:v>
                </c:pt>
                <c:pt idx="132">
                  <c:v>51.231953575565385</c:v>
                </c:pt>
                <c:pt idx="133">
                  <c:v>50.353829394018334</c:v>
                </c:pt>
                <c:pt idx="134">
                  <c:v>49.436943828806236</c:v>
                </c:pt>
                <c:pt idx="135">
                  <c:v>48.481866848983351</c:v>
                </c:pt>
                <c:pt idx="136">
                  <c:v>47.489192164761299</c:v>
                </c:pt>
                <c:pt idx="137">
                  <c:v>46.45953685843741</c:v>
                </c:pt>
                <c:pt idx="138">
                  <c:v>45.39354100079418</c:v>
                </c:pt>
                <c:pt idx="139">
                  <c:v>44.29186725320821</c:v>
                </c:pt>
                <c:pt idx="140">
                  <c:v>43.155200455716098</c:v>
                </c:pt>
                <c:pt idx="141">
                  <c:v>41.984247201293201</c:v>
                </c:pt>
                <c:pt idx="142">
                  <c:v>40.779735396610057</c:v>
                </c:pt>
                <c:pt idx="143">
                  <c:v>39.542413809539362</c:v>
                </c:pt>
                <c:pt idx="144">
                  <c:v>38.27305160369496</c:v>
                </c:pt>
                <c:pt idx="145">
                  <c:v>36.97243786029204</c:v>
                </c:pt>
                <c:pt idx="146">
                  <c:v>35.641381087625909</c:v>
                </c:pt>
                <c:pt idx="147">
                  <c:v>34.280708718474088</c:v>
                </c:pt>
                <c:pt idx="148">
                  <c:v>32.891266595734379</c:v>
                </c:pt>
                <c:pt idx="149">
                  <c:v>31.473918446618441</c:v>
                </c:pt>
                <c:pt idx="150">
                  <c:v>30.029545345727961</c:v>
                </c:pt>
                <c:pt idx="151">
                  <c:v>28.559045167346859</c:v>
                </c:pt>
                <c:pt idx="152">
                  <c:v>27.063332027290457</c:v>
                </c:pt>
                <c:pt idx="153">
                  <c:v>25.54333571465812</c:v>
                </c:pt>
                <c:pt idx="154">
                  <c:v>24.00000111384292</c:v>
                </c:pt>
                <c:pt idx="155">
                  <c:v>22.434287617157558</c:v>
                </c:pt>
                <c:pt idx="156">
                  <c:v>20.847168528441451</c:v>
                </c:pt>
                <c:pt idx="157">
                  <c:v>19.239630458020226</c:v>
                </c:pt>
                <c:pt idx="158">
                  <c:v>17.612672709393095</c:v>
                </c:pt>
                <c:pt idx="159">
                  <c:v>15.967306658029923</c:v>
                </c:pt>
                <c:pt idx="160">
                  <c:v>14.304555122663807</c:v>
                </c:pt>
                <c:pt idx="161">
                  <c:v>12.625451729470267</c:v>
                </c:pt>
                <c:pt idx="162">
                  <c:v>10.931040269527855</c:v>
                </c:pt>
                <c:pt idx="163">
                  <c:v>9.2223740499601874</c:v>
                </c:pt>
                <c:pt idx="164">
                  <c:v>7.50051523916229</c:v>
                </c:pt>
                <c:pt idx="165">
                  <c:v>5.7665342065185783</c:v>
                </c:pt>
                <c:pt idx="166">
                  <c:v>4.0215088570226385</c:v>
                </c:pt>
                <c:pt idx="167">
                  <c:v>2.2665239612127621</c:v>
                </c:pt>
                <c:pt idx="168">
                  <c:v>0.50267048083958699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2.8515696384297637</c:v>
                </c:pt>
                <c:pt idx="177">
                  <c:v>1.9753111994832171</c:v>
                </c:pt>
                <c:pt idx="178">
                  <c:v>0.92563316887902047</c:v>
                </c:pt>
                <c:pt idx="179">
                  <c:v>-0.21601377837397351</c:v>
                </c:pt>
                <c:pt idx="180">
                  <c:v>-1.4157664759720063</c:v>
                </c:pt>
                <c:pt idx="181">
                  <c:v>-2.6556123420946562</c:v>
                </c:pt>
                <c:pt idx="182">
                  <c:v>-3.9245681685754725</c:v>
                </c:pt>
                <c:pt idx="183">
                  <c:v>-5.2153144569239593</c:v>
                </c:pt>
                <c:pt idx="184">
                  <c:v>-6.5226550874579061</c:v>
                </c:pt>
                <c:pt idx="185">
                  <c:v>-7.8427215966531474</c:v>
                </c:pt>
                <c:pt idx="186">
                  <c:v>-9.1725245020797033</c:v>
                </c:pt>
                <c:pt idx="187">
                  <c:v>-10.509682805443534</c:v>
                </c:pt>
                <c:pt idx="188">
                  <c:v>-11.852251962601201</c:v>
                </c:pt>
                <c:pt idx="189">
                  <c:v>-13.198609507350314</c:v>
                </c:pt>
                <c:pt idx="190">
                  <c:v>-14.547376030315508</c:v>
                </c:pt>
                <c:pt idx="191">
                  <c:v>-15.897358663204308</c:v>
                </c:pt>
                <c:pt idx="192">
                  <c:v>-17.247509325359044</c:v>
                </c:pt>
                <c:pt idx="193">
                  <c:v>-18.596892885306229</c:v>
                </c:pt>
                <c:pt idx="194">
                  <c:v>-19.944662101015112</c:v>
                </c:pt>
                <c:pt idx="195">
                  <c:v>-21.290037250525245</c:v>
                </c:pt>
                <c:pt idx="196">
                  <c:v>-22.632289027455251</c:v>
                </c:pt>
                <c:pt idx="197">
                  <c:v>-23.97072370792359</c:v>
                </c:pt>
                <c:pt idx="198">
                  <c:v>-25.30466988534544</c:v>
                </c:pt>
                <c:pt idx="199">
                  <c:v>-26.633466270137497</c:v>
                </c:pt>
                <c:pt idx="200">
                  <c:v>-27.956450194805811</c:v>
                </c:pt>
                <c:pt idx="201">
                  <c:v>-29.272946571435931</c:v>
                </c:pt>
                <c:pt idx="202">
                  <c:v>-30.582257131227855</c:v>
                </c:pt>
                <c:pt idx="203">
                  <c:v>-31.883649842884822</c:v>
                </c:pt>
                <c:pt idx="204">
                  <c:v>-33.176348463939625</c:v>
                </c:pt>
                <c:pt idx="205">
                  <c:v>-34.459522230103559</c:v>
                </c:pt>
                <c:pt idx="206">
                  <c:v>-35.732275734705851</c:v>
                </c:pt>
                <c:pt idx="207">
                  <c:v>-36.99363909448315</c:v>
                </c:pt>
                <c:pt idx="208">
                  <c:v>-38.242558539797471</c:v>
                </c:pt>
                <c:pt idx="209">
                  <c:v>-39.477887606536221</c:v>
                </c:pt>
                <c:pt idx="210">
                  <c:v>-40.698379142616446</c:v>
                </c:pt>
                <c:pt idx="211">
                  <c:v>-41.902678372794895</c:v>
                </c:pt>
                <c:pt idx="212">
                  <c:v>-43.089317289558807</c:v>
                </c:pt>
                <c:pt idx="213">
                  <c:v>-44.25671065311036</c:v>
                </c:pt>
                <c:pt idx="214">
                  <c:v>-45.403153887555582</c:v>
                </c:pt>
                <c:pt idx="215">
                  <c:v>-46.526823151096757</c:v>
                </c:pt>
                <c:pt idx="216">
                  <c:v>-47.625777833297384</c:v>
                </c:pt>
                <c:pt idx="217">
                  <c:v>-48.697965690882285</c:v>
                </c:pt>
                <c:pt idx="218">
                  <c:v>-49.741230774414589</c:v>
                </c:pt>
                <c:pt idx="219">
                  <c:v>-50.753324222038465</c:v>
                </c:pt>
                <c:pt idx="220">
                  <c:v>-51.731917905092047</c:v>
                </c:pt>
                <c:pt idx="221">
                  <c:v>-52.674620807053785</c:v>
                </c:pt>
                <c:pt idx="222">
                  <c:v>-53.578997906712083</c:v>
                </c:pt>
                <c:pt idx="223">
                  <c:v>-54.442591224662408</c:v>
                </c:pt>
                <c:pt idx="224">
                  <c:v>-55.262942586197084</c:v>
                </c:pt>
                <c:pt idx="225">
                  <c:v>-56.037617560739605</c:v>
                </c:pt>
                <c:pt idx="226">
                  <c:v>-56.764229965340405</c:v>
                </c:pt>
                <c:pt idx="227">
                  <c:v>-57.440466273599569</c:v>
                </c:pt>
                <c:pt idx="228">
                  <c:v>-58.064109256288212</c:v>
                </c:pt>
                <c:pt idx="229">
                  <c:v>-58.633060198267984</c:v>
                </c:pt>
                <c:pt idx="230">
                  <c:v>-59.145359087855262</c:v>
                </c:pt>
                <c:pt idx="231">
                  <c:v>-59.599202256688159</c:v>
                </c:pt>
                <c:pt idx="232">
                  <c:v>-59.992957055132891</c:v>
                </c:pt>
                <c:pt idx="233">
                  <c:v>-60.325173273076174</c:v>
                </c:pt>
                <c:pt idx="234">
                  <c:v>-60.594591150128096</c:v>
                </c:pt>
                <c:pt idx="235">
                  <c:v>-60.800145953957085</c:v>
                </c:pt>
                <c:pt idx="236">
                  <c:v>-60.940969232303956</c:v>
                </c:pt>
                <c:pt idx="237">
                  <c:v>-61.016386955989681</c:v>
                </c:pt>
                <c:pt idx="238">
                  <c:v>-61.025914861512376</c:v>
                </c:pt>
                <c:pt idx="239">
                  <c:v>-60.969251369261414</c:v>
                </c:pt>
              </c:numCache>
            </c:numRef>
          </c:xVal>
          <c:yVal>
            <c:numRef>
              <c:f>CALC60!$BQ$6:$BQ$581</c:f>
              <c:numCache>
                <c:formatCode>General</c:formatCode>
                <c:ptCount val="576"/>
                <c:pt idx="112">
                  <c:v>0</c:v>
                </c:pt>
                <c:pt idx="113">
                  <c:v>1.795009774528026</c:v>
                </c:pt>
                <c:pt idx="114">
                  <c:v>3.5889037064008509</c:v>
                </c:pt>
                <c:pt idx="115">
                  <c:v>5.3805666466112125</c:v>
                </c:pt>
                <c:pt idx="116">
                  <c:v>7.168884833016528</c:v>
                </c:pt>
                <c:pt idx="117">
                  <c:v>8.9527465826935213</c:v>
                </c:pt>
                <c:pt idx="118">
                  <c:v>10.731042983000313</c:v>
                </c:pt>
                <c:pt idx="119">
                  <c:v>12.50266858091641</c:v>
                </c:pt>
                <c:pt idx="120">
                  <c:v>14.266522070232096</c:v>
                </c:pt>
                <c:pt idx="121">
                  <c:v>16.021506976159969</c:v>
                </c:pt>
                <c:pt idx="122">
                  <c:v>17.766532336943133</c:v>
                </c:pt>
                <c:pt idx="123">
                  <c:v>19.500513382036267</c:v>
                </c:pt>
                <c:pt idx="124">
                  <c:v>21.222372206438028</c:v>
                </c:pt>
                <c:pt idx="125">
                  <c:v>22.931038440755568</c:v>
                </c:pt>
                <c:pt idx="126">
                  <c:v>24.625449916584682</c:v>
                </c:pt>
                <c:pt idx="127">
                  <c:v>26.304553326791883</c:v>
                </c:pt>
                <c:pt idx="128">
                  <c:v>27.967304880288008</c:v>
                </c:pt>
                <c:pt idx="129">
                  <c:v>29.612670950886333</c:v>
                </c:pt>
                <c:pt idx="130">
                  <c:v>31.239628719841761</c:v>
                </c:pt>
                <c:pt idx="131">
                  <c:v>32.847166811671805</c:v>
                </c:pt>
                <c:pt idx="132">
                  <c:v>34.434285922863907</c:v>
                </c:pt>
                <c:pt idx="133">
                  <c:v>35.999999443078536</c:v>
                </c:pt>
                <c:pt idx="134">
                  <c:v>37.543334068461576</c:v>
                </c:pt>
                <c:pt idx="135">
                  <c:v>39.063330406685104</c:v>
                </c:pt>
                <c:pt idx="136">
                  <c:v>40.559043573340134</c:v>
                </c:pt>
                <c:pt idx="137">
                  <c:v>42.029543779310735</c:v>
                </c:pt>
                <c:pt idx="138">
                  <c:v>43.473916908764473</c:v>
                </c:pt>
                <c:pt idx="139">
                  <c:v>44.891265087399631</c:v>
                </c:pt>
                <c:pt idx="140">
                  <c:v>46.280707240596215</c:v>
                </c:pt>
                <c:pt idx="141">
                  <c:v>47.641379641123606</c:v>
                </c:pt>
                <c:pt idx="142">
                  <c:v>48.972436446064506</c:v>
                </c:pt>
                <c:pt idx="143">
                  <c:v>50.273050222621329</c:v>
                </c:pt>
                <c:pt idx="144">
                  <c:v>51.542412462478161</c:v>
                </c:pt>
                <c:pt idx="145">
                  <c:v>52.779734084398669</c:v>
                </c:pt>
                <c:pt idx="146">
                  <c:v>53.984245924747341</c:v>
                </c:pt>
                <c:pt idx="147">
                  <c:v>55.15519921562931</c:v>
                </c:pt>
                <c:pt idx="148">
                  <c:v>56.291866050351381</c:v>
                </c:pt>
                <c:pt idx="149">
                  <c:v>57.393539835915057</c:v>
                </c:pt>
                <c:pt idx="150">
                  <c:v>58.459535732260115</c:v>
                </c:pt>
                <c:pt idx="151">
                  <c:v>59.4891910779859</c:v>
                </c:pt>
                <c:pt idx="152">
                  <c:v>60.481865802285427</c:v>
                </c:pt>
                <c:pt idx="153">
                  <c:v>61.436942822836457</c:v>
                </c:pt>
                <c:pt idx="154">
                  <c:v>62.353828429402057</c:v>
                </c:pt>
                <c:pt idx="155">
                  <c:v>63.23195265290223</c:v>
                </c:pt>
                <c:pt idx="156">
                  <c:v>64.070769619727258</c:v>
                </c:pt>
                <c:pt idx="157">
                  <c:v>64.869757891072283</c:v>
                </c:pt>
                <c:pt idx="158">
                  <c:v>65.628420787082518</c:v>
                </c:pt>
                <c:pt idx="159">
                  <c:v>66.346286695607276</c:v>
                </c:pt>
                <c:pt idx="160">
                  <c:v>67.022909365371049</c:v>
                </c:pt>
                <c:pt idx="161">
                  <c:v>67.657868183379307</c:v>
                </c:pt>
                <c:pt idx="162">
                  <c:v>68.250768436386792</c:v>
                </c:pt>
                <c:pt idx="163">
                  <c:v>68.801241556265367</c:v>
                </c:pt>
                <c:pt idx="164">
                  <c:v>69.308945349119256</c:v>
                </c:pt>
                <c:pt idx="165">
                  <c:v>69.77356420800507</c:v>
                </c:pt>
                <c:pt idx="166">
                  <c:v>70.194809309124452</c:v>
                </c:pt>
                <c:pt idx="167">
                  <c:v>70.572418791367369</c:v>
                </c:pt>
                <c:pt idx="168">
                  <c:v>70.906157919094326</c:v>
                </c:pt>
                <c:pt idx="169">
                  <c:v>70.992957397195397</c:v>
                </c:pt>
                <c:pt idx="170">
                  <c:v>70.992957397195397</c:v>
                </c:pt>
                <c:pt idx="171">
                  <c:v>70.992957397195397</c:v>
                </c:pt>
                <c:pt idx="172">
                  <c:v>70.992957397195397</c:v>
                </c:pt>
                <c:pt idx="173">
                  <c:v>70.992957397195397</c:v>
                </c:pt>
                <c:pt idx="174">
                  <c:v>70.992957397195397</c:v>
                </c:pt>
                <c:pt idx="175">
                  <c:v>70.992957397195397</c:v>
                </c:pt>
              </c:numCache>
            </c:numRef>
          </c:yVal>
          <c:smooth val="0"/>
        </c:ser>
        <c:ser>
          <c:idx val="18"/>
          <c:order val="18"/>
          <c:tx>
            <c:strRef>
              <c:f>CALC60!$BR$5</c:f>
              <c:strCache>
                <c:ptCount val="1"/>
                <c:pt idx="0">
                  <c:v>R17</c:v>
                </c:pt>
              </c:strCache>
            </c:strRef>
          </c:tx>
          <c:marker>
            <c:symbol val="none"/>
          </c:marker>
          <c:xVal>
            <c:numRef>
              <c:f>CALC60!$AY$6:$AY$581</c:f>
              <c:numCache>
                <c:formatCode>General</c:formatCode>
                <c:ptCount val="576"/>
                <c:pt idx="0">
                  <c:v>-19.833506546880365</c:v>
                </c:pt>
                <c:pt idx="1">
                  <c:v>-18.245852614565919</c:v>
                </c:pt>
                <c:pt idx="2">
                  <c:v>-16.629666681765414</c:v>
                </c:pt>
                <c:pt idx="3">
                  <c:v>-14.98231154257417</c:v>
                </c:pt>
                <c:pt idx="4">
                  <c:v>-13.301143585556035</c:v>
                </c:pt>
                <c:pt idx="5">
                  <c:v>-11.583569246398675</c:v>
                </c:pt>
                <c:pt idx="6">
                  <c:v>-9.8270793278644781</c:v>
                </c:pt>
                <c:pt idx="7">
                  <c:v>-8.029252658232803</c:v>
                </c:pt>
                <c:pt idx="8">
                  <c:v>-6.1877185053343773</c:v>
                </c:pt>
                <c:pt idx="9">
                  <c:v>-4.3000630515963358</c:v>
                </c:pt>
                <c:pt idx="10">
                  <c:v>-2.3636564525099644</c:v>
                </c:pt>
                <c:pt idx="11">
                  <c:v>-0.37535794962416702</c:v>
                </c:pt>
                <c:pt idx="12">
                  <c:v>-3.0678010204149508</c:v>
                </c:pt>
                <c:pt idx="13">
                  <c:v>5.8156608222448263</c:v>
                </c:pt>
                <c:pt idx="14">
                  <c:v>-8.9906603193697858</c:v>
                </c:pt>
                <c:pt idx="15">
                  <c:v>-19.434156555154736</c:v>
                </c:pt>
                <c:pt idx="16">
                  <c:v>-12</c:v>
                </c:pt>
                <c:pt idx="17">
                  <c:v>-29.167117021908272</c:v>
                </c:pt>
                <c:pt idx="18">
                  <c:v>-14</c:v>
                </c:pt>
                <c:pt idx="19">
                  <c:v>-19.833506546880365</c:v>
                </c:pt>
                <c:pt idx="20">
                  <c:v>1.5130248501190131</c:v>
                </c:pt>
                <c:pt idx="21">
                  <c:v>12</c:v>
                </c:pt>
                <c:pt idx="22">
                  <c:v>-12</c:v>
                </c:pt>
                <c:pt idx="23">
                  <c:v>-28.772550131225248</c:v>
                </c:pt>
                <c:pt idx="24">
                  <c:v>-11.666666666666666</c:v>
                </c:pt>
                <c:pt idx="25">
                  <c:v>-18.245852614565919</c:v>
                </c:pt>
                <c:pt idx="26">
                  <c:v>4.3925078710812571</c:v>
                </c:pt>
                <c:pt idx="27">
                  <c:v>12</c:v>
                </c:pt>
                <c:pt idx="28">
                  <c:v>-12</c:v>
                </c:pt>
                <c:pt idx="29">
                  <c:v>-28.303800039278563</c:v>
                </c:pt>
                <c:pt idx="30">
                  <c:v>-9.3333333333333321</c:v>
                </c:pt>
                <c:pt idx="31">
                  <c:v>-16.629666681765414</c:v>
                </c:pt>
                <c:pt idx="32">
                  <c:v>6.4527131206909987</c:v>
                </c:pt>
                <c:pt idx="33">
                  <c:v>12</c:v>
                </c:pt>
                <c:pt idx="34">
                  <c:v>-12</c:v>
                </c:pt>
                <c:pt idx="35">
                  <c:v>-27.754010010716058</c:v>
                </c:pt>
                <c:pt idx="36">
                  <c:v>-6.9999999999999982</c:v>
                </c:pt>
                <c:pt idx="37">
                  <c:v>-14.98231154257417</c:v>
                </c:pt>
                <c:pt idx="38">
                  <c:v>8.2375052570320868</c:v>
                </c:pt>
                <c:pt idx="39">
                  <c:v>12</c:v>
                </c:pt>
                <c:pt idx="40">
                  <c:v>-12</c:v>
                </c:pt>
                <c:pt idx="41">
                  <c:v>-27.116306655803694</c:v>
                </c:pt>
                <c:pt idx="42">
                  <c:v>-4.6666666666666643</c:v>
                </c:pt>
                <c:pt idx="43">
                  <c:v>-13.301143585556035</c:v>
                </c:pt>
                <c:pt idx="44">
                  <c:v>9.8664661885771885</c:v>
                </c:pt>
                <c:pt idx="45">
                  <c:v>12</c:v>
                </c:pt>
                <c:pt idx="46">
                  <c:v>-12</c:v>
                </c:pt>
                <c:pt idx="47">
                  <c:v>-26.383946707329393</c:v>
                </c:pt>
                <c:pt idx="48">
                  <c:v>-2.3333333333333308</c:v>
                </c:pt>
                <c:pt idx="49">
                  <c:v>-11.583569246398675</c:v>
                </c:pt>
                <c:pt idx="50">
                  <c:v>11.388844623449907</c:v>
                </c:pt>
                <c:pt idx="51">
                  <c:v>12</c:v>
                </c:pt>
                <c:pt idx="52">
                  <c:v>-12</c:v>
                </c:pt>
                <c:pt idx="53">
                  <c:v>-25.550406252475348</c:v>
                </c:pt>
                <c:pt idx="54">
                  <c:v>0</c:v>
                </c:pt>
                <c:pt idx="55">
                  <c:v>-9.8270793278644781</c:v>
                </c:pt>
                <c:pt idx="56">
                  <c:v>12.829698097369761</c:v>
                </c:pt>
                <c:pt idx="57">
                  <c:v>12</c:v>
                </c:pt>
                <c:pt idx="58">
                  <c:v>-12</c:v>
                </c:pt>
                <c:pt idx="59">
                  <c:v>-24.609390244767855</c:v>
                </c:pt>
                <c:pt idx="60">
                  <c:v>2.3333333333333335</c:v>
                </c:pt>
                <c:pt idx="61">
                  <c:v>-8.029252658232803</c:v>
                </c:pt>
                <c:pt idx="62">
                  <c:v>14.203132463376605</c:v>
                </c:pt>
                <c:pt idx="63">
                  <c:v>12</c:v>
                </c:pt>
                <c:pt idx="64">
                  <c:v>-12</c:v>
                </c:pt>
                <c:pt idx="65">
                  <c:v>-23.554734780566797</c:v>
                </c:pt>
                <c:pt idx="66">
                  <c:v>4.666666666666667</c:v>
                </c:pt>
                <c:pt idx="67">
                  <c:v>-6.1877185053343773</c:v>
                </c:pt>
                <c:pt idx="68">
                  <c:v>15.517506829265256</c:v>
                </c:pt>
                <c:pt idx="69">
                  <c:v>12</c:v>
                </c:pt>
                <c:pt idx="70">
                  <c:v>-12</c:v>
                </c:pt>
                <c:pt idx="71">
                  <c:v>-22.380163934182676</c:v>
                </c:pt>
                <c:pt idx="72">
                  <c:v>7</c:v>
                </c:pt>
                <c:pt idx="73">
                  <c:v>-4.3000630515963358</c:v>
                </c:pt>
                <c:pt idx="74">
                  <c:v>16.777941702150098</c:v>
                </c:pt>
                <c:pt idx="75">
                  <c:v>12</c:v>
                </c:pt>
                <c:pt idx="76">
                  <c:v>-12</c:v>
                </c:pt>
                <c:pt idx="77">
                  <c:v>-21.078840109892809</c:v>
                </c:pt>
                <c:pt idx="78">
                  <c:v>9.3333333333333339</c:v>
                </c:pt>
                <c:pt idx="79">
                  <c:v>-2.3636564525099644</c:v>
                </c:pt>
                <c:pt idx="80">
                  <c:v>17.987756355580007</c:v>
                </c:pt>
                <c:pt idx="81">
                  <c:v>12</c:v>
                </c:pt>
                <c:pt idx="82">
                  <c:v>-12</c:v>
                </c:pt>
                <c:pt idx="83">
                  <c:v>-19.642597335724307</c:v>
                </c:pt>
                <c:pt idx="84">
                  <c:v>11.666666666666668</c:v>
                </c:pt>
                <c:pt idx="85">
                  <c:v>-0.37535794962416702</c:v>
                </c:pt>
                <c:pt idx="86">
                  <c:v>19.149459663035739</c:v>
                </c:pt>
                <c:pt idx="87">
                  <c:v>12</c:v>
                </c:pt>
                <c:pt idx="88">
                  <c:v>-12</c:v>
                </c:pt>
                <c:pt idx="89">
                  <c:v>-30.376282653093735</c:v>
                </c:pt>
                <c:pt idx="90">
                  <c:v>14.000000000000002</c:v>
                </c:pt>
                <c:pt idx="91">
                  <c:v>-3.0678010204149508</c:v>
                </c:pt>
                <c:pt idx="92">
                  <c:v>26.896999319700733</c:v>
                </c:pt>
                <c:pt idx="93">
                  <c:v>12</c:v>
                </c:pt>
                <c:pt idx="94">
                  <c:v>-12</c:v>
                </c:pt>
                <c:pt idx="95">
                  <c:v>-24.879281862192261</c:v>
                </c:pt>
                <c:pt idx="96">
                  <c:v>25</c:v>
                </c:pt>
                <c:pt idx="97">
                  <c:v>5.8156608222448263</c:v>
                </c:pt>
                <c:pt idx="98">
                  <c:v>31.34962606454722</c:v>
                </c:pt>
                <c:pt idx="99">
                  <c:v>12</c:v>
                </c:pt>
                <c:pt idx="100">
                  <c:v>-12</c:v>
                </c:pt>
                <c:pt idx="101">
                  <c:v>-23.375716830330454</c:v>
                </c:pt>
                <c:pt idx="102">
                  <c:v>0</c:v>
                </c:pt>
                <c:pt idx="103">
                  <c:v>-8.9906603193697858</c:v>
                </c:pt>
                <c:pt idx="104">
                  <c:v>22.648032351271631</c:v>
                </c:pt>
                <c:pt idx="105">
                  <c:v>12</c:v>
                </c:pt>
                <c:pt idx="106">
                  <c:v>-12</c:v>
                </c:pt>
                <c:pt idx="107">
                  <c:v>-10.52880704336475</c:v>
                </c:pt>
                <c:pt idx="108">
                  <c:v>-25</c:v>
                </c:pt>
                <c:pt idx="109">
                  <c:v>-19.434156555154736</c:v>
                </c:pt>
                <c:pt idx="110">
                  <c:v>20.32293673094285</c:v>
                </c:pt>
                <c:pt idx="111">
                  <c:v>12</c:v>
                </c:pt>
                <c:pt idx="112">
                  <c:v>60</c:v>
                </c:pt>
                <c:pt idx="113">
                  <c:v>59.977621104822219</c:v>
                </c:pt>
                <c:pt idx="114">
                  <c:v>59.910498330815244</c:v>
                </c:pt>
                <c:pt idx="115">
                  <c:v>59.7986734039103</c:v>
                </c:pt>
                <c:pt idx="116">
                  <c:v>59.642215838505066</c:v>
                </c:pt>
                <c:pt idx="117">
                  <c:v>59.441222894251112</c:v>
                </c:pt>
                <c:pt idx="118">
                  <c:v>59.195819515593755</c:v>
                </c:pt>
                <c:pt idx="119">
                  <c:v>58.906158254102053</c:v>
                </c:pt>
                <c:pt idx="120">
                  <c:v>58.572419173637371</c:v>
                </c:pt>
                <c:pt idx="121">
                  <c:v>58.19480973841911</c:v>
                </c:pt>
                <c:pt idx="122">
                  <c:v>57.77356468405749</c:v>
                </c:pt>
                <c:pt idx="123">
                  <c:v>57.308945871633512</c:v>
                </c:pt>
                <c:pt idx="124">
                  <c:v>56.801242124916655</c:v>
                </c:pt>
                <c:pt idx="125">
                  <c:v>56.250769050821617</c:v>
                </c:pt>
                <c:pt idx="126">
                  <c:v>55.657868843215709</c:v>
                </c:pt>
                <c:pt idx="127">
                  <c:v>55.022910070198847</c:v>
                </c:pt>
                <c:pt idx="128">
                  <c:v>54.346287444988349</c:v>
                </c:pt>
                <c:pt idx="129">
                  <c:v>53.628421580551006</c:v>
                </c:pt>
                <c:pt idx="130">
                  <c:v>52.869758728134926</c:v>
                </c:pt>
                <c:pt idx="131">
                  <c:v>52.070770499863713</c:v>
                </c:pt>
                <c:pt idx="132">
                  <c:v>51.231953575565385</c:v>
                </c:pt>
                <c:pt idx="133">
                  <c:v>50.353829394018334</c:v>
                </c:pt>
                <c:pt idx="134">
                  <c:v>49.436943828806236</c:v>
                </c:pt>
                <c:pt idx="135">
                  <c:v>48.481866848983351</c:v>
                </c:pt>
                <c:pt idx="136">
                  <c:v>47.489192164761299</c:v>
                </c:pt>
                <c:pt idx="137">
                  <c:v>46.45953685843741</c:v>
                </c:pt>
                <c:pt idx="138">
                  <c:v>45.39354100079418</c:v>
                </c:pt>
                <c:pt idx="139">
                  <c:v>44.29186725320821</c:v>
                </c:pt>
                <c:pt idx="140">
                  <c:v>43.155200455716098</c:v>
                </c:pt>
                <c:pt idx="141">
                  <c:v>41.984247201293201</c:v>
                </c:pt>
                <c:pt idx="142">
                  <c:v>40.779735396610057</c:v>
                </c:pt>
                <c:pt idx="143">
                  <c:v>39.542413809539362</c:v>
                </c:pt>
                <c:pt idx="144">
                  <c:v>38.27305160369496</c:v>
                </c:pt>
                <c:pt idx="145">
                  <c:v>36.97243786029204</c:v>
                </c:pt>
                <c:pt idx="146">
                  <c:v>35.641381087625909</c:v>
                </c:pt>
                <c:pt idx="147">
                  <c:v>34.280708718474088</c:v>
                </c:pt>
                <c:pt idx="148">
                  <c:v>32.891266595734379</c:v>
                </c:pt>
                <c:pt idx="149">
                  <c:v>31.473918446618441</c:v>
                </c:pt>
                <c:pt idx="150">
                  <c:v>30.029545345727961</c:v>
                </c:pt>
                <c:pt idx="151">
                  <c:v>28.559045167346859</c:v>
                </c:pt>
                <c:pt idx="152">
                  <c:v>27.063332027290457</c:v>
                </c:pt>
                <c:pt idx="153">
                  <c:v>25.54333571465812</c:v>
                </c:pt>
                <c:pt idx="154">
                  <c:v>24.00000111384292</c:v>
                </c:pt>
                <c:pt idx="155">
                  <c:v>22.434287617157558</c:v>
                </c:pt>
                <c:pt idx="156">
                  <c:v>20.847168528441451</c:v>
                </c:pt>
                <c:pt idx="157">
                  <c:v>19.239630458020226</c:v>
                </c:pt>
                <c:pt idx="158">
                  <c:v>17.612672709393095</c:v>
                </c:pt>
                <c:pt idx="159">
                  <c:v>15.967306658029923</c:v>
                </c:pt>
                <c:pt idx="160">
                  <c:v>14.304555122663807</c:v>
                </c:pt>
                <c:pt idx="161">
                  <c:v>12.625451729470267</c:v>
                </c:pt>
                <c:pt idx="162">
                  <c:v>10.931040269527855</c:v>
                </c:pt>
                <c:pt idx="163">
                  <c:v>9.2223740499601874</c:v>
                </c:pt>
                <c:pt idx="164">
                  <c:v>7.50051523916229</c:v>
                </c:pt>
                <c:pt idx="165">
                  <c:v>5.7665342065185783</c:v>
                </c:pt>
                <c:pt idx="166">
                  <c:v>4.0215088570226385</c:v>
                </c:pt>
                <c:pt idx="167">
                  <c:v>2.2665239612127621</c:v>
                </c:pt>
                <c:pt idx="168">
                  <c:v>0.50267048083958699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2.8515696384297637</c:v>
                </c:pt>
                <c:pt idx="177">
                  <c:v>1.9753111994832171</c:v>
                </c:pt>
                <c:pt idx="178">
                  <c:v>0.92563316887902047</c:v>
                </c:pt>
                <c:pt idx="179">
                  <c:v>-0.21601377837397351</c:v>
                </c:pt>
                <c:pt idx="180">
                  <c:v>-1.4157664759720063</c:v>
                </c:pt>
                <c:pt idx="181">
                  <c:v>-2.6556123420946562</c:v>
                </c:pt>
                <c:pt idx="182">
                  <c:v>-3.9245681685754725</c:v>
                </c:pt>
                <c:pt idx="183">
                  <c:v>-5.2153144569239593</c:v>
                </c:pt>
                <c:pt idx="184">
                  <c:v>-6.5226550874579061</c:v>
                </c:pt>
                <c:pt idx="185">
                  <c:v>-7.8427215966531474</c:v>
                </c:pt>
                <c:pt idx="186">
                  <c:v>-9.1725245020797033</c:v>
                </c:pt>
                <c:pt idx="187">
                  <c:v>-10.509682805443534</c:v>
                </c:pt>
                <c:pt idx="188">
                  <c:v>-11.852251962601201</c:v>
                </c:pt>
                <c:pt idx="189">
                  <c:v>-13.198609507350314</c:v>
                </c:pt>
                <c:pt idx="190">
                  <c:v>-14.547376030315508</c:v>
                </c:pt>
                <c:pt idx="191">
                  <c:v>-15.897358663204308</c:v>
                </c:pt>
                <c:pt idx="192">
                  <c:v>-17.247509325359044</c:v>
                </c:pt>
                <c:pt idx="193">
                  <c:v>-18.596892885306229</c:v>
                </c:pt>
                <c:pt idx="194">
                  <c:v>-19.944662101015112</c:v>
                </c:pt>
                <c:pt idx="195">
                  <c:v>-21.290037250525245</c:v>
                </c:pt>
                <c:pt idx="196">
                  <c:v>-22.632289027455251</c:v>
                </c:pt>
                <c:pt idx="197">
                  <c:v>-23.97072370792359</c:v>
                </c:pt>
                <c:pt idx="198">
                  <c:v>-25.30466988534544</c:v>
                </c:pt>
                <c:pt idx="199">
                  <c:v>-26.633466270137497</c:v>
                </c:pt>
                <c:pt idx="200">
                  <c:v>-27.956450194805811</c:v>
                </c:pt>
                <c:pt idx="201">
                  <c:v>-29.272946571435931</c:v>
                </c:pt>
                <c:pt idx="202">
                  <c:v>-30.582257131227855</c:v>
                </c:pt>
                <c:pt idx="203">
                  <c:v>-31.883649842884822</c:v>
                </c:pt>
                <c:pt idx="204">
                  <c:v>-33.176348463939625</c:v>
                </c:pt>
                <c:pt idx="205">
                  <c:v>-34.459522230103559</c:v>
                </c:pt>
                <c:pt idx="206">
                  <c:v>-35.732275734705851</c:v>
                </c:pt>
                <c:pt idx="207">
                  <c:v>-36.99363909448315</c:v>
                </c:pt>
                <c:pt idx="208">
                  <c:v>-38.242558539797471</c:v>
                </c:pt>
                <c:pt idx="209">
                  <c:v>-39.477887606536221</c:v>
                </c:pt>
                <c:pt idx="210">
                  <c:v>-40.698379142616446</c:v>
                </c:pt>
                <c:pt idx="211">
                  <c:v>-41.902678372794895</c:v>
                </c:pt>
                <c:pt idx="212">
                  <c:v>-43.089317289558807</c:v>
                </c:pt>
                <c:pt idx="213">
                  <c:v>-44.25671065311036</c:v>
                </c:pt>
                <c:pt idx="214">
                  <c:v>-45.403153887555582</c:v>
                </c:pt>
                <c:pt idx="215">
                  <c:v>-46.526823151096757</c:v>
                </c:pt>
                <c:pt idx="216">
                  <c:v>-47.625777833297384</c:v>
                </c:pt>
                <c:pt idx="217">
                  <c:v>-48.697965690882285</c:v>
                </c:pt>
                <c:pt idx="218">
                  <c:v>-49.741230774414589</c:v>
                </c:pt>
                <c:pt idx="219">
                  <c:v>-50.753324222038465</c:v>
                </c:pt>
                <c:pt idx="220">
                  <c:v>-51.731917905092047</c:v>
                </c:pt>
                <c:pt idx="221">
                  <c:v>-52.674620807053785</c:v>
                </c:pt>
                <c:pt idx="222">
                  <c:v>-53.578997906712083</c:v>
                </c:pt>
                <c:pt idx="223">
                  <c:v>-54.442591224662408</c:v>
                </c:pt>
                <c:pt idx="224">
                  <c:v>-55.262942586197084</c:v>
                </c:pt>
                <c:pt idx="225">
                  <c:v>-56.037617560739605</c:v>
                </c:pt>
                <c:pt idx="226">
                  <c:v>-56.764229965340405</c:v>
                </c:pt>
                <c:pt idx="227">
                  <c:v>-57.440466273599569</c:v>
                </c:pt>
                <c:pt idx="228">
                  <c:v>-58.064109256288212</c:v>
                </c:pt>
                <c:pt idx="229">
                  <c:v>-58.633060198267984</c:v>
                </c:pt>
                <c:pt idx="230">
                  <c:v>-59.145359087855262</c:v>
                </c:pt>
                <c:pt idx="231">
                  <c:v>-59.599202256688159</c:v>
                </c:pt>
                <c:pt idx="232">
                  <c:v>-59.992957055132891</c:v>
                </c:pt>
                <c:pt idx="233">
                  <c:v>-60.325173273076174</c:v>
                </c:pt>
                <c:pt idx="234">
                  <c:v>-60.594591150128096</c:v>
                </c:pt>
                <c:pt idx="235">
                  <c:v>-60.800145953957085</c:v>
                </c:pt>
                <c:pt idx="236">
                  <c:v>-60.940969232303956</c:v>
                </c:pt>
                <c:pt idx="237">
                  <c:v>-61.016386955989681</c:v>
                </c:pt>
                <c:pt idx="238">
                  <c:v>-61.025914861512376</c:v>
                </c:pt>
                <c:pt idx="239">
                  <c:v>-60.969251369261414</c:v>
                </c:pt>
              </c:numCache>
            </c:numRef>
          </c:xVal>
          <c:yVal>
            <c:numRef>
              <c:f>CALC60!$BR$6:$BR$581</c:f>
              <c:numCache>
                <c:formatCode>General</c:formatCode>
                <c:ptCount val="576"/>
                <c:pt idx="176">
                  <c:v>69.721272202535971</c:v>
                </c:pt>
                <c:pt idx="177">
                  <c:v>69.285491385081457</c:v>
                </c:pt>
                <c:pt idx="178">
                  <c:v>68.87265673728605</c:v>
                </c:pt>
                <c:pt idx="179">
                  <c:v>68.461625707172175</c:v>
                </c:pt>
                <c:pt idx="180">
                  <c:v>68.042930034924922</c:v>
                </c:pt>
                <c:pt idx="181">
                  <c:v>67.611233337744039</c:v>
                </c:pt>
                <c:pt idx="182">
                  <c:v>67.163130298176839</c:v>
                </c:pt>
                <c:pt idx="183">
                  <c:v>66.696269029256513</c:v>
                </c:pt>
                <c:pt idx="184">
                  <c:v>66.208932082628195</c:v>
                </c:pt>
                <c:pt idx="185">
                  <c:v>65.699810797122581</c:v>
                </c:pt>
                <c:pt idx="186">
                  <c:v>65.167872601894018</c:v>
                </c:pt>
                <c:pt idx="187">
                  <c:v>64.61227748396837</c:v>
                </c:pt>
                <c:pt idx="188">
                  <c:v>64.032322422813053</c:v>
                </c:pt>
                <c:pt idx="189">
                  <c:v>63.427402678935444</c:v>
                </c:pt>
                <c:pt idx="190">
                  <c:v>62.796983731830124</c:v>
                </c:pt>
                <c:pt idx="191">
                  <c:v>62.140580223769234</c:v>
                </c:pt>
                <c:pt idx="192">
                  <c:v>61.457739681637662</c:v>
                </c:pt>
                <c:pt idx="193">
                  <c:v>60.748029610913136</c:v>
                </c:pt>
                <c:pt idx="194">
                  <c:v>60.011027054008451</c:v>
                </c:pt>
                <c:pt idx="195">
                  <c:v>59.246310019026055</c:v>
                </c:pt>
                <c:pt idx="196">
                  <c:v>58.453450389971678</c:v>
                </c:pt>
                <c:pt idx="197">
                  <c:v>57.632008068055285</c:v>
                </c:pt>
                <c:pt idx="198">
                  <c:v>56.781526190524239</c:v>
                </c:pt>
                <c:pt idx="199">
                  <c:v>55.901527343221815</c:v>
                </c:pt>
                <c:pt idx="200">
                  <c:v>54.991510734660217</c:v>
                </c:pt>
                <c:pt idx="201">
                  <c:v>54.050950338287912</c:v>
                </c:pt>
                <c:pt idx="202">
                  <c:v>53.079294039092218</c:v>
                </c:pt>
                <c:pt idx="203">
                  <c:v>52.075963842596536</c:v>
                </c:pt>
                <c:pt idx="204">
                  <c:v>51.040357219639588</c:v>
                </c:pt>
                <c:pt idx="205">
                  <c:v>49.971849669381655</c:v>
                </c:pt>
                <c:pt idx="206">
                  <c:v>48.869798585657506</c:v>
                </c:pt>
                <c:pt idx="207">
                  <c:v>47.73354850769006</c:v>
                </c:pt>
                <c:pt idx="208">
                  <c:v>46.562437824745132</c:v>
                </c:pt>
                <c:pt idx="209">
                  <c:v>45.355806984963216</c:v>
                </c:pt>
                <c:pt idx="210">
                  <c:v>44.113008230866818</c:v>
                </c:pt>
                <c:pt idx="211">
                  <c:v>42.833416847652401</c:v>
                </c:pt>
                <c:pt idx="212">
                  <c:v>41.516443865451222</c:v>
                </c:pt>
                <c:pt idx="213">
                  <c:v>40.16155010390316</c:v>
                </c:pt>
                <c:pt idx="214">
                  <c:v>38.76826138789135</c:v>
                </c:pt>
                <c:pt idx="215">
                  <c:v>37.336184699123891</c:v>
                </c:pt>
                <c:pt idx="216">
                  <c:v>35.865024962201062</c:v>
                </c:pt>
                <c:pt idx="217">
                  <c:v>34.354602099412716</c:v>
                </c:pt>
                <c:pt idx="218">
                  <c:v>32.804867929973547</c:v>
                </c:pt>
                <c:pt idx="219">
                  <c:v>31.215922441372051</c:v>
                </c:pt>
                <c:pt idx="220">
                  <c:v>29.588028927763759</c:v>
                </c:pt>
                <c:pt idx="221">
                  <c:v>27.921627477388064</c:v>
                </c:pt>
                <c:pt idx="222">
                  <c:v>26.217346301584236</c:v>
                </c:pt>
                <c:pt idx="223">
                  <c:v>24.476010434643886</c:v>
                </c:pt>
                <c:pt idx="224">
                  <c:v>22.698647397285249</c:v>
                </c:pt>
                <c:pt idx="225">
                  <c:v>20.886489505773692</c:v>
                </c:pt>
                <c:pt idx="226">
                  <c:v>19.040972620259179</c:v>
                </c:pt>
                <c:pt idx="227">
                  <c:v>17.163731254273831</c:v>
                </c:pt>
                <c:pt idx="228">
                  <c:v>15.256590105260138</c:v>
                </c:pt>
                <c:pt idx="229">
                  <c:v>13.321552205007379</c:v>
                </c:pt>
                <c:pt idx="230">
                  <c:v>11.360784020012744</c:v>
                </c:pt>
                <c:pt idx="231">
                  <c:v>9.3765979464975686</c:v>
                </c:pt>
                <c:pt idx="232">
                  <c:v>7.3714327357564429</c:v>
                </c:pt>
                <c:pt idx="233">
                  <c:v>5.3478324472944117</c:v>
                </c:pt>
                <c:pt idx="234">
                  <c:v>3.3084245568320085</c:v>
                </c:pt>
                <c:pt idx="235">
                  <c:v>1.2558978433738979</c:v>
                </c:pt>
                <c:pt idx="236">
                  <c:v>-0.80701935367342514</c:v>
                </c:pt>
                <c:pt idx="237">
                  <c:v>-2.8775799755492173</c:v>
                </c:pt>
                <c:pt idx="238">
                  <c:v>-4.9530377308288074</c:v>
                </c:pt>
                <c:pt idx="239">
                  <c:v>-7.0306648677478965</c:v>
                </c:pt>
              </c:numCache>
            </c:numRef>
          </c:yVal>
          <c:smooth val="0"/>
        </c:ser>
        <c:ser>
          <c:idx val="19"/>
          <c:order val="19"/>
          <c:tx>
            <c:strRef>
              <c:f>CALC60!$BS$5</c:f>
              <c:strCache>
                <c:ptCount val="1"/>
                <c:pt idx="0">
                  <c:v>R18</c:v>
                </c:pt>
              </c:strCache>
            </c:strRef>
          </c:tx>
          <c:xVal>
            <c:numRef>
              <c:f>CALC60!$AY$6:$AY$581</c:f>
              <c:numCache>
                <c:formatCode>General</c:formatCode>
                <c:ptCount val="576"/>
                <c:pt idx="0">
                  <c:v>-19.833506546880365</c:v>
                </c:pt>
                <c:pt idx="1">
                  <c:v>-18.245852614565919</c:v>
                </c:pt>
                <c:pt idx="2">
                  <c:v>-16.629666681765414</c:v>
                </c:pt>
                <c:pt idx="3">
                  <c:v>-14.98231154257417</c:v>
                </c:pt>
                <c:pt idx="4">
                  <c:v>-13.301143585556035</c:v>
                </c:pt>
                <c:pt idx="5">
                  <c:v>-11.583569246398675</c:v>
                </c:pt>
                <c:pt idx="6">
                  <c:v>-9.8270793278644781</c:v>
                </c:pt>
                <c:pt idx="7">
                  <c:v>-8.029252658232803</c:v>
                </c:pt>
                <c:pt idx="8">
                  <c:v>-6.1877185053343773</c:v>
                </c:pt>
                <c:pt idx="9">
                  <c:v>-4.3000630515963358</c:v>
                </c:pt>
                <c:pt idx="10">
                  <c:v>-2.3636564525099644</c:v>
                </c:pt>
                <c:pt idx="11">
                  <c:v>-0.37535794962416702</c:v>
                </c:pt>
                <c:pt idx="12">
                  <c:v>-3.0678010204149508</c:v>
                </c:pt>
                <c:pt idx="13">
                  <c:v>5.8156608222448263</c:v>
                </c:pt>
                <c:pt idx="14">
                  <c:v>-8.9906603193697858</c:v>
                </c:pt>
                <c:pt idx="15">
                  <c:v>-19.434156555154736</c:v>
                </c:pt>
                <c:pt idx="16">
                  <c:v>-12</c:v>
                </c:pt>
                <c:pt idx="17">
                  <c:v>-29.167117021908272</c:v>
                </c:pt>
                <c:pt idx="18">
                  <c:v>-14</c:v>
                </c:pt>
                <c:pt idx="19">
                  <c:v>-19.833506546880365</c:v>
                </c:pt>
                <c:pt idx="20">
                  <c:v>1.5130248501190131</c:v>
                </c:pt>
                <c:pt idx="21">
                  <c:v>12</c:v>
                </c:pt>
                <c:pt idx="22">
                  <c:v>-12</c:v>
                </c:pt>
                <c:pt idx="23">
                  <c:v>-28.772550131225248</c:v>
                </c:pt>
                <c:pt idx="24">
                  <c:v>-11.666666666666666</c:v>
                </c:pt>
                <c:pt idx="25">
                  <c:v>-18.245852614565919</c:v>
                </c:pt>
                <c:pt idx="26">
                  <c:v>4.3925078710812571</c:v>
                </c:pt>
                <c:pt idx="27">
                  <c:v>12</c:v>
                </c:pt>
                <c:pt idx="28">
                  <c:v>-12</c:v>
                </c:pt>
                <c:pt idx="29">
                  <c:v>-28.303800039278563</c:v>
                </c:pt>
                <c:pt idx="30">
                  <c:v>-9.3333333333333321</c:v>
                </c:pt>
                <c:pt idx="31">
                  <c:v>-16.629666681765414</c:v>
                </c:pt>
                <c:pt idx="32">
                  <c:v>6.4527131206909987</c:v>
                </c:pt>
                <c:pt idx="33">
                  <c:v>12</c:v>
                </c:pt>
                <c:pt idx="34">
                  <c:v>-12</c:v>
                </c:pt>
                <c:pt idx="35">
                  <c:v>-27.754010010716058</c:v>
                </c:pt>
                <c:pt idx="36">
                  <c:v>-6.9999999999999982</c:v>
                </c:pt>
                <c:pt idx="37">
                  <c:v>-14.98231154257417</c:v>
                </c:pt>
                <c:pt idx="38">
                  <c:v>8.2375052570320868</c:v>
                </c:pt>
                <c:pt idx="39">
                  <c:v>12</c:v>
                </c:pt>
                <c:pt idx="40">
                  <c:v>-12</c:v>
                </c:pt>
                <c:pt idx="41">
                  <c:v>-27.116306655803694</c:v>
                </c:pt>
                <c:pt idx="42">
                  <c:v>-4.6666666666666643</c:v>
                </c:pt>
                <c:pt idx="43">
                  <c:v>-13.301143585556035</c:v>
                </c:pt>
                <c:pt idx="44">
                  <c:v>9.8664661885771885</c:v>
                </c:pt>
                <c:pt idx="45">
                  <c:v>12</c:v>
                </c:pt>
                <c:pt idx="46">
                  <c:v>-12</c:v>
                </c:pt>
                <c:pt idx="47">
                  <c:v>-26.383946707329393</c:v>
                </c:pt>
                <c:pt idx="48">
                  <c:v>-2.3333333333333308</c:v>
                </c:pt>
                <c:pt idx="49">
                  <c:v>-11.583569246398675</c:v>
                </c:pt>
                <c:pt idx="50">
                  <c:v>11.388844623449907</c:v>
                </c:pt>
                <c:pt idx="51">
                  <c:v>12</c:v>
                </c:pt>
                <c:pt idx="52">
                  <c:v>-12</c:v>
                </c:pt>
                <c:pt idx="53">
                  <c:v>-25.550406252475348</c:v>
                </c:pt>
                <c:pt idx="54">
                  <c:v>0</c:v>
                </c:pt>
                <c:pt idx="55">
                  <c:v>-9.8270793278644781</c:v>
                </c:pt>
                <c:pt idx="56">
                  <c:v>12.829698097369761</c:v>
                </c:pt>
                <c:pt idx="57">
                  <c:v>12</c:v>
                </c:pt>
                <c:pt idx="58">
                  <c:v>-12</c:v>
                </c:pt>
                <c:pt idx="59">
                  <c:v>-24.609390244767855</c:v>
                </c:pt>
                <c:pt idx="60">
                  <c:v>2.3333333333333335</c:v>
                </c:pt>
                <c:pt idx="61">
                  <c:v>-8.029252658232803</c:v>
                </c:pt>
                <c:pt idx="62">
                  <c:v>14.203132463376605</c:v>
                </c:pt>
                <c:pt idx="63">
                  <c:v>12</c:v>
                </c:pt>
                <c:pt idx="64">
                  <c:v>-12</c:v>
                </c:pt>
                <c:pt idx="65">
                  <c:v>-23.554734780566797</c:v>
                </c:pt>
                <c:pt idx="66">
                  <c:v>4.666666666666667</c:v>
                </c:pt>
                <c:pt idx="67">
                  <c:v>-6.1877185053343773</c:v>
                </c:pt>
                <c:pt idx="68">
                  <c:v>15.517506829265256</c:v>
                </c:pt>
                <c:pt idx="69">
                  <c:v>12</c:v>
                </c:pt>
                <c:pt idx="70">
                  <c:v>-12</c:v>
                </c:pt>
                <c:pt idx="71">
                  <c:v>-22.380163934182676</c:v>
                </c:pt>
                <c:pt idx="72">
                  <c:v>7</c:v>
                </c:pt>
                <c:pt idx="73">
                  <c:v>-4.3000630515963358</c:v>
                </c:pt>
                <c:pt idx="74">
                  <c:v>16.777941702150098</c:v>
                </c:pt>
                <c:pt idx="75">
                  <c:v>12</c:v>
                </c:pt>
                <c:pt idx="76">
                  <c:v>-12</c:v>
                </c:pt>
                <c:pt idx="77">
                  <c:v>-21.078840109892809</c:v>
                </c:pt>
                <c:pt idx="78">
                  <c:v>9.3333333333333339</c:v>
                </c:pt>
                <c:pt idx="79">
                  <c:v>-2.3636564525099644</c:v>
                </c:pt>
                <c:pt idx="80">
                  <c:v>17.987756355580007</c:v>
                </c:pt>
                <c:pt idx="81">
                  <c:v>12</c:v>
                </c:pt>
                <c:pt idx="82">
                  <c:v>-12</c:v>
                </c:pt>
                <c:pt idx="83">
                  <c:v>-19.642597335724307</c:v>
                </c:pt>
                <c:pt idx="84">
                  <c:v>11.666666666666668</c:v>
                </c:pt>
                <c:pt idx="85">
                  <c:v>-0.37535794962416702</c:v>
                </c:pt>
                <c:pt idx="86">
                  <c:v>19.149459663035739</c:v>
                </c:pt>
                <c:pt idx="87">
                  <c:v>12</c:v>
                </c:pt>
                <c:pt idx="88">
                  <c:v>-12</c:v>
                </c:pt>
                <c:pt idx="89">
                  <c:v>-30.376282653093735</c:v>
                </c:pt>
                <c:pt idx="90">
                  <c:v>14.000000000000002</c:v>
                </c:pt>
                <c:pt idx="91">
                  <c:v>-3.0678010204149508</c:v>
                </c:pt>
                <c:pt idx="92">
                  <c:v>26.896999319700733</c:v>
                </c:pt>
                <c:pt idx="93">
                  <c:v>12</c:v>
                </c:pt>
                <c:pt idx="94">
                  <c:v>-12</c:v>
                </c:pt>
                <c:pt idx="95">
                  <c:v>-24.879281862192261</c:v>
                </c:pt>
                <c:pt idx="96">
                  <c:v>25</c:v>
                </c:pt>
                <c:pt idx="97">
                  <c:v>5.8156608222448263</c:v>
                </c:pt>
                <c:pt idx="98">
                  <c:v>31.34962606454722</c:v>
                </c:pt>
                <c:pt idx="99">
                  <c:v>12</c:v>
                </c:pt>
                <c:pt idx="100">
                  <c:v>-12</c:v>
                </c:pt>
                <c:pt idx="101">
                  <c:v>-23.375716830330454</c:v>
                </c:pt>
                <c:pt idx="102">
                  <c:v>0</c:v>
                </c:pt>
                <c:pt idx="103">
                  <c:v>-8.9906603193697858</c:v>
                </c:pt>
                <c:pt idx="104">
                  <c:v>22.648032351271631</c:v>
                </c:pt>
                <c:pt idx="105">
                  <c:v>12</c:v>
                </c:pt>
                <c:pt idx="106">
                  <c:v>-12</c:v>
                </c:pt>
                <c:pt idx="107">
                  <c:v>-10.52880704336475</c:v>
                </c:pt>
                <c:pt idx="108">
                  <c:v>-25</c:v>
                </c:pt>
                <c:pt idx="109">
                  <c:v>-19.434156555154736</c:v>
                </c:pt>
                <c:pt idx="110">
                  <c:v>20.32293673094285</c:v>
                </c:pt>
                <c:pt idx="111">
                  <c:v>12</c:v>
                </c:pt>
                <c:pt idx="112">
                  <c:v>60</c:v>
                </c:pt>
                <c:pt idx="113">
                  <c:v>59.977621104822219</c:v>
                </c:pt>
                <c:pt idx="114">
                  <c:v>59.910498330815244</c:v>
                </c:pt>
                <c:pt idx="115">
                  <c:v>59.7986734039103</c:v>
                </c:pt>
                <c:pt idx="116">
                  <c:v>59.642215838505066</c:v>
                </c:pt>
                <c:pt idx="117">
                  <c:v>59.441222894251112</c:v>
                </c:pt>
                <c:pt idx="118">
                  <c:v>59.195819515593755</c:v>
                </c:pt>
                <c:pt idx="119">
                  <c:v>58.906158254102053</c:v>
                </c:pt>
                <c:pt idx="120">
                  <c:v>58.572419173637371</c:v>
                </c:pt>
                <c:pt idx="121">
                  <c:v>58.19480973841911</c:v>
                </c:pt>
                <c:pt idx="122">
                  <c:v>57.77356468405749</c:v>
                </c:pt>
                <c:pt idx="123">
                  <c:v>57.308945871633512</c:v>
                </c:pt>
                <c:pt idx="124">
                  <c:v>56.801242124916655</c:v>
                </c:pt>
                <c:pt idx="125">
                  <c:v>56.250769050821617</c:v>
                </c:pt>
                <c:pt idx="126">
                  <c:v>55.657868843215709</c:v>
                </c:pt>
                <c:pt idx="127">
                  <c:v>55.022910070198847</c:v>
                </c:pt>
                <c:pt idx="128">
                  <c:v>54.346287444988349</c:v>
                </c:pt>
                <c:pt idx="129">
                  <c:v>53.628421580551006</c:v>
                </c:pt>
                <c:pt idx="130">
                  <c:v>52.869758728134926</c:v>
                </c:pt>
                <c:pt idx="131">
                  <c:v>52.070770499863713</c:v>
                </c:pt>
                <c:pt idx="132">
                  <c:v>51.231953575565385</c:v>
                </c:pt>
                <c:pt idx="133">
                  <c:v>50.353829394018334</c:v>
                </c:pt>
                <c:pt idx="134">
                  <c:v>49.436943828806236</c:v>
                </c:pt>
                <c:pt idx="135">
                  <c:v>48.481866848983351</c:v>
                </c:pt>
                <c:pt idx="136">
                  <c:v>47.489192164761299</c:v>
                </c:pt>
                <c:pt idx="137">
                  <c:v>46.45953685843741</c:v>
                </c:pt>
                <c:pt idx="138">
                  <c:v>45.39354100079418</c:v>
                </c:pt>
                <c:pt idx="139">
                  <c:v>44.29186725320821</c:v>
                </c:pt>
                <c:pt idx="140">
                  <c:v>43.155200455716098</c:v>
                </c:pt>
                <c:pt idx="141">
                  <c:v>41.984247201293201</c:v>
                </c:pt>
                <c:pt idx="142">
                  <c:v>40.779735396610057</c:v>
                </c:pt>
                <c:pt idx="143">
                  <c:v>39.542413809539362</c:v>
                </c:pt>
                <c:pt idx="144">
                  <c:v>38.27305160369496</c:v>
                </c:pt>
                <c:pt idx="145">
                  <c:v>36.97243786029204</c:v>
                </c:pt>
                <c:pt idx="146">
                  <c:v>35.641381087625909</c:v>
                </c:pt>
                <c:pt idx="147">
                  <c:v>34.280708718474088</c:v>
                </c:pt>
                <c:pt idx="148">
                  <c:v>32.891266595734379</c:v>
                </c:pt>
                <c:pt idx="149">
                  <c:v>31.473918446618441</c:v>
                </c:pt>
                <c:pt idx="150">
                  <c:v>30.029545345727961</c:v>
                </c:pt>
                <c:pt idx="151">
                  <c:v>28.559045167346859</c:v>
                </c:pt>
                <c:pt idx="152">
                  <c:v>27.063332027290457</c:v>
                </c:pt>
                <c:pt idx="153">
                  <c:v>25.54333571465812</c:v>
                </c:pt>
                <c:pt idx="154">
                  <c:v>24.00000111384292</c:v>
                </c:pt>
                <c:pt idx="155">
                  <c:v>22.434287617157558</c:v>
                </c:pt>
                <c:pt idx="156">
                  <c:v>20.847168528441451</c:v>
                </c:pt>
                <c:pt idx="157">
                  <c:v>19.239630458020226</c:v>
                </c:pt>
                <c:pt idx="158">
                  <c:v>17.612672709393095</c:v>
                </c:pt>
                <c:pt idx="159">
                  <c:v>15.967306658029923</c:v>
                </c:pt>
                <c:pt idx="160">
                  <c:v>14.304555122663807</c:v>
                </c:pt>
                <c:pt idx="161">
                  <c:v>12.625451729470267</c:v>
                </c:pt>
                <c:pt idx="162">
                  <c:v>10.931040269527855</c:v>
                </c:pt>
                <c:pt idx="163">
                  <c:v>9.2223740499601874</c:v>
                </c:pt>
                <c:pt idx="164">
                  <c:v>7.50051523916229</c:v>
                </c:pt>
                <c:pt idx="165">
                  <c:v>5.7665342065185783</c:v>
                </c:pt>
                <c:pt idx="166">
                  <c:v>4.0215088570226385</c:v>
                </c:pt>
                <c:pt idx="167">
                  <c:v>2.2665239612127621</c:v>
                </c:pt>
                <c:pt idx="168">
                  <c:v>0.50267048083958699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2.8515696384297637</c:v>
                </c:pt>
                <c:pt idx="177">
                  <c:v>1.9753111994832171</c:v>
                </c:pt>
                <c:pt idx="178">
                  <c:v>0.92563316887902047</c:v>
                </c:pt>
                <c:pt idx="179">
                  <c:v>-0.21601377837397351</c:v>
                </c:pt>
                <c:pt idx="180">
                  <c:v>-1.4157664759720063</c:v>
                </c:pt>
                <c:pt idx="181">
                  <c:v>-2.6556123420946562</c:v>
                </c:pt>
                <c:pt idx="182">
                  <c:v>-3.9245681685754725</c:v>
                </c:pt>
                <c:pt idx="183">
                  <c:v>-5.2153144569239593</c:v>
                </c:pt>
                <c:pt idx="184">
                  <c:v>-6.5226550874579061</c:v>
                </c:pt>
                <c:pt idx="185">
                  <c:v>-7.8427215966531474</c:v>
                </c:pt>
                <c:pt idx="186">
                  <c:v>-9.1725245020797033</c:v>
                </c:pt>
                <c:pt idx="187">
                  <c:v>-10.509682805443534</c:v>
                </c:pt>
                <c:pt idx="188">
                  <c:v>-11.852251962601201</c:v>
                </c:pt>
                <c:pt idx="189">
                  <c:v>-13.198609507350314</c:v>
                </c:pt>
                <c:pt idx="190">
                  <c:v>-14.547376030315508</c:v>
                </c:pt>
                <c:pt idx="191">
                  <c:v>-15.897358663204308</c:v>
                </c:pt>
                <c:pt idx="192">
                  <c:v>-17.247509325359044</c:v>
                </c:pt>
                <c:pt idx="193">
                  <c:v>-18.596892885306229</c:v>
                </c:pt>
                <c:pt idx="194">
                  <c:v>-19.944662101015112</c:v>
                </c:pt>
                <c:pt idx="195">
                  <c:v>-21.290037250525245</c:v>
                </c:pt>
                <c:pt idx="196">
                  <c:v>-22.632289027455251</c:v>
                </c:pt>
                <c:pt idx="197">
                  <c:v>-23.97072370792359</c:v>
                </c:pt>
                <c:pt idx="198">
                  <c:v>-25.30466988534544</c:v>
                </c:pt>
                <c:pt idx="199">
                  <c:v>-26.633466270137497</c:v>
                </c:pt>
                <c:pt idx="200">
                  <c:v>-27.956450194805811</c:v>
                </c:pt>
                <c:pt idx="201">
                  <c:v>-29.272946571435931</c:v>
                </c:pt>
                <c:pt idx="202">
                  <c:v>-30.582257131227855</c:v>
                </c:pt>
                <c:pt idx="203">
                  <c:v>-31.883649842884822</c:v>
                </c:pt>
                <c:pt idx="204">
                  <c:v>-33.176348463939625</c:v>
                </c:pt>
                <c:pt idx="205">
                  <c:v>-34.459522230103559</c:v>
                </c:pt>
                <c:pt idx="206">
                  <c:v>-35.732275734705851</c:v>
                </c:pt>
                <c:pt idx="207">
                  <c:v>-36.99363909448315</c:v>
                </c:pt>
                <c:pt idx="208">
                  <c:v>-38.242558539797471</c:v>
                </c:pt>
                <c:pt idx="209">
                  <c:v>-39.477887606536221</c:v>
                </c:pt>
                <c:pt idx="210">
                  <c:v>-40.698379142616446</c:v>
                </c:pt>
                <c:pt idx="211">
                  <c:v>-41.902678372794895</c:v>
                </c:pt>
                <c:pt idx="212">
                  <c:v>-43.089317289558807</c:v>
                </c:pt>
                <c:pt idx="213">
                  <c:v>-44.25671065311036</c:v>
                </c:pt>
                <c:pt idx="214">
                  <c:v>-45.403153887555582</c:v>
                </c:pt>
                <c:pt idx="215">
                  <c:v>-46.526823151096757</c:v>
                </c:pt>
                <c:pt idx="216">
                  <c:v>-47.625777833297384</c:v>
                </c:pt>
                <c:pt idx="217">
                  <c:v>-48.697965690882285</c:v>
                </c:pt>
                <c:pt idx="218">
                  <c:v>-49.741230774414589</c:v>
                </c:pt>
                <c:pt idx="219">
                  <c:v>-50.753324222038465</c:v>
                </c:pt>
                <c:pt idx="220">
                  <c:v>-51.731917905092047</c:v>
                </c:pt>
                <c:pt idx="221">
                  <c:v>-52.674620807053785</c:v>
                </c:pt>
                <c:pt idx="222">
                  <c:v>-53.578997906712083</c:v>
                </c:pt>
                <c:pt idx="223">
                  <c:v>-54.442591224662408</c:v>
                </c:pt>
                <c:pt idx="224">
                  <c:v>-55.262942586197084</c:v>
                </c:pt>
                <c:pt idx="225">
                  <c:v>-56.037617560739605</c:v>
                </c:pt>
                <c:pt idx="226">
                  <c:v>-56.764229965340405</c:v>
                </c:pt>
                <c:pt idx="227">
                  <c:v>-57.440466273599569</c:v>
                </c:pt>
                <c:pt idx="228">
                  <c:v>-58.064109256288212</c:v>
                </c:pt>
                <c:pt idx="229">
                  <c:v>-58.633060198267984</c:v>
                </c:pt>
                <c:pt idx="230">
                  <c:v>-59.145359087855262</c:v>
                </c:pt>
                <c:pt idx="231">
                  <c:v>-59.599202256688159</c:v>
                </c:pt>
                <c:pt idx="232">
                  <c:v>-59.992957055132891</c:v>
                </c:pt>
                <c:pt idx="233">
                  <c:v>-60.325173273076174</c:v>
                </c:pt>
                <c:pt idx="234">
                  <c:v>-60.594591150128096</c:v>
                </c:pt>
                <c:pt idx="235">
                  <c:v>-60.800145953957085</c:v>
                </c:pt>
                <c:pt idx="236">
                  <c:v>-60.940969232303956</c:v>
                </c:pt>
                <c:pt idx="237">
                  <c:v>-61.016386955989681</c:v>
                </c:pt>
                <c:pt idx="238">
                  <c:v>-61.025914861512376</c:v>
                </c:pt>
                <c:pt idx="239">
                  <c:v>-60.969251369261414</c:v>
                </c:pt>
              </c:numCache>
            </c:numRef>
          </c:xVal>
          <c:yVal>
            <c:numRef>
              <c:f>CALC60!$BS$6:$BS$581</c:f>
              <c:numCache>
                <c:formatCode>General</c:formatCode>
                <c:ptCount val="576"/>
              </c:numCache>
            </c:numRef>
          </c:yVal>
          <c:smooth val="0"/>
        </c:ser>
        <c:ser>
          <c:idx val="20"/>
          <c:order val="20"/>
          <c:tx>
            <c:strRef>
              <c:f>CALC60!$BT$5</c:f>
              <c:strCache>
                <c:ptCount val="1"/>
                <c:pt idx="0">
                  <c:v>R19</c:v>
                </c:pt>
              </c:strCache>
            </c:strRef>
          </c:tx>
          <c:xVal>
            <c:numRef>
              <c:f>CALC60!$AY$6:$AY$581</c:f>
              <c:numCache>
                <c:formatCode>General</c:formatCode>
                <c:ptCount val="576"/>
                <c:pt idx="0">
                  <c:v>-19.833506546880365</c:v>
                </c:pt>
                <c:pt idx="1">
                  <c:v>-18.245852614565919</c:v>
                </c:pt>
                <c:pt idx="2">
                  <c:v>-16.629666681765414</c:v>
                </c:pt>
                <c:pt idx="3">
                  <c:v>-14.98231154257417</c:v>
                </c:pt>
                <c:pt idx="4">
                  <c:v>-13.301143585556035</c:v>
                </c:pt>
                <c:pt idx="5">
                  <c:v>-11.583569246398675</c:v>
                </c:pt>
                <c:pt idx="6">
                  <c:v>-9.8270793278644781</c:v>
                </c:pt>
                <c:pt idx="7">
                  <c:v>-8.029252658232803</c:v>
                </c:pt>
                <c:pt idx="8">
                  <c:v>-6.1877185053343773</c:v>
                </c:pt>
                <c:pt idx="9">
                  <c:v>-4.3000630515963358</c:v>
                </c:pt>
                <c:pt idx="10">
                  <c:v>-2.3636564525099644</c:v>
                </c:pt>
                <c:pt idx="11">
                  <c:v>-0.37535794962416702</c:v>
                </c:pt>
                <c:pt idx="12">
                  <c:v>-3.0678010204149508</c:v>
                </c:pt>
                <c:pt idx="13">
                  <c:v>5.8156608222448263</c:v>
                </c:pt>
                <c:pt idx="14">
                  <c:v>-8.9906603193697858</c:v>
                </c:pt>
                <c:pt idx="15">
                  <c:v>-19.434156555154736</c:v>
                </c:pt>
                <c:pt idx="16">
                  <c:v>-12</c:v>
                </c:pt>
                <c:pt idx="17">
                  <c:v>-29.167117021908272</c:v>
                </c:pt>
                <c:pt idx="18">
                  <c:v>-14</c:v>
                </c:pt>
                <c:pt idx="19">
                  <c:v>-19.833506546880365</c:v>
                </c:pt>
                <c:pt idx="20">
                  <c:v>1.5130248501190131</c:v>
                </c:pt>
                <c:pt idx="21">
                  <c:v>12</c:v>
                </c:pt>
                <c:pt idx="22">
                  <c:v>-12</c:v>
                </c:pt>
                <c:pt idx="23">
                  <c:v>-28.772550131225248</c:v>
                </c:pt>
                <c:pt idx="24">
                  <c:v>-11.666666666666666</c:v>
                </c:pt>
                <c:pt idx="25">
                  <c:v>-18.245852614565919</c:v>
                </c:pt>
                <c:pt idx="26">
                  <c:v>4.3925078710812571</c:v>
                </c:pt>
                <c:pt idx="27">
                  <c:v>12</c:v>
                </c:pt>
                <c:pt idx="28">
                  <c:v>-12</c:v>
                </c:pt>
                <c:pt idx="29">
                  <c:v>-28.303800039278563</c:v>
                </c:pt>
                <c:pt idx="30">
                  <c:v>-9.3333333333333321</c:v>
                </c:pt>
                <c:pt idx="31">
                  <c:v>-16.629666681765414</c:v>
                </c:pt>
                <c:pt idx="32">
                  <c:v>6.4527131206909987</c:v>
                </c:pt>
                <c:pt idx="33">
                  <c:v>12</c:v>
                </c:pt>
                <c:pt idx="34">
                  <c:v>-12</c:v>
                </c:pt>
                <c:pt idx="35">
                  <c:v>-27.754010010716058</c:v>
                </c:pt>
                <c:pt idx="36">
                  <c:v>-6.9999999999999982</c:v>
                </c:pt>
                <c:pt idx="37">
                  <c:v>-14.98231154257417</c:v>
                </c:pt>
                <c:pt idx="38">
                  <c:v>8.2375052570320868</c:v>
                </c:pt>
                <c:pt idx="39">
                  <c:v>12</c:v>
                </c:pt>
                <c:pt idx="40">
                  <c:v>-12</c:v>
                </c:pt>
                <c:pt idx="41">
                  <c:v>-27.116306655803694</c:v>
                </c:pt>
                <c:pt idx="42">
                  <c:v>-4.6666666666666643</c:v>
                </c:pt>
                <c:pt idx="43">
                  <c:v>-13.301143585556035</c:v>
                </c:pt>
                <c:pt idx="44">
                  <c:v>9.8664661885771885</c:v>
                </c:pt>
                <c:pt idx="45">
                  <c:v>12</c:v>
                </c:pt>
                <c:pt idx="46">
                  <c:v>-12</c:v>
                </c:pt>
                <c:pt idx="47">
                  <c:v>-26.383946707329393</c:v>
                </c:pt>
                <c:pt idx="48">
                  <c:v>-2.3333333333333308</c:v>
                </c:pt>
                <c:pt idx="49">
                  <c:v>-11.583569246398675</c:v>
                </c:pt>
                <c:pt idx="50">
                  <c:v>11.388844623449907</c:v>
                </c:pt>
                <c:pt idx="51">
                  <c:v>12</c:v>
                </c:pt>
                <c:pt idx="52">
                  <c:v>-12</c:v>
                </c:pt>
                <c:pt idx="53">
                  <c:v>-25.550406252475348</c:v>
                </c:pt>
                <c:pt idx="54">
                  <c:v>0</c:v>
                </c:pt>
                <c:pt idx="55">
                  <c:v>-9.8270793278644781</c:v>
                </c:pt>
                <c:pt idx="56">
                  <c:v>12.829698097369761</c:v>
                </c:pt>
                <c:pt idx="57">
                  <c:v>12</c:v>
                </c:pt>
                <c:pt idx="58">
                  <c:v>-12</c:v>
                </c:pt>
                <c:pt idx="59">
                  <c:v>-24.609390244767855</c:v>
                </c:pt>
                <c:pt idx="60">
                  <c:v>2.3333333333333335</c:v>
                </c:pt>
                <c:pt idx="61">
                  <c:v>-8.029252658232803</c:v>
                </c:pt>
                <c:pt idx="62">
                  <c:v>14.203132463376605</c:v>
                </c:pt>
                <c:pt idx="63">
                  <c:v>12</c:v>
                </c:pt>
                <c:pt idx="64">
                  <c:v>-12</c:v>
                </c:pt>
                <c:pt idx="65">
                  <c:v>-23.554734780566797</c:v>
                </c:pt>
                <c:pt idx="66">
                  <c:v>4.666666666666667</c:v>
                </c:pt>
                <c:pt idx="67">
                  <c:v>-6.1877185053343773</c:v>
                </c:pt>
                <c:pt idx="68">
                  <c:v>15.517506829265256</c:v>
                </c:pt>
                <c:pt idx="69">
                  <c:v>12</c:v>
                </c:pt>
                <c:pt idx="70">
                  <c:v>-12</c:v>
                </c:pt>
                <c:pt idx="71">
                  <c:v>-22.380163934182676</c:v>
                </c:pt>
                <c:pt idx="72">
                  <c:v>7</c:v>
                </c:pt>
                <c:pt idx="73">
                  <c:v>-4.3000630515963358</c:v>
                </c:pt>
                <c:pt idx="74">
                  <c:v>16.777941702150098</c:v>
                </c:pt>
                <c:pt idx="75">
                  <c:v>12</c:v>
                </c:pt>
                <c:pt idx="76">
                  <c:v>-12</c:v>
                </c:pt>
                <c:pt idx="77">
                  <c:v>-21.078840109892809</c:v>
                </c:pt>
                <c:pt idx="78">
                  <c:v>9.3333333333333339</c:v>
                </c:pt>
                <c:pt idx="79">
                  <c:v>-2.3636564525099644</c:v>
                </c:pt>
                <c:pt idx="80">
                  <c:v>17.987756355580007</c:v>
                </c:pt>
                <c:pt idx="81">
                  <c:v>12</c:v>
                </c:pt>
                <c:pt idx="82">
                  <c:v>-12</c:v>
                </c:pt>
                <c:pt idx="83">
                  <c:v>-19.642597335724307</c:v>
                </c:pt>
                <c:pt idx="84">
                  <c:v>11.666666666666668</c:v>
                </c:pt>
                <c:pt idx="85">
                  <c:v>-0.37535794962416702</c:v>
                </c:pt>
                <c:pt idx="86">
                  <c:v>19.149459663035739</c:v>
                </c:pt>
                <c:pt idx="87">
                  <c:v>12</c:v>
                </c:pt>
                <c:pt idx="88">
                  <c:v>-12</c:v>
                </c:pt>
                <c:pt idx="89">
                  <c:v>-30.376282653093735</c:v>
                </c:pt>
                <c:pt idx="90">
                  <c:v>14.000000000000002</c:v>
                </c:pt>
                <c:pt idx="91">
                  <c:v>-3.0678010204149508</c:v>
                </c:pt>
                <c:pt idx="92">
                  <c:v>26.896999319700733</c:v>
                </c:pt>
                <c:pt idx="93">
                  <c:v>12</c:v>
                </c:pt>
                <c:pt idx="94">
                  <c:v>-12</c:v>
                </c:pt>
                <c:pt idx="95">
                  <c:v>-24.879281862192261</c:v>
                </c:pt>
                <c:pt idx="96">
                  <c:v>25</c:v>
                </c:pt>
                <c:pt idx="97">
                  <c:v>5.8156608222448263</c:v>
                </c:pt>
                <c:pt idx="98">
                  <c:v>31.34962606454722</c:v>
                </c:pt>
                <c:pt idx="99">
                  <c:v>12</c:v>
                </c:pt>
                <c:pt idx="100">
                  <c:v>-12</c:v>
                </c:pt>
                <c:pt idx="101">
                  <c:v>-23.375716830330454</c:v>
                </c:pt>
                <c:pt idx="102">
                  <c:v>0</c:v>
                </c:pt>
                <c:pt idx="103">
                  <c:v>-8.9906603193697858</c:v>
                </c:pt>
                <c:pt idx="104">
                  <c:v>22.648032351271631</c:v>
                </c:pt>
                <c:pt idx="105">
                  <c:v>12</c:v>
                </c:pt>
                <c:pt idx="106">
                  <c:v>-12</c:v>
                </c:pt>
                <c:pt idx="107">
                  <c:v>-10.52880704336475</c:v>
                </c:pt>
                <c:pt idx="108">
                  <c:v>-25</c:v>
                </c:pt>
                <c:pt idx="109">
                  <c:v>-19.434156555154736</c:v>
                </c:pt>
                <c:pt idx="110">
                  <c:v>20.32293673094285</c:v>
                </c:pt>
                <c:pt idx="111">
                  <c:v>12</c:v>
                </c:pt>
                <c:pt idx="112">
                  <c:v>60</c:v>
                </c:pt>
                <c:pt idx="113">
                  <c:v>59.977621104822219</c:v>
                </c:pt>
                <c:pt idx="114">
                  <c:v>59.910498330815244</c:v>
                </c:pt>
                <c:pt idx="115">
                  <c:v>59.7986734039103</c:v>
                </c:pt>
                <c:pt idx="116">
                  <c:v>59.642215838505066</c:v>
                </c:pt>
                <c:pt idx="117">
                  <c:v>59.441222894251112</c:v>
                </c:pt>
                <c:pt idx="118">
                  <c:v>59.195819515593755</c:v>
                </c:pt>
                <c:pt idx="119">
                  <c:v>58.906158254102053</c:v>
                </c:pt>
                <c:pt idx="120">
                  <c:v>58.572419173637371</c:v>
                </c:pt>
                <c:pt idx="121">
                  <c:v>58.19480973841911</c:v>
                </c:pt>
                <c:pt idx="122">
                  <c:v>57.77356468405749</c:v>
                </c:pt>
                <c:pt idx="123">
                  <c:v>57.308945871633512</c:v>
                </c:pt>
                <c:pt idx="124">
                  <c:v>56.801242124916655</c:v>
                </c:pt>
                <c:pt idx="125">
                  <c:v>56.250769050821617</c:v>
                </c:pt>
                <c:pt idx="126">
                  <c:v>55.657868843215709</c:v>
                </c:pt>
                <c:pt idx="127">
                  <c:v>55.022910070198847</c:v>
                </c:pt>
                <c:pt idx="128">
                  <c:v>54.346287444988349</c:v>
                </c:pt>
                <c:pt idx="129">
                  <c:v>53.628421580551006</c:v>
                </c:pt>
                <c:pt idx="130">
                  <c:v>52.869758728134926</c:v>
                </c:pt>
                <c:pt idx="131">
                  <c:v>52.070770499863713</c:v>
                </c:pt>
                <c:pt idx="132">
                  <c:v>51.231953575565385</c:v>
                </c:pt>
                <c:pt idx="133">
                  <c:v>50.353829394018334</c:v>
                </c:pt>
                <c:pt idx="134">
                  <c:v>49.436943828806236</c:v>
                </c:pt>
                <c:pt idx="135">
                  <c:v>48.481866848983351</c:v>
                </c:pt>
                <c:pt idx="136">
                  <c:v>47.489192164761299</c:v>
                </c:pt>
                <c:pt idx="137">
                  <c:v>46.45953685843741</c:v>
                </c:pt>
                <c:pt idx="138">
                  <c:v>45.39354100079418</c:v>
                </c:pt>
                <c:pt idx="139">
                  <c:v>44.29186725320821</c:v>
                </c:pt>
                <c:pt idx="140">
                  <c:v>43.155200455716098</c:v>
                </c:pt>
                <c:pt idx="141">
                  <c:v>41.984247201293201</c:v>
                </c:pt>
                <c:pt idx="142">
                  <c:v>40.779735396610057</c:v>
                </c:pt>
                <c:pt idx="143">
                  <c:v>39.542413809539362</c:v>
                </c:pt>
                <c:pt idx="144">
                  <c:v>38.27305160369496</c:v>
                </c:pt>
                <c:pt idx="145">
                  <c:v>36.97243786029204</c:v>
                </c:pt>
                <c:pt idx="146">
                  <c:v>35.641381087625909</c:v>
                </c:pt>
                <c:pt idx="147">
                  <c:v>34.280708718474088</c:v>
                </c:pt>
                <c:pt idx="148">
                  <c:v>32.891266595734379</c:v>
                </c:pt>
                <c:pt idx="149">
                  <c:v>31.473918446618441</c:v>
                </c:pt>
                <c:pt idx="150">
                  <c:v>30.029545345727961</c:v>
                </c:pt>
                <c:pt idx="151">
                  <c:v>28.559045167346859</c:v>
                </c:pt>
                <c:pt idx="152">
                  <c:v>27.063332027290457</c:v>
                </c:pt>
                <c:pt idx="153">
                  <c:v>25.54333571465812</c:v>
                </c:pt>
                <c:pt idx="154">
                  <c:v>24.00000111384292</c:v>
                </c:pt>
                <c:pt idx="155">
                  <c:v>22.434287617157558</c:v>
                </c:pt>
                <c:pt idx="156">
                  <c:v>20.847168528441451</c:v>
                </c:pt>
                <c:pt idx="157">
                  <c:v>19.239630458020226</c:v>
                </c:pt>
                <c:pt idx="158">
                  <c:v>17.612672709393095</c:v>
                </c:pt>
                <c:pt idx="159">
                  <c:v>15.967306658029923</c:v>
                </c:pt>
                <c:pt idx="160">
                  <c:v>14.304555122663807</c:v>
                </c:pt>
                <c:pt idx="161">
                  <c:v>12.625451729470267</c:v>
                </c:pt>
                <c:pt idx="162">
                  <c:v>10.931040269527855</c:v>
                </c:pt>
                <c:pt idx="163">
                  <c:v>9.2223740499601874</c:v>
                </c:pt>
                <c:pt idx="164">
                  <c:v>7.50051523916229</c:v>
                </c:pt>
                <c:pt idx="165">
                  <c:v>5.7665342065185783</c:v>
                </c:pt>
                <c:pt idx="166">
                  <c:v>4.0215088570226385</c:v>
                </c:pt>
                <c:pt idx="167">
                  <c:v>2.2665239612127621</c:v>
                </c:pt>
                <c:pt idx="168">
                  <c:v>0.50267048083958699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2.8515696384297637</c:v>
                </c:pt>
                <c:pt idx="177">
                  <c:v>1.9753111994832171</c:v>
                </c:pt>
                <c:pt idx="178">
                  <c:v>0.92563316887902047</c:v>
                </c:pt>
                <c:pt idx="179">
                  <c:v>-0.21601377837397351</c:v>
                </c:pt>
                <c:pt idx="180">
                  <c:v>-1.4157664759720063</c:v>
                </c:pt>
                <c:pt idx="181">
                  <c:v>-2.6556123420946562</c:v>
                </c:pt>
                <c:pt idx="182">
                  <c:v>-3.9245681685754725</c:v>
                </c:pt>
                <c:pt idx="183">
                  <c:v>-5.2153144569239593</c:v>
                </c:pt>
                <c:pt idx="184">
                  <c:v>-6.5226550874579061</c:v>
                </c:pt>
                <c:pt idx="185">
                  <c:v>-7.8427215966531474</c:v>
                </c:pt>
                <c:pt idx="186">
                  <c:v>-9.1725245020797033</c:v>
                </c:pt>
                <c:pt idx="187">
                  <c:v>-10.509682805443534</c:v>
                </c:pt>
                <c:pt idx="188">
                  <c:v>-11.852251962601201</c:v>
                </c:pt>
                <c:pt idx="189">
                  <c:v>-13.198609507350314</c:v>
                </c:pt>
                <c:pt idx="190">
                  <c:v>-14.547376030315508</c:v>
                </c:pt>
                <c:pt idx="191">
                  <c:v>-15.897358663204308</c:v>
                </c:pt>
                <c:pt idx="192">
                  <c:v>-17.247509325359044</c:v>
                </c:pt>
                <c:pt idx="193">
                  <c:v>-18.596892885306229</c:v>
                </c:pt>
                <c:pt idx="194">
                  <c:v>-19.944662101015112</c:v>
                </c:pt>
                <c:pt idx="195">
                  <c:v>-21.290037250525245</c:v>
                </c:pt>
                <c:pt idx="196">
                  <c:v>-22.632289027455251</c:v>
                </c:pt>
                <c:pt idx="197">
                  <c:v>-23.97072370792359</c:v>
                </c:pt>
                <c:pt idx="198">
                  <c:v>-25.30466988534544</c:v>
                </c:pt>
                <c:pt idx="199">
                  <c:v>-26.633466270137497</c:v>
                </c:pt>
                <c:pt idx="200">
                  <c:v>-27.956450194805811</c:v>
                </c:pt>
                <c:pt idx="201">
                  <c:v>-29.272946571435931</c:v>
                </c:pt>
                <c:pt idx="202">
                  <c:v>-30.582257131227855</c:v>
                </c:pt>
                <c:pt idx="203">
                  <c:v>-31.883649842884822</c:v>
                </c:pt>
                <c:pt idx="204">
                  <c:v>-33.176348463939625</c:v>
                </c:pt>
                <c:pt idx="205">
                  <c:v>-34.459522230103559</c:v>
                </c:pt>
                <c:pt idx="206">
                  <c:v>-35.732275734705851</c:v>
                </c:pt>
                <c:pt idx="207">
                  <c:v>-36.99363909448315</c:v>
                </c:pt>
                <c:pt idx="208">
                  <c:v>-38.242558539797471</c:v>
                </c:pt>
                <c:pt idx="209">
                  <c:v>-39.477887606536221</c:v>
                </c:pt>
                <c:pt idx="210">
                  <c:v>-40.698379142616446</c:v>
                </c:pt>
                <c:pt idx="211">
                  <c:v>-41.902678372794895</c:v>
                </c:pt>
                <c:pt idx="212">
                  <c:v>-43.089317289558807</c:v>
                </c:pt>
                <c:pt idx="213">
                  <c:v>-44.25671065311036</c:v>
                </c:pt>
                <c:pt idx="214">
                  <c:v>-45.403153887555582</c:v>
                </c:pt>
                <c:pt idx="215">
                  <c:v>-46.526823151096757</c:v>
                </c:pt>
                <c:pt idx="216">
                  <c:v>-47.625777833297384</c:v>
                </c:pt>
                <c:pt idx="217">
                  <c:v>-48.697965690882285</c:v>
                </c:pt>
                <c:pt idx="218">
                  <c:v>-49.741230774414589</c:v>
                </c:pt>
                <c:pt idx="219">
                  <c:v>-50.753324222038465</c:v>
                </c:pt>
                <c:pt idx="220">
                  <c:v>-51.731917905092047</c:v>
                </c:pt>
                <c:pt idx="221">
                  <c:v>-52.674620807053785</c:v>
                </c:pt>
                <c:pt idx="222">
                  <c:v>-53.578997906712083</c:v>
                </c:pt>
                <c:pt idx="223">
                  <c:v>-54.442591224662408</c:v>
                </c:pt>
                <c:pt idx="224">
                  <c:v>-55.262942586197084</c:v>
                </c:pt>
                <c:pt idx="225">
                  <c:v>-56.037617560739605</c:v>
                </c:pt>
                <c:pt idx="226">
                  <c:v>-56.764229965340405</c:v>
                </c:pt>
                <c:pt idx="227">
                  <c:v>-57.440466273599569</c:v>
                </c:pt>
                <c:pt idx="228">
                  <c:v>-58.064109256288212</c:v>
                </c:pt>
                <c:pt idx="229">
                  <c:v>-58.633060198267984</c:v>
                </c:pt>
                <c:pt idx="230">
                  <c:v>-59.145359087855262</c:v>
                </c:pt>
                <c:pt idx="231">
                  <c:v>-59.599202256688159</c:v>
                </c:pt>
                <c:pt idx="232">
                  <c:v>-59.992957055132891</c:v>
                </c:pt>
                <c:pt idx="233">
                  <c:v>-60.325173273076174</c:v>
                </c:pt>
                <c:pt idx="234">
                  <c:v>-60.594591150128096</c:v>
                </c:pt>
                <c:pt idx="235">
                  <c:v>-60.800145953957085</c:v>
                </c:pt>
                <c:pt idx="236">
                  <c:v>-60.940969232303956</c:v>
                </c:pt>
                <c:pt idx="237">
                  <c:v>-61.016386955989681</c:v>
                </c:pt>
                <c:pt idx="238">
                  <c:v>-61.025914861512376</c:v>
                </c:pt>
                <c:pt idx="239">
                  <c:v>-60.969251369261414</c:v>
                </c:pt>
              </c:numCache>
            </c:numRef>
          </c:xVal>
          <c:yVal>
            <c:numRef>
              <c:f>CALC60!$BT$6:$BT$581</c:f>
              <c:numCache>
                <c:formatCode>General</c:formatCode>
                <c:ptCount val="576"/>
              </c:numCache>
            </c:numRef>
          </c:yVal>
          <c:smooth val="0"/>
        </c:ser>
        <c:ser>
          <c:idx val="21"/>
          <c:order val="21"/>
          <c:tx>
            <c:strRef>
              <c:f>CALC60!$BU$5</c:f>
              <c:strCache>
                <c:ptCount val="1"/>
                <c:pt idx="0">
                  <c:v>R20</c:v>
                </c:pt>
              </c:strCache>
            </c:strRef>
          </c:tx>
          <c:xVal>
            <c:numRef>
              <c:f>CALC60!$AY$6:$AY$581</c:f>
              <c:numCache>
                <c:formatCode>General</c:formatCode>
                <c:ptCount val="576"/>
                <c:pt idx="0">
                  <c:v>-19.833506546880365</c:v>
                </c:pt>
                <c:pt idx="1">
                  <c:v>-18.245852614565919</c:v>
                </c:pt>
                <c:pt idx="2">
                  <c:v>-16.629666681765414</c:v>
                </c:pt>
                <c:pt idx="3">
                  <c:v>-14.98231154257417</c:v>
                </c:pt>
                <c:pt idx="4">
                  <c:v>-13.301143585556035</c:v>
                </c:pt>
                <c:pt idx="5">
                  <c:v>-11.583569246398675</c:v>
                </c:pt>
                <c:pt idx="6">
                  <c:v>-9.8270793278644781</c:v>
                </c:pt>
                <c:pt idx="7">
                  <c:v>-8.029252658232803</c:v>
                </c:pt>
                <c:pt idx="8">
                  <c:v>-6.1877185053343773</c:v>
                </c:pt>
                <c:pt idx="9">
                  <c:v>-4.3000630515963358</c:v>
                </c:pt>
                <c:pt idx="10">
                  <c:v>-2.3636564525099644</c:v>
                </c:pt>
                <c:pt idx="11">
                  <c:v>-0.37535794962416702</c:v>
                </c:pt>
                <c:pt idx="12">
                  <c:v>-3.0678010204149508</c:v>
                </c:pt>
                <c:pt idx="13">
                  <c:v>5.8156608222448263</c:v>
                </c:pt>
                <c:pt idx="14">
                  <c:v>-8.9906603193697858</c:v>
                </c:pt>
                <c:pt idx="15">
                  <c:v>-19.434156555154736</c:v>
                </c:pt>
                <c:pt idx="16">
                  <c:v>-12</c:v>
                </c:pt>
                <c:pt idx="17">
                  <c:v>-29.167117021908272</c:v>
                </c:pt>
                <c:pt idx="18">
                  <c:v>-14</c:v>
                </c:pt>
                <c:pt idx="19">
                  <c:v>-19.833506546880365</c:v>
                </c:pt>
                <c:pt idx="20">
                  <c:v>1.5130248501190131</c:v>
                </c:pt>
                <c:pt idx="21">
                  <c:v>12</c:v>
                </c:pt>
                <c:pt idx="22">
                  <c:v>-12</c:v>
                </c:pt>
                <c:pt idx="23">
                  <c:v>-28.772550131225248</c:v>
                </c:pt>
                <c:pt idx="24">
                  <c:v>-11.666666666666666</c:v>
                </c:pt>
                <c:pt idx="25">
                  <c:v>-18.245852614565919</c:v>
                </c:pt>
                <c:pt idx="26">
                  <c:v>4.3925078710812571</c:v>
                </c:pt>
                <c:pt idx="27">
                  <c:v>12</c:v>
                </c:pt>
                <c:pt idx="28">
                  <c:v>-12</c:v>
                </c:pt>
                <c:pt idx="29">
                  <c:v>-28.303800039278563</c:v>
                </c:pt>
                <c:pt idx="30">
                  <c:v>-9.3333333333333321</c:v>
                </c:pt>
                <c:pt idx="31">
                  <c:v>-16.629666681765414</c:v>
                </c:pt>
                <c:pt idx="32">
                  <c:v>6.4527131206909987</c:v>
                </c:pt>
                <c:pt idx="33">
                  <c:v>12</c:v>
                </c:pt>
                <c:pt idx="34">
                  <c:v>-12</c:v>
                </c:pt>
                <c:pt idx="35">
                  <c:v>-27.754010010716058</c:v>
                </c:pt>
                <c:pt idx="36">
                  <c:v>-6.9999999999999982</c:v>
                </c:pt>
                <c:pt idx="37">
                  <c:v>-14.98231154257417</c:v>
                </c:pt>
                <c:pt idx="38">
                  <c:v>8.2375052570320868</c:v>
                </c:pt>
                <c:pt idx="39">
                  <c:v>12</c:v>
                </c:pt>
                <c:pt idx="40">
                  <c:v>-12</c:v>
                </c:pt>
                <c:pt idx="41">
                  <c:v>-27.116306655803694</c:v>
                </c:pt>
                <c:pt idx="42">
                  <c:v>-4.6666666666666643</c:v>
                </c:pt>
                <c:pt idx="43">
                  <c:v>-13.301143585556035</c:v>
                </c:pt>
                <c:pt idx="44">
                  <c:v>9.8664661885771885</c:v>
                </c:pt>
                <c:pt idx="45">
                  <c:v>12</c:v>
                </c:pt>
                <c:pt idx="46">
                  <c:v>-12</c:v>
                </c:pt>
                <c:pt idx="47">
                  <c:v>-26.383946707329393</c:v>
                </c:pt>
                <c:pt idx="48">
                  <c:v>-2.3333333333333308</c:v>
                </c:pt>
                <c:pt idx="49">
                  <c:v>-11.583569246398675</c:v>
                </c:pt>
                <c:pt idx="50">
                  <c:v>11.388844623449907</c:v>
                </c:pt>
                <c:pt idx="51">
                  <c:v>12</c:v>
                </c:pt>
                <c:pt idx="52">
                  <c:v>-12</c:v>
                </c:pt>
                <c:pt idx="53">
                  <c:v>-25.550406252475348</c:v>
                </c:pt>
                <c:pt idx="54">
                  <c:v>0</c:v>
                </c:pt>
                <c:pt idx="55">
                  <c:v>-9.8270793278644781</c:v>
                </c:pt>
                <c:pt idx="56">
                  <c:v>12.829698097369761</c:v>
                </c:pt>
                <c:pt idx="57">
                  <c:v>12</c:v>
                </c:pt>
                <c:pt idx="58">
                  <c:v>-12</c:v>
                </c:pt>
                <c:pt idx="59">
                  <c:v>-24.609390244767855</c:v>
                </c:pt>
                <c:pt idx="60">
                  <c:v>2.3333333333333335</c:v>
                </c:pt>
                <c:pt idx="61">
                  <c:v>-8.029252658232803</c:v>
                </c:pt>
                <c:pt idx="62">
                  <c:v>14.203132463376605</c:v>
                </c:pt>
                <c:pt idx="63">
                  <c:v>12</c:v>
                </c:pt>
                <c:pt idx="64">
                  <c:v>-12</c:v>
                </c:pt>
                <c:pt idx="65">
                  <c:v>-23.554734780566797</c:v>
                </c:pt>
                <c:pt idx="66">
                  <c:v>4.666666666666667</c:v>
                </c:pt>
                <c:pt idx="67">
                  <c:v>-6.1877185053343773</c:v>
                </c:pt>
                <c:pt idx="68">
                  <c:v>15.517506829265256</c:v>
                </c:pt>
                <c:pt idx="69">
                  <c:v>12</c:v>
                </c:pt>
                <c:pt idx="70">
                  <c:v>-12</c:v>
                </c:pt>
                <c:pt idx="71">
                  <c:v>-22.380163934182676</c:v>
                </c:pt>
                <c:pt idx="72">
                  <c:v>7</c:v>
                </c:pt>
                <c:pt idx="73">
                  <c:v>-4.3000630515963358</c:v>
                </c:pt>
                <c:pt idx="74">
                  <c:v>16.777941702150098</c:v>
                </c:pt>
                <c:pt idx="75">
                  <c:v>12</c:v>
                </c:pt>
                <c:pt idx="76">
                  <c:v>-12</c:v>
                </c:pt>
                <c:pt idx="77">
                  <c:v>-21.078840109892809</c:v>
                </c:pt>
                <c:pt idx="78">
                  <c:v>9.3333333333333339</c:v>
                </c:pt>
                <c:pt idx="79">
                  <c:v>-2.3636564525099644</c:v>
                </c:pt>
                <c:pt idx="80">
                  <c:v>17.987756355580007</c:v>
                </c:pt>
                <c:pt idx="81">
                  <c:v>12</c:v>
                </c:pt>
                <c:pt idx="82">
                  <c:v>-12</c:v>
                </c:pt>
                <c:pt idx="83">
                  <c:v>-19.642597335724307</c:v>
                </c:pt>
                <c:pt idx="84">
                  <c:v>11.666666666666668</c:v>
                </c:pt>
                <c:pt idx="85">
                  <c:v>-0.37535794962416702</c:v>
                </c:pt>
                <c:pt idx="86">
                  <c:v>19.149459663035739</c:v>
                </c:pt>
                <c:pt idx="87">
                  <c:v>12</c:v>
                </c:pt>
                <c:pt idx="88">
                  <c:v>-12</c:v>
                </c:pt>
                <c:pt idx="89">
                  <c:v>-30.376282653093735</c:v>
                </c:pt>
                <c:pt idx="90">
                  <c:v>14.000000000000002</c:v>
                </c:pt>
                <c:pt idx="91">
                  <c:v>-3.0678010204149508</c:v>
                </c:pt>
                <c:pt idx="92">
                  <c:v>26.896999319700733</c:v>
                </c:pt>
                <c:pt idx="93">
                  <c:v>12</c:v>
                </c:pt>
                <c:pt idx="94">
                  <c:v>-12</c:v>
                </c:pt>
                <c:pt idx="95">
                  <c:v>-24.879281862192261</c:v>
                </c:pt>
                <c:pt idx="96">
                  <c:v>25</c:v>
                </c:pt>
                <c:pt idx="97">
                  <c:v>5.8156608222448263</c:v>
                </c:pt>
                <c:pt idx="98">
                  <c:v>31.34962606454722</c:v>
                </c:pt>
                <c:pt idx="99">
                  <c:v>12</c:v>
                </c:pt>
                <c:pt idx="100">
                  <c:v>-12</c:v>
                </c:pt>
                <c:pt idx="101">
                  <c:v>-23.375716830330454</c:v>
                </c:pt>
                <c:pt idx="102">
                  <c:v>0</c:v>
                </c:pt>
                <c:pt idx="103">
                  <c:v>-8.9906603193697858</c:v>
                </c:pt>
                <c:pt idx="104">
                  <c:v>22.648032351271631</c:v>
                </c:pt>
                <c:pt idx="105">
                  <c:v>12</c:v>
                </c:pt>
                <c:pt idx="106">
                  <c:v>-12</c:v>
                </c:pt>
                <c:pt idx="107">
                  <c:v>-10.52880704336475</c:v>
                </c:pt>
                <c:pt idx="108">
                  <c:v>-25</c:v>
                </c:pt>
                <c:pt idx="109">
                  <c:v>-19.434156555154736</c:v>
                </c:pt>
                <c:pt idx="110">
                  <c:v>20.32293673094285</c:v>
                </c:pt>
                <c:pt idx="111">
                  <c:v>12</c:v>
                </c:pt>
                <c:pt idx="112">
                  <c:v>60</c:v>
                </c:pt>
                <c:pt idx="113">
                  <c:v>59.977621104822219</c:v>
                </c:pt>
                <c:pt idx="114">
                  <c:v>59.910498330815244</c:v>
                </c:pt>
                <c:pt idx="115">
                  <c:v>59.7986734039103</c:v>
                </c:pt>
                <c:pt idx="116">
                  <c:v>59.642215838505066</c:v>
                </c:pt>
                <c:pt idx="117">
                  <c:v>59.441222894251112</c:v>
                </c:pt>
                <c:pt idx="118">
                  <c:v>59.195819515593755</c:v>
                </c:pt>
                <c:pt idx="119">
                  <c:v>58.906158254102053</c:v>
                </c:pt>
                <c:pt idx="120">
                  <c:v>58.572419173637371</c:v>
                </c:pt>
                <c:pt idx="121">
                  <c:v>58.19480973841911</c:v>
                </c:pt>
                <c:pt idx="122">
                  <c:v>57.77356468405749</c:v>
                </c:pt>
                <c:pt idx="123">
                  <c:v>57.308945871633512</c:v>
                </c:pt>
                <c:pt idx="124">
                  <c:v>56.801242124916655</c:v>
                </c:pt>
                <c:pt idx="125">
                  <c:v>56.250769050821617</c:v>
                </c:pt>
                <c:pt idx="126">
                  <c:v>55.657868843215709</c:v>
                </c:pt>
                <c:pt idx="127">
                  <c:v>55.022910070198847</c:v>
                </c:pt>
                <c:pt idx="128">
                  <c:v>54.346287444988349</c:v>
                </c:pt>
                <c:pt idx="129">
                  <c:v>53.628421580551006</c:v>
                </c:pt>
                <c:pt idx="130">
                  <c:v>52.869758728134926</c:v>
                </c:pt>
                <c:pt idx="131">
                  <c:v>52.070770499863713</c:v>
                </c:pt>
                <c:pt idx="132">
                  <c:v>51.231953575565385</c:v>
                </c:pt>
                <c:pt idx="133">
                  <c:v>50.353829394018334</c:v>
                </c:pt>
                <c:pt idx="134">
                  <c:v>49.436943828806236</c:v>
                </c:pt>
                <c:pt idx="135">
                  <c:v>48.481866848983351</c:v>
                </c:pt>
                <c:pt idx="136">
                  <c:v>47.489192164761299</c:v>
                </c:pt>
                <c:pt idx="137">
                  <c:v>46.45953685843741</c:v>
                </c:pt>
                <c:pt idx="138">
                  <c:v>45.39354100079418</c:v>
                </c:pt>
                <c:pt idx="139">
                  <c:v>44.29186725320821</c:v>
                </c:pt>
                <c:pt idx="140">
                  <c:v>43.155200455716098</c:v>
                </c:pt>
                <c:pt idx="141">
                  <c:v>41.984247201293201</c:v>
                </c:pt>
                <c:pt idx="142">
                  <c:v>40.779735396610057</c:v>
                </c:pt>
                <c:pt idx="143">
                  <c:v>39.542413809539362</c:v>
                </c:pt>
                <c:pt idx="144">
                  <c:v>38.27305160369496</c:v>
                </c:pt>
                <c:pt idx="145">
                  <c:v>36.97243786029204</c:v>
                </c:pt>
                <c:pt idx="146">
                  <c:v>35.641381087625909</c:v>
                </c:pt>
                <c:pt idx="147">
                  <c:v>34.280708718474088</c:v>
                </c:pt>
                <c:pt idx="148">
                  <c:v>32.891266595734379</c:v>
                </c:pt>
                <c:pt idx="149">
                  <c:v>31.473918446618441</c:v>
                </c:pt>
                <c:pt idx="150">
                  <c:v>30.029545345727961</c:v>
                </c:pt>
                <c:pt idx="151">
                  <c:v>28.559045167346859</c:v>
                </c:pt>
                <c:pt idx="152">
                  <c:v>27.063332027290457</c:v>
                </c:pt>
                <c:pt idx="153">
                  <c:v>25.54333571465812</c:v>
                </c:pt>
                <c:pt idx="154">
                  <c:v>24.00000111384292</c:v>
                </c:pt>
                <c:pt idx="155">
                  <c:v>22.434287617157558</c:v>
                </c:pt>
                <c:pt idx="156">
                  <c:v>20.847168528441451</c:v>
                </c:pt>
                <c:pt idx="157">
                  <c:v>19.239630458020226</c:v>
                </c:pt>
                <c:pt idx="158">
                  <c:v>17.612672709393095</c:v>
                </c:pt>
                <c:pt idx="159">
                  <c:v>15.967306658029923</c:v>
                </c:pt>
                <c:pt idx="160">
                  <c:v>14.304555122663807</c:v>
                </c:pt>
                <c:pt idx="161">
                  <c:v>12.625451729470267</c:v>
                </c:pt>
                <c:pt idx="162">
                  <c:v>10.931040269527855</c:v>
                </c:pt>
                <c:pt idx="163">
                  <c:v>9.2223740499601874</c:v>
                </c:pt>
                <c:pt idx="164">
                  <c:v>7.50051523916229</c:v>
                </c:pt>
                <c:pt idx="165">
                  <c:v>5.7665342065185783</c:v>
                </c:pt>
                <c:pt idx="166">
                  <c:v>4.0215088570226385</c:v>
                </c:pt>
                <c:pt idx="167">
                  <c:v>2.2665239612127621</c:v>
                </c:pt>
                <c:pt idx="168">
                  <c:v>0.50267048083958699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2.8515696384297637</c:v>
                </c:pt>
                <c:pt idx="177">
                  <c:v>1.9753111994832171</c:v>
                </c:pt>
                <c:pt idx="178">
                  <c:v>0.92563316887902047</c:v>
                </c:pt>
                <c:pt idx="179">
                  <c:v>-0.21601377837397351</c:v>
                </c:pt>
                <c:pt idx="180">
                  <c:v>-1.4157664759720063</c:v>
                </c:pt>
                <c:pt idx="181">
                  <c:v>-2.6556123420946562</c:v>
                </c:pt>
                <c:pt idx="182">
                  <c:v>-3.9245681685754725</c:v>
                </c:pt>
                <c:pt idx="183">
                  <c:v>-5.2153144569239593</c:v>
                </c:pt>
                <c:pt idx="184">
                  <c:v>-6.5226550874579061</c:v>
                </c:pt>
                <c:pt idx="185">
                  <c:v>-7.8427215966531474</c:v>
                </c:pt>
                <c:pt idx="186">
                  <c:v>-9.1725245020797033</c:v>
                </c:pt>
                <c:pt idx="187">
                  <c:v>-10.509682805443534</c:v>
                </c:pt>
                <c:pt idx="188">
                  <c:v>-11.852251962601201</c:v>
                </c:pt>
                <c:pt idx="189">
                  <c:v>-13.198609507350314</c:v>
                </c:pt>
                <c:pt idx="190">
                  <c:v>-14.547376030315508</c:v>
                </c:pt>
                <c:pt idx="191">
                  <c:v>-15.897358663204308</c:v>
                </c:pt>
                <c:pt idx="192">
                  <c:v>-17.247509325359044</c:v>
                </c:pt>
                <c:pt idx="193">
                  <c:v>-18.596892885306229</c:v>
                </c:pt>
                <c:pt idx="194">
                  <c:v>-19.944662101015112</c:v>
                </c:pt>
                <c:pt idx="195">
                  <c:v>-21.290037250525245</c:v>
                </c:pt>
                <c:pt idx="196">
                  <c:v>-22.632289027455251</c:v>
                </c:pt>
                <c:pt idx="197">
                  <c:v>-23.97072370792359</c:v>
                </c:pt>
                <c:pt idx="198">
                  <c:v>-25.30466988534544</c:v>
                </c:pt>
                <c:pt idx="199">
                  <c:v>-26.633466270137497</c:v>
                </c:pt>
                <c:pt idx="200">
                  <c:v>-27.956450194805811</c:v>
                </c:pt>
                <c:pt idx="201">
                  <c:v>-29.272946571435931</c:v>
                </c:pt>
                <c:pt idx="202">
                  <c:v>-30.582257131227855</c:v>
                </c:pt>
                <c:pt idx="203">
                  <c:v>-31.883649842884822</c:v>
                </c:pt>
                <c:pt idx="204">
                  <c:v>-33.176348463939625</c:v>
                </c:pt>
                <c:pt idx="205">
                  <c:v>-34.459522230103559</c:v>
                </c:pt>
                <c:pt idx="206">
                  <c:v>-35.732275734705851</c:v>
                </c:pt>
                <c:pt idx="207">
                  <c:v>-36.99363909448315</c:v>
                </c:pt>
                <c:pt idx="208">
                  <c:v>-38.242558539797471</c:v>
                </c:pt>
                <c:pt idx="209">
                  <c:v>-39.477887606536221</c:v>
                </c:pt>
                <c:pt idx="210">
                  <c:v>-40.698379142616446</c:v>
                </c:pt>
                <c:pt idx="211">
                  <c:v>-41.902678372794895</c:v>
                </c:pt>
                <c:pt idx="212">
                  <c:v>-43.089317289558807</c:v>
                </c:pt>
                <c:pt idx="213">
                  <c:v>-44.25671065311036</c:v>
                </c:pt>
                <c:pt idx="214">
                  <c:v>-45.403153887555582</c:v>
                </c:pt>
                <c:pt idx="215">
                  <c:v>-46.526823151096757</c:v>
                </c:pt>
                <c:pt idx="216">
                  <c:v>-47.625777833297384</c:v>
                </c:pt>
                <c:pt idx="217">
                  <c:v>-48.697965690882285</c:v>
                </c:pt>
                <c:pt idx="218">
                  <c:v>-49.741230774414589</c:v>
                </c:pt>
                <c:pt idx="219">
                  <c:v>-50.753324222038465</c:v>
                </c:pt>
                <c:pt idx="220">
                  <c:v>-51.731917905092047</c:v>
                </c:pt>
                <c:pt idx="221">
                  <c:v>-52.674620807053785</c:v>
                </c:pt>
                <c:pt idx="222">
                  <c:v>-53.578997906712083</c:v>
                </c:pt>
                <c:pt idx="223">
                  <c:v>-54.442591224662408</c:v>
                </c:pt>
                <c:pt idx="224">
                  <c:v>-55.262942586197084</c:v>
                </c:pt>
                <c:pt idx="225">
                  <c:v>-56.037617560739605</c:v>
                </c:pt>
                <c:pt idx="226">
                  <c:v>-56.764229965340405</c:v>
                </c:pt>
                <c:pt idx="227">
                  <c:v>-57.440466273599569</c:v>
                </c:pt>
                <c:pt idx="228">
                  <c:v>-58.064109256288212</c:v>
                </c:pt>
                <c:pt idx="229">
                  <c:v>-58.633060198267984</c:v>
                </c:pt>
                <c:pt idx="230">
                  <c:v>-59.145359087855262</c:v>
                </c:pt>
                <c:pt idx="231">
                  <c:v>-59.599202256688159</c:v>
                </c:pt>
                <c:pt idx="232">
                  <c:v>-59.992957055132891</c:v>
                </c:pt>
                <c:pt idx="233">
                  <c:v>-60.325173273076174</c:v>
                </c:pt>
                <c:pt idx="234">
                  <c:v>-60.594591150128096</c:v>
                </c:pt>
                <c:pt idx="235">
                  <c:v>-60.800145953957085</c:v>
                </c:pt>
                <c:pt idx="236">
                  <c:v>-60.940969232303956</c:v>
                </c:pt>
                <c:pt idx="237">
                  <c:v>-61.016386955989681</c:v>
                </c:pt>
                <c:pt idx="238">
                  <c:v>-61.025914861512376</c:v>
                </c:pt>
                <c:pt idx="239">
                  <c:v>-60.969251369261414</c:v>
                </c:pt>
              </c:numCache>
            </c:numRef>
          </c:xVal>
          <c:yVal>
            <c:numRef>
              <c:f>CALC60!$BU$6:$BU$581</c:f>
              <c:numCache>
                <c:formatCode>General</c:formatCode>
                <c:ptCount val="576"/>
              </c:numCache>
            </c:numRef>
          </c:yVal>
          <c:smooth val="0"/>
        </c:ser>
        <c:ser>
          <c:idx val="22"/>
          <c:order val="22"/>
          <c:tx>
            <c:strRef>
              <c:f>CALC60!$BV$5</c:f>
              <c:strCache>
                <c:ptCount val="1"/>
                <c:pt idx="0">
                  <c:v>R21</c:v>
                </c:pt>
              </c:strCache>
            </c:strRef>
          </c:tx>
          <c:xVal>
            <c:numRef>
              <c:f>CALC60!$AY$6:$AY$581</c:f>
              <c:numCache>
                <c:formatCode>General</c:formatCode>
                <c:ptCount val="576"/>
                <c:pt idx="0">
                  <c:v>-19.833506546880365</c:v>
                </c:pt>
                <c:pt idx="1">
                  <c:v>-18.245852614565919</c:v>
                </c:pt>
                <c:pt idx="2">
                  <c:v>-16.629666681765414</c:v>
                </c:pt>
                <c:pt idx="3">
                  <c:v>-14.98231154257417</c:v>
                </c:pt>
                <c:pt idx="4">
                  <c:v>-13.301143585556035</c:v>
                </c:pt>
                <c:pt idx="5">
                  <c:v>-11.583569246398675</c:v>
                </c:pt>
                <c:pt idx="6">
                  <c:v>-9.8270793278644781</c:v>
                </c:pt>
                <c:pt idx="7">
                  <c:v>-8.029252658232803</c:v>
                </c:pt>
                <c:pt idx="8">
                  <c:v>-6.1877185053343773</c:v>
                </c:pt>
                <c:pt idx="9">
                  <c:v>-4.3000630515963358</c:v>
                </c:pt>
                <c:pt idx="10">
                  <c:v>-2.3636564525099644</c:v>
                </c:pt>
                <c:pt idx="11">
                  <c:v>-0.37535794962416702</c:v>
                </c:pt>
                <c:pt idx="12">
                  <c:v>-3.0678010204149508</c:v>
                </c:pt>
                <c:pt idx="13">
                  <c:v>5.8156608222448263</c:v>
                </c:pt>
                <c:pt idx="14">
                  <c:v>-8.9906603193697858</c:v>
                </c:pt>
                <c:pt idx="15">
                  <c:v>-19.434156555154736</c:v>
                </c:pt>
                <c:pt idx="16">
                  <c:v>-12</c:v>
                </c:pt>
                <c:pt idx="17">
                  <c:v>-29.167117021908272</c:v>
                </c:pt>
                <c:pt idx="18">
                  <c:v>-14</c:v>
                </c:pt>
                <c:pt idx="19">
                  <c:v>-19.833506546880365</c:v>
                </c:pt>
                <c:pt idx="20">
                  <c:v>1.5130248501190131</c:v>
                </c:pt>
                <c:pt idx="21">
                  <c:v>12</c:v>
                </c:pt>
                <c:pt idx="22">
                  <c:v>-12</c:v>
                </c:pt>
                <c:pt idx="23">
                  <c:v>-28.772550131225248</c:v>
                </c:pt>
                <c:pt idx="24">
                  <c:v>-11.666666666666666</c:v>
                </c:pt>
                <c:pt idx="25">
                  <c:v>-18.245852614565919</c:v>
                </c:pt>
                <c:pt idx="26">
                  <c:v>4.3925078710812571</c:v>
                </c:pt>
                <c:pt idx="27">
                  <c:v>12</c:v>
                </c:pt>
                <c:pt idx="28">
                  <c:v>-12</c:v>
                </c:pt>
                <c:pt idx="29">
                  <c:v>-28.303800039278563</c:v>
                </c:pt>
                <c:pt idx="30">
                  <c:v>-9.3333333333333321</c:v>
                </c:pt>
                <c:pt idx="31">
                  <c:v>-16.629666681765414</c:v>
                </c:pt>
                <c:pt idx="32">
                  <c:v>6.4527131206909987</c:v>
                </c:pt>
                <c:pt idx="33">
                  <c:v>12</c:v>
                </c:pt>
                <c:pt idx="34">
                  <c:v>-12</c:v>
                </c:pt>
                <c:pt idx="35">
                  <c:v>-27.754010010716058</c:v>
                </c:pt>
                <c:pt idx="36">
                  <c:v>-6.9999999999999982</c:v>
                </c:pt>
                <c:pt idx="37">
                  <c:v>-14.98231154257417</c:v>
                </c:pt>
                <c:pt idx="38">
                  <c:v>8.2375052570320868</c:v>
                </c:pt>
                <c:pt idx="39">
                  <c:v>12</c:v>
                </c:pt>
                <c:pt idx="40">
                  <c:v>-12</c:v>
                </c:pt>
                <c:pt idx="41">
                  <c:v>-27.116306655803694</c:v>
                </c:pt>
                <c:pt idx="42">
                  <c:v>-4.6666666666666643</c:v>
                </c:pt>
                <c:pt idx="43">
                  <c:v>-13.301143585556035</c:v>
                </c:pt>
                <c:pt idx="44">
                  <c:v>9.8664661885771885</c:v>
                </c:pt>
                <c:pt idx="45">
                  <c:v>12</c:v>
                </c:pt>
                <c:pt idx="46">
                  <c:v>-12</c:v>
                </c:pt>
                <c:pt idx="47">
                  <c:v>-26.383946707329393</c:v>
                </c:pt>
                <c:pt idx="48">
                  <c:v>-2.3333333333333308</c:v>
                </c:pt>
                <c:pt idx="49">
                  <c:v>-11.583569246398675</c:v>
                </c:pt>
                <c:pt idx="50">
                  <c:v>11.388844623449907</c:v>
                </c:pt>
                <c:pt idx="51">
                  <c:v>12</c:v>
                </c:pt>
                <c:pt idx="52">
                  <c:v>-12</c:v>
                </c:pt>
                <c:pt idx="53">
                  <c:v>-25.550406252475348</c:v>
                </c:pt>
                <c:pt idx="54">
                  <c:v>0</c:v>
                </c:pt>
                <c:pt idx="55">
                  <c:v>-9.8270793278644781</c:v>
                </c:pt>
                <c:pt idx="56">
                  <c:v>12.829698097369761</c:v>
                </c:pt>
                <c:pt idx="57">
                  <c:v>12</c:v>
                </c:pt>
                <c:pt idx="58">
                  <c:v>-12</c:v>
                </c:pt>
                <c:pt idx="59">
                  <c:v>-24.609390244767855</c:v>
                </c:pt>
                <c:pt idx="60">
                  <c:v>2.3333333333333335</c:v>
                </c:pt>
                <c:pt idx="61">
                  <c:v>-8.029252658232803</c:v>
                </c:pt>
                <c:pt idx="62">
                  <c:v>14.203132463376605</c:v>
                </c:pt>
                <c:pt idx="63">
                  <c:v>12</c:v>
                </c:pt>
                <c:pt idx="64">
                  <c:v>-12</c:v>
                </c:pt>
                <c:pt idx="65">
                  <c:v>-23.554734780566797</c:v>
                </c:pt>
                <c:pt idx="66">
                  <c:v>4.666666666666667</c:v>
                </c:pt>
                <c:pt idx="67">
                  <c:v>-6.1877185053343773</c:v>
                </c:pt>
                <c:pt idx="68">
                  <c:v>15.517506829265256</c:v>
                </c:pt>
                <c:pt idx="69">
                  <c:v>12</c:v>
                </c:pt>
                <c:pt idx="70">
                  <c:v>-12</c:v>
                </c:pt>
                <c:pt idx="71">
                  <c:v>-22.380163934182676</c:v>
                </c:pt>
                <c:pt idx="72">
                  <c:v>7</c:v>
                </c:pt>
                <c:pt idx="73">
                  <c:v>-4.3000630515963358</c:v>
                </c:pt>
                <c:pt idx="74">
                  <c:v>16.777941702150098</c:v>
                </c:pt>
                <c:pt idx="75">
                  <c:v>12</c:v>
                </c:pt>
                <c:pt idx="76">
                  <c:v>-12</c:v>
                </c:pt>
                <c:pt idx="77">
                  <c:v>-21.078840109892809</c:v>
                </c:pt>
                <c:pt idx="78">
                  <c:v>9.3333333333333339</c:v>
                </c:pt>
                <c:pt idx="79">
                  <c:v>-2.3636564525099644</c:v>
                </c:pt>
                <c:pt idx="80">
                  <c:v>17.987756355580007</c:v>
                </c:pt>
                <c:pt idx="81">
                  <c:v>12</c:v>
                </c:pt>
                <c:pt idx="82">
                  <c:v>-12</c:v>
                </c:pt>
                <c:pt idx="83">
                  <c:v>-19.642597335724307</c:v>
                </c:pt>
                <c:pt idx="84">
                  <c:v>11.666666666666668</c:v>
                </c:pt>
                <c:pt idx="85">
                  <c:v>-0.37535794962416702</c:v>
                </c:pt>
                <c:pt idx="86">
                  <c:v>19.149459663035739</c:v>
                </c:pt>
                <c:pt idx="87">
                  <c:v>12</c:v>
                </c:pt>
                <c:pt idx="88">
                  <c:v>-12</c:v>
                </c:pt>
                <c:pt idx="89">
                  <c:v>-30.376282653093735</c:v>
                </c:pt>
                <c:pt idx="90">
                  <c:v>14.000000000000002</c:v>
                </c:pt>
                <c:pt idx="91">
                  <c:v>-3.0678010204149508</c:v>
                </c:pt>
                <c:pt idx="92">
                  <c:v>26.896999319700733</c:v>
                </c:pt>
                <c:pt idx="93">
                  <c:v>12</c:v>
                </c:pt>
                <c:pt idx="94">
                  <c:v>-12</c:v>
                </c:pt>
                <c:pt idx="95">
                  <c:v>-24.879281862192261</c:v>
                </c:pt>
                <c:pt idx="96">
                  <c:v>25</c:v>
                </c:pt>
                <c:pt idx="97">
                  <c:v>5.8156608222448263</c:v>
                </c:pt>
                <c:pt idx="98">
                  <c:v>31.34962606454722</c:v>
                </c:pt>
                <c:pt idx="99">
                  <c:v>12</c:v>
                </c:pt>
                <c:pt idx="100">
                  <c:v>-12</c:v>
                </c:pt>
                <c:pt idx="101">
                  <c:v>-23.375716830330454</c:v>
                </c:pt>
                <c:pt idx="102">
                  <c:v>0</c:v>
                </c:pt>
                <c:pt idx="103">
                  <c:v>-8.9906603193697858</c:v>
                </c:pt>
                <c:pt idx="104">
                  <c:v>22.648032351271631</c:v>
                </c:pt>
                <c:pt idx="105">
                  <c:v>12</c:v>
                </c:pt>
                <c:pt idx="106">
                  <c:v>-12</c:v>
                </c:pt>
                <c:pt idx="107">
                  <c:v>-10.52880704336475</c:v>
                </c:pt>
                <c:pt idx="108">
                  <c:v>-25</c:v>
                </c:pt>
                <c:pt idx="109">
                  <c:v>-19.434156555154736</c:v>
                </c:pt>
                <c:pt idx="110">
                  <c:v>20.32293673094285</c:v>
                </c:pt>
                <c:pt idx="111">
                  <c:v>12</c:v>
                </c:pt>
                <c:pt idx="112">
                  <c:v>60</c:v>
                </c:pt>
                <c:pt idx="113">
                  <c:v>59.977621104822219</c:v>
                </c:pt>
                <c:pt idx="114">
                  <c:v>59.910498330815244</c:v>
                </c:pt>
                <c:pt idx="115">
                  <c:v>59.7986734039103</c:v>
                </c:pt>
                <c:pt idx="116">
                  <c:v>59.642215838505066</c:v>
                </c:pt>
                <c:pt idx="117">
                  <c:v>59.441222894251112</c:v>
                </c:pt>
                <c:pt idx="118">
                  <c:v>59.195819515593755</c:v>
                </c:pt>
                <c:pt idx="119">
                  <c:v>58.906158254102053</c:v>
                </c:pt>
                <c:pt idx="120">
                  <c:v>58.572419173637371</c:v>
                </c:pt>
                <c:pt idx="121">
                  <c:v>58.19480973841911</c:v>
                </c:pt>
                <c:pt idx="122">
                  <c:v>57.77356468405749</c:v>
                </c:pt>
                <c:pt idx="123">
                  <c:v>57.308945871633512</c:v>
                </c:pt>
                <c:pt idx="124">
                  <c:v>56.801242124916655</c:v>
                </c:pt>
                <c:pt idx="125">
                  <c:v>56.250769050821617</c:v>
                </c:pt>
                <c:pt idx="126">
                  <c:v>55.657868843215709</c:v>
                </c:pt>
                <c:pt idx="127">
                  <c:v>55.022910070198847</c:v>
                </c:pt>
                <c:pt idx="128">
                  <c:v>54.346287444988349</c:v>
                </c:pt>
                <c:pt idx="129">
                  <c:v>53.628421580551006</c:v>
                </c:pt>
                <c:pt idx="130">
                  <c:v>52.869758728134926</c:v>
                </c:pt>
                <c:pt idx="131">
                  <c:v>52.070770499863713</c:v>
                </c:pt>
                <c:pt idx="132">
                  <c:v>51.231953575565385</c:v>
                </c:pt>
                <c:pt idx="133">
                  <c:v>50.353829394018334</c:v>
                </c:pt>
                <c:pt idx="134">
                  <c:v>49.436943828806236</c:v>
                </c:pt>
                <c:pt idx="135">
                  <c:v>48.481866848983351</c:v>
                </c:pt>
                <c:pt idx="136">
                  <c:v>47.489192164761299</c:v>
                </c:pt>
                <c:pt idx="137">
                  <c:v>46.45953685843741</c:v>
                </c:pt>
                <c:pt idx="138">
                  <c:v>45.39354100079418</c:v>
                </c:pt>
                <c:pt idx="139">
                  <c:v>44.29186725320821</c:v>
                </c:pt>
                <c:pt idx="140">
                  <c:v>43.155200455716098</c:v>
                </c:pt>
                <c:pt idx="141">
                  <c:v>41.984247201293201</c:v>
                </c:pt>
                <c:pt idx="142">
                  <c:v>40.779735396610057</c:v>
                </c:pt>
                <c:pt idx="143">
                  <c:v>39.542413809539362</c:v>
                </c:pt>
                <c:pt idx="144">
                  <c:v>38.27305160369496</c:v>
                </c:pt>
                <c:pt idx="145">
                  <c:v>36.97243786029204</c:v>
                </c:pt>
                <c:pt idx="146">
                  <c:v>35.641381087625909</c:v>
                </c:pt>
                <c:pt idx="147">
                  <c:v>34.280708718474088</c:v>
                </c:pt>
                <c:pt idx="148">
                  <c:v>32.891266595734379</c:v>
                </c:pt>
                <c:pt idx="149">
                  <c:v>31.473918446618441</c:v>
                </c:pt>
                <c:pt idx="150">
                  <c:v>30.029545345727961</c:v>
                </c:pt>
                <c:pt idx="151">
                  <c:v>28.559045167346859</c:v>
                </c:pt>
                <c:pt idx="152">
                  <c:v>27.063332027290457</c:v>
                </c:pt>
                <c:pt idx="153">
                  <c:v>25.54333571465812</c:v>
                </c:pt>
                <c:pt idx="154">
                  <c:v>24.00000111384292</c:v>
                </c:pt>
                <c:pt idx="155">
                  <c:v>22.434287617157558</c:v>
                </c:pt>
                <c:pt idx="156">
                  <c:v>20.847168528441451</c:v>
                </c:pt>
                <c:pt idx="157">
                  <c:v>19.239630458020226</c:v>
                </c:pt>
                <c:pt idx="158">
                  <c:v>17.612672709393095</c:v>
                </c:pt>
                <c:pt idx="159">
                  <c:v>15.967306658029923</c:v>
                </c:pt>
                <c:pt idx="160">
                  <c:v>14.304555122663807</c:v>
                </c:pt>
                <c:pt idx="161">
                  <c:v>12.625451729470267</c:v>
                </c:pt>
                <c:pt idx="162">
                  <c:v>10.931040269527855</c:v>
                </c:pt>
                <c:pt idx="163">
                  <c:v>9.2223740499601874</c:v>
                </c:pt>
                <c:pt idx="164">
                  <c:v>7.50051523916229</c:v>
                </c:pt>
                <c:pt idx="165">
                  <c:v>5.7665342065185783</c:v>
                </c:pt>
                <c:pt idx="166">
                  <c:v>4.0215088570226385</c:v>
                </c:pt>
                <c:pt idx="167">
                  <c:v>2.2665239612127621</c:v>
                </c:pt>
                <c:pt idx="168">
                  <c:v>0.50267048083958699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2.8515696384297637</c:v>
                </c:pt>
                <c:pt idx="177">
                  <c:v>1.9753111994832171</c:v>
                </c:pt>
                <c:pt idx="178">
                  <c:v>0.92563316887902047</c:v>
                </c:pt>
                <c:pt idx="179">
                  <c:v>-0.21601377837397351</c:v>
                </c:pt>
                <c:pt idx="180">
                  <c:v>-1.4157664759720063</c:v>
                </c:pt>
                <c:pt idx="181">
                  <c:v>-2.6556123420946562</c:v>
                </c:pt>
                <c:pt idx="182">
                  <c:v>-3.9245681685754725</c:v>
                </c:pt>
                <c:pt idx="183">
                  <c:v>-5.2153144569239593</c:v>
                </c:pt>
                <c:pt idx="184">
                  <c:v>-6.5226550874579061</c:v>
                </c:pt>
                <c:pt idx="185">
                  <c:v>-7.8427215966531474</c:v>
                </c:pt>
                <c:pt idx="186">
                  <c:v>-9.1725245020797033</c:v>
                </c:pt>
                <c:pt idx="187">
                  <c:v>-10.509682805443534</c:v>
                </c:pt>
                <c:pt idx="188">
                  <c:v>-11.852251962601201</c:v>
                </c:pt>
                <c:pt idx="189">
                  <c:v>-13.198609507350314</c:v>
                </c:pt>
                <c:pt idx="190">
                  <c:v>-14.547376030315508</c:v>
                </c:pt>
                <c:pt idx="191">
                  <c:v>-15.897358663204308</c:v>
                </c:pt>
                <c:pt idx="192">
                  <c:v>-17.247509325359044</c:v>
                </c:pt>
                <c:pt idx="193">
                  <c:v>-18.596892885306229</c:v>
                </c:pt>
                <c:pt idx="194">
                  <c:v>-19.944662101015112</c:v>
                </c:pt>
                <c:pt idx="195">
                  <c:v>-21.290037250525245</c:v>
                </c:pt>
                <c:pt idx="196">
                  <c:v>-22.632289027455251</c:v>
                </c:pt>
                <c:pt idx="197">
                  <c:v>-23.97072370792359</c:v>
                </c:pt>
                <c:pt idx="198">
                  <c:v>-25.30466988534544</c:v>
                </c:pt>
                <c:pt idx="199">
                  <c:v>-26.633466270137497</c:v>
                </c:pt>
                <c:pt idx="200">
                  <c:v>-27.956450194805811</c:v>
                </c:pt>
                <c:pt idx="201">
                  <c:v>-29.272946571435931</c:v>
                </c:pt>
                <c:pt idx="202">
                  <c:v>-30.582257131227855</c:v>
                </c:pt>
                <c:pt idx="203">
                  <c:v>-31.883649842884822</c:v>
                </c:pt>
                <c:pt idx="204">
                  <c:v>-33.176348463939625</c:v>
                </c:pt>
                <c:pt idx="205">
                  <c:v>-34.459522230103559</c:v>
                </c:pt>
                <c:pt idx="206">
                  <c:v>-35.732275734705851</c:v>
                </c:pt>
                <c:pt idx="207">
                  <c:v>-36.99363909448315</c:v>
                </c:pt>
                <c:pt idx="208">
                  <c:v>-38.242558539797471</c:v>
                </c:pt>
                <c:pt idx="209">
                  <c:v>-39.477887606536221</c:v>
                </c:pt>
                <c:pt idx="210">
                  <c:v>-40.698379142616446</c:v>
                </c:pt>
                <c:pt idx="211">
                  <c:v>-41.902678372794895</c:v>
                </c:pt>
                <c:pt idx="212">
                  <c:v>-43.089317289558807</c:v>
                </c:pt>
                <c:pt idx="213">
                  <c:v>-44.25671065311036</c:v>
                </c:pt>
                <c:pt idx="214">
                  <c:v>-45.403153887555582</c:v>
                </c:pt>
                <c:pt idx="215">
                  <c:v>-46.526823151096757</c:v>
                </c:pt>
                <c:pt idx="216">
                  <c:v>-47.625777833297384</c:v>
                </c:pt>
                <c:pt idx="217">
                  <c:v>-48.697965690882285</c:v>
                </c:pt>
                <c:pt idx="218">
                  <c:v>-49.741230774414589</c:v>
                </c:pt>
                <c:pt idx="219">
                  <c:v>-50.753324222038465</c:v>
                </c:pt>
                <c:pt idx="220">
                  <c:v>-51.731917905092047</c:v>
                </c:pt>
                <c:pt idx="221">
                  <c:v>-52.674620807053785</c:v>
                </c:pt>
                <c:pt idx="222">
                  <c:v>-53.578997906712083</c:v>
                </c:pt>
                <c:pt idx="223">
                  <c:v>-54.442591224662408</c:v>
                </c:pt>
                <c:pt idx="224">
                  <c:v>-55.262942586197084</c:v>
                </c:pt>
                <c:pt idx="225">
                  <c:v>-56.037617560739605</c:v>
                </c:pt>
                <c:pt idx="226">
                  <c:v>-56.764229965340405</c:v>
                </c:pt>
                <c:pt idx="227">
                  <c:v>-57.440466273599569</c:v>
                </c:pt>
                <c:pt idx="228">
                  <c:v>-58.064109256288212</c:v>
                </c:pt>
                <c:pt idx="229">
                  <c:v>-58.633060198267984</c:v>
                </c:pt>
                <c:pt idx="230">
                  <c:v>-59.145359087855262</c:v>
                </c:pt>
                <c:pt idx="231">
                  <c:v>-59.599202256688159</c:v>
                </c:pt>
                <c:pt idx="232">
                  <c:v>-59.992957055132891</c:v>
                </c:pt>
                <c:pt idx="233">
                  <c:v>-60.325173273076174</c:v>
                </c:pt>
                <c:pt idx="234">
                  <c:v>-60.594591150128096</c:v>
                </c:pt>
                <c:pt idx="235">
                  <c:v>-60.800145953957085</c:v>
                </c:pt>
                <c:pt idx="236">
                  <c:v>-60.940969232303956</c:v>
                </c:pt>
                <c:pt idx="237">
                  <c:v>-61.016386955989681</c:v>
                </c:pt>
                <c:pt idx="238">
                  <c:v>-61.025914861512376</c:v>
                </c:pt>
                <c:pt idx="239">
                  <c:v>-60.969251369261414</c:v>
                </c:pt>
              </c:numCache>
            </c:numRef>
          </c:xVal>
          <c:yVal>
            <c:numRef>
              <c:f>CALC60!$BV$6:$BV$581</c:f>
              <c:numCache>
                <c:formatCode>General</c:formatCode>
                <c:ptCount val="576"/>
              </c:numCache>
            </c:numRef>
          </c:yVal>
          <c:smooth val="0"/>
        </c:ser>
        <c:ser>
          <c:idx val="23"/>
          <c:order val="23"/>
          <c:tx>
            <c:strRef>
              <c:f>CALC60!$BW$5</c:f>
              <c:strCache>
                <c:ptCount val="1"/>
                <c:pt idx="0">
                  <c:v>R22</c:v>
                </c:pt>
              </c:strCache>
            </c:strRef>
          </c:tx>
          <c:xVal>
            <c:numRef>
              <c:f>CALC60!$AY$6:$AY$581</c:f>
              <c:numCache>
                <c:formatCode>General</c:formatCode>
                <c:ptCount val="576"/>
                <c:pt idx="0">
                  <c:v>-19.833506546880365</c:v>
                </c:pt>
                <c:pt idx="1">
                  <c:v>-18.245852614565919</c:v>
                </c:pt>
                <c:pt idx="2">
                  <c:v>-16.629666681765414</c:v>
                </c:pt>
                <c:pt idx="3">
                  <c:v>-14.98231154257417</c:v>
                </c:pt>
                <c:pt idx="4">
                  <c:v>-13.301143585556035</c:v>
                </c:pt>
                <c:pt idx="5">
                  <c:v>-11.583569246398675</c:v>
                </c:pt>
                <c:pt idx="6">
                  <c:v>-9.8270793278644781</c:v>
                </c:pt>
                <c:pt idx="7">
                  <c:v>-8.029252658232803</c:v>
                </c:pt>
                <c:pt idx="8">
                  <c:v>-6.1877185053343773</c:v>
                </c:pt>
                <c:pt idx="9">
                  <c:v>-4.3000630515963358</c:v>
                </c:pt>
                <c:pt idx="10">
                  <c:v>-2.3636564525099644</c:v>
                </c:pt>
                <c:pt idx="11">
                  <c:v>-0.37535794962416702</c:v>
                </c:pt>
                <c:pt idx="12">
                  <c:v>-3.0678010204149508</c:v>
                </c:pt>
                <c:pt idx="13">
                  <c:v>5.8156608222448263</c:v>
                </c:pt>
                <c:pt idx="14">
                  <c:v>-8.9906603193697858</c:v>
                </c:pt>
                <c:pt idx="15">
                  <c:v>-19.434156555154736</c:v>
                </c:pt>
                <c:pt idx="16">
                  <c:v>-12</c:v>
                </c:pt>
                <c:pt idx="17">
                  <c:v>-29.167117021908272</c:v>
                </c:pt>
                <c:pt idx="18">
                  <c:v>-14</c:v>
                </c:pt>
                <c:pt idx="19">
                  <c:v>-19.833506546880365</c:v>
                </c:pt>
                <c:pt idx="20">
                  <c:v>1.5130248501190131</c:v>
                </c:pt>
                <c:pt idx="21">
                  <c:v>12</c:v>
                </c:pt>
                <c:pt idx="22">
                  <c:v>-12</c:v>
                </c:pt>
                <c:pt idx="23">
                  <c:v>-28.772550131225248</c:v>
                </c:pt>
                <c:pt idx="24">
                  <c:v>-11.666666666666666</c:v>
                </c:pt>
                <c:pt idx="25">
                  <c:v>-18.245852614565919</c:v>
                </c:pt>
                <c:pt idx="26">
                  <c:v>4.3925078710812571</c:v>
                </c:pt>
                <c:pt idx="27">
                  <c:v>12</c:v>
                </c:pt>
                <c:pt idx="28">
                  <c:v>-12</c:v>
                </c:pt>
                <c:pt idx="29">
                  <c:v>-28.303800039278563</c:v>
                </c:pt>
                <c:pt idx="30">
                  <c:v>-9.3333333333333321</c:v>
                </c:pt>
                <c:pt idx="31">
                  <c:v>-16.629666681765414</c:v>
                </c:pt>
                <c:pt idx="32">
                  <c:v>6.4527131206909987</c:v>
                </c:pt>
                <c:pt idx="33">
                  <c:v>12</c:v>
                </c:pt>
                <c:pt idx="34">
                  <c:v>-12</c:v>
                </c:pt>
                <c:pt idx="35">
                  <c:v>-27.754010010716058</c:v>
                </c:pt>
                <c:pt idx="36">
                  <c:v>-6.9999999999999982</c:v>
                </c:pt>
                <c:pt idx="37">
                  <c:v>-14.98231154257417</c:v>
                </c:pt>
                <c:pt idx="38">
                  <c:v>8.2375052570320868</c:v>
                </c:pt>
                <c:pt idx="39">
                  <c:v>12</c:v>
                </c:pt>
                <c:pt idx="40">
                  <c:v>-12</c:v>
                </c:pt>
                <c:pt idx="41">
                  <c:v>-27.116306655803694</c:v>
                </c:pt>
                <c:pt idx="42">
                  <c:v>-4.6666666666666643</c:v>
                </c:pt>
                <c:pt idx="43">
                  <c:v>-13.301143585556035</c:v>
                </c:pt>
                <c:pt idx="44">
                  <c:v>9.8664661885771885</c:v>
                </c:pt>
                <c:pt idx="45">
                  <c:v>12</c:v>
                </c:pt>
                <c:pt idx="46">
                  <c:v>-12</c:v>
                </c:pt>
                <c:pt idx="47">
                  <c:v>-26.383946707329393</c:v>
                </c:pt>
                <c:pt idx="48">
                  <c:v>-2.3333333333333308</c:v>
                </c:pt>
                <c:pt idx="49">
                  <c:v>-11.583569246398675</c:v>
                </c:pt>
                <c:pt idx="50">
                  <c:v>11.388844623449907</c:v>
                </c:pt>
                <c:pt idx="51">
                  <c:v>12</c:v>
                </c:pt>
                <c:pt idx="52">
                  <c:v>-12</c:v>
                </c:pt>
                <c:pt idx="53">
                  <c:v>-25.550406252475348</c:v>
                </c:pt>
                <c:pt idx="54">
                  <c:v>0</c:v>
                </c:pt>
                <c:pt idx="55">
                  <c:v>-9.8270793278644781</c:v>
                </c:pt>
                <c:pt idx="56">
                  <c:v>12.829698097369761</c:v>
                </c:pt>
                <c:pt idx="57">
                  <c:v>12</c:v>
                </c:pt>
                <c:pt idx="58">
                  <c:v>-12</c:v>
                </c:pt>
                <c:pt idx="59">
                  <c:v>-24.609390244767855</c:v>
                </c:pt>
                <c:pt idx="60">
                  <c:v>2.3333333333333335</c:v>
                </c:pt>
                <c:pt idx="61">
                  <c:v>-8.029252658232803</c:v>
                </c:pt>
                <c:pt idx="62">
                  <c:v>14.203132463376605</c:v>
                </c:pt>
                <c:pt idx="63">
                  <c:v>12</c:v>
                </c:pt>
                <c:pt idx="64">
                  <c:v>-12</c:v>
                </c:pt>
                <c:pt idx="65">
                  <c:v>-23.554734780566797</c:v>
                </c:pt>
                <c:pt idx="66">
                  <c:v>4.666666666666667</c:v>
                </c:pt>
                <c:pt idx="67">
                  <c:v>-6.1877185053343773</c:v>
                </c:pt>
                <c:pt idx="68">
                  <c:v>15.517506829265256</c:v>
                </c:pt>
                <c:pt idx="69">
                  <c:v>12</c:v>
                </c:pt>
                <c:pt idx="70">
                  <c:v>-12</c:v>
                </c:pt>
                <c:pt idx="71">
                  <c:v>-22.380163934182676</c:v>
                </c:pt>
                <c:pt idx="72">
                  <c:v>7</c:v>
                </c:pt>
                <c:pt idx="73">
                  <c:v>-4.3000630515963358</c:v>
                </c:pt>
                <c:pt idx="74">
                  <c:v>16.777941702150098</c:v>
                </c:pt>
                <c:pt idx="75">
                  <c:v>12</c:v>
                </c:pt>
                <c:pt idx="76">
                  <c:v>-12</c:v>
                </c:pt>
                <c:pt idx="77">
                  <c:v>-21.078840109892809</c:v>
                </c:pt>
                <c:pt idx="78">
                  <c:v>9.3333333333333339</c:v>
                </c:pt>
                <c:pt idx="79">
                  <c:v>-2.3636564525099644</c:v>
                </c:pt>
                <c:pt idx="80">
                  <c:v>17.987756355580007</c:v>
                </c:pt>
                <c:pt idx="81">
                  <c:v>12</c:v>
                </c:pt>
                <c:pt idx="82">
                  <c:v>-12</c:v>
                </c:pt>
                <c:pt idx="83">
                  <c:v>-19.642597335724307</c:v>
                </c:pt>
                <c:pt idx="84">
                  <c:v>11.666666666666668</c:v>
                </c:pt>
                <c:pt idx="85">
                  <c:v>-0.37535794962416702</c:v>
                </c:pt>
                <c:pt idx="86">
                  <c:v>19.149459663035739</c:v>
                </c:pt>
                <c:pt idx="87">
                  <c:v>12</c:v>
                </c:pt>
                <c:pt idx="88">
                  <c:v>-12</c:v>
                </c:pt>
                <c:pt idx="89">
                  <c:v>-30.376282653093735</c:v>
                </c:pt>
                <c:pt idx="90">
                  <c:v>14.000000000000002</c:v>
                </c:pt>
                <c:pt idx="91">
                  <c:v>-3.0678010204149508</c:v>
                </c:pt>
                <c:pt idx="92">
                  <c:v>26.896999319700733</c:v>
                </c:pt>
                <c:pt idx="93">
                  <c:v>12</c:v>
                </c:pt>
                <c:pt idx="94">
                  <c:v>-12</c:v>
                </c:pt>
                <c:pt idx="95">
                  <c:v>-24.879281862192261</c:v>
                </c:pt>
                <c:pt idx="96">
                  <c:v>25</c:v>
                </c:pt>
                <c:pt idx="97">
                  <c:v>5.8156608222448263</c:v>
                </c:pt>
                <c:pt idx="98">
                  <c:v>31.34962606454722</c:v>
                </c:pt>
                <c:pt idx="99">
                  <c:v>12</c:v>
                </c:pt>
                <c:pt idx="100">
                  <c:v>-12</c:v>
                </c:pt>
                <c:pt idx="101">
                  <c:v>-23.375716830330454</c:v>
                </c:pt>
                <c:pt idx="102">
                  <c:v>0</c:v>
                </c:pt>
                <c:pt idx="103">
                  <c:v>-8.9906603193697858</c:v>
                </c:pt>
                <c:pt idx="104">
                  <c:v>22.648032351271631</c:v>
                </c:pt>
                <c:pt idx="105">
                  <c:v>12</c:v>
                </c:pt>
                <c:pt idx="106">
                  <c:v>-12</c:v>
                </c:pt>
                <c:pt idx="107">
                  <c:v>-10.52880704336475</c:v>
                </c:pt>
                <c:pt idx="108">
                  <c:v>-25</c:v>
                </c:pt>
                <c:pt idx="109">
                  <c:v>-19.434156555154736</c:v>
                </c:pt>
                <c:pt idx="110">
                  <c:v>20.32293673094285</c:v>
                </c:pt>
                <c:pt idx="111">
                  <c:v>12</c:v>
                </c:pt>
                <c:pt idx="112">
                  <c:v>60</c:v>
                </c:pt>
                <c:pt idx="113">
                  <c:v>59.977621104822219</c:v>
                </c:pt>
                <c:pt idx="114">
                  <c:v>59.910498330815244</c:v>
                </c:pt>
                <c:pt idx="115">
                  <c:v>59.7986734039103</c:v>
                </c:pt>
                <c:pt idx="116">
                  <c:v>59.642215838505066</c:v>
                </c:pt>
                <c:pt idx="117">
                  <c:v>59.441222894251112</c:v>
                </c:pt>
                <c:pt idx="118">
                  <c:v>59.195819515593755</c:v>
                </c:pt>
                <c:pt idx="119">
                  <c:v>58.906158254102053</c:v>
                </c:pt>
                <c:pt idx="120">
                  <c:v>58.572419173637371</c:v>
                </c:pt>
                <c:pt idx="121">
                  <c:v>58.19480973841911</c:v>
                </c:pt>
                <c:pt idx="122">
                  <c:v>57.77356468405749</c:v>
                </c:pt>
                <c:pt idx="123">
                  <c:v>57.308945871633512</c:v>
                </c:pt>
                <c:pt idx="124">
                  <c:v>56.801242124916655</c:v>
                </c:pt>
                <c:pt idx="125">
                  <c:v>56.250769050821617</c:v>
                </c:pt>
                <c:pt idx="126">
                  <c:v>55.657868843215709</c:v>
                </c:pt>
                <c:pt idx="127">
                  <c:v>55.022910070198847</c:v>
                </c:pt>
                <c:pt idx="128">
                  <c:v>54.346287444988349</c:v>
                </c:pt>
                <c:pt idx="129">
                  <c:v>53.628421580551006</c:v>
                </c:pt>
                <c:pt idx="130">
                  <c:v>52.869758728134926</c:v>
                </c:pt>
                <c:pt idx="131">
                  <c:v>52.070770499863713</c:v>
                </c:pt>
                <c:pt idx="132">
                  <c:v>51.231953575565385</c:v>
                </c:pt>
                <c:pt idx="133">
                  <c:v>50.353829394018334</c:v>
                </c:pt>
                <c:pt idx="134">
                  <c:v>49.436943828806236</c:v>
                </c:pt>
                <c:pt idx="135">
                  <c:v>48.481866848983351</c:v>
                </c:pt>
                <c:pt idx="136">
                  <c:v>47.489192164761299</c:v>
                </c:pt>
                <c:pt idx="137">
                  <c:v>46.45953685843741</c:v>
                </c:pt>
                <c:pt idx="138">
                  <c:v>45.39354100079418</c:v>
                </c:pt>
                <c:pt idx="139">
                  <c:v>44.29186725320821</c:v>
                </c:pt>
                <c:pt idx="140">
                  <c:v>43.155200455716098</c:v>
                </c:pt>
                <c:pt idx="141">
                  <c:v>41.984247201293201</c:v>
                </c:pt>
                <c:pt idx="142">
                  <c:v>40.779735396610057</c:v>
                </c:pt>
                <c:pt idx="143">
                  <c:v>39.542413809539362</c:v>
                </c:pt>
                <c:pt idx="144">
                  <c:v>38.27305160369496</c:v>
                </c:pt>
                <c:pt idx="145">
                  <c:v>36.97243786029204</c:v>
                </c:pt>
                <c:pt idx="146">
                  <c:v>35.641381087625909</c:v>
                </c:pt>
                <c:pt idx="147">
                  <c:v>34.280708718474088</c:v>
                </c:pt>
                <c:pt idx="148">
                  <c:v>32.891266595734379</c:v>
                </c:pt>
                <c:pt idx="149">
                  <c:v>31.473918446618441</c:v>
                </c:pt>
                <c:pt idx="150">
                  <c:v>30.029545345727961</c:v>
                </c:pt>
                <c:pt idx="151">
                  <c:v>28.559045167346859</c:v>
                </c:pt>
                <c:pt idx="152">
                  <c:v>27.063332027290457</c:v>
                </c:pt>
                <c:pt idx="153">
                  <c:v>25.54333571465812</c:v>
                </c:pt>
                <c:pt idx="154">
                  <c:v>24.00000111384292</c:v>
                </c:pt>
                <c:pt idx="155">
                  <c:v>22.434287617157558</c:v>
                </c:pt>
                <c:pt idx="156">
                  <c:v>20.847168528441451</c:v>
                </c:pt>
                <c:pt idx="157">
                  <c:v>19.239630458020226</c:v>
                </c:pt>
                <c:pt idx="158">
                  <c:v>17.612672709393095</c:v>
                </c:pt>
                <c:pt idx="159">
                  <c:v>15.967306658029923</c:v>
                </c:pt>
                <c:pt idx="160">
                  <c:v>14.304555122663807</c:v>
                </c:pt>
                <c:pt idx="161">
                  <c:v>12.625451729470267</c:v>
                </c:pt>
                <c:pt idx="162">
                  <c:v>10.931040269527855</c:v>
                </c:pt>
                <c:pt idx="163">
                  <c:v>9.2223740499601874</c:v>
                </c:pt>
                <c:pt idx="164">
                  <c:v>7.50051523916229</c:v>
                </c:pt>
                <c:pt idx="165">
                  <c:v>5.7665342065185783</c:v>
                </c:pt>
                <c:pt idx="166">
                  <c:v>4.0215088570226385</c:v>
                </c:pt>
                <c:pt idx="167">
                  <c:v>2.2665239612127621</c:v>
                </c:pt>
                <c:pt idx="168">
                  <c:v>0.50267048083958699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2.8515696384297637</c:v>
                </c:pt>
                <c:pt idx="177">
                  <c:v>1.9753111994832171</c:v>
                </c:pt>
                <c:pt idx="178">
                  <c:v>0.92563316887902047</c:v>
                </c:pt>
                <c:pt idx="179">
                  <c:v>-0.21601377837397351</c:v>
                </c:pt>
                <c:pt idx="180">
                  <c:v>-1.4157664759720063</c:v>
                </c:pt>
                <c:pt idx="181">
                  <c:v>-2.6556123420946562</c:v>
                </c:pt>
                <c:pt idx="182">
                  <c:v>-3.9245681685754725</c:v>
                </c:pt>
                <c:pt idx="183">
                  <c:v>-5.2153144569239593</c:v>
                </c:pt>
                <c:pt idx="184">
                  <c:v>-6.5226550874579061</c:v>
                </c:pt>
                <c:pt idx="185">
                  <c:v>-7.8427215966531474</c:v>
                </c:pt>
                <c:pt idx="186">
                  <c:v>-9.1725245020797033</c:v>
                </c:pt>
                <c:pt idx="187">
                  <c:v>-10.509682805443534</c:v>
                </c:pt>
                <c:pt idx="188">
                  <c:v>-11.852251962601201</c:v>
                </c:pt>
                <c:pt idx="189">
                  <c:v>-13.198609507350314</c:v>
                </c:pt>
                <c:pt idx="190">
                  <c:v>-14.547376030315508</c:v>
                </c:pt>
                <c:pt idx="191">
                  <c:v>-15.897358663204308</c:v>
                </c:pt>
                <c:pt idx="192">
                  <c:v>-17.247509325359044</c:v>
                </c:pt>
                <c:pt idx="193">
                  <c:v>-18.596892885306229</c:v>
                </c:pt>
                <c:pt idx="194">
                  <c:v>-19.944662101015112</c:v>
                </c:pt>
                <c:pt idx="195">
                  <c:v>-21.290037250525245</c:v>
                </c:pt>
                <c:pt idx="196">
                  <c:v>-22.632289027455251</c:v>
                </c:pt>
                <c:pt idx="197">
                  <c:v>-23.97072370792359</c:v>
                </c:pt>
                <c:pt idx="198">
                  <c:v>-25.30466988534544</c:v>
                </c:pt>
                <c:pt idx="199">
                  <c:v>-26.633466270137497</c:v>
                </c:pt>
                <c:pt idx="200">
                  <c:v>-27.956450194805811</c:v>
                </c:pt>
                <c:pt idx="201">
                  <c:v>-29.272946571435931</c:v>
                </c:pt>
                <c:pt idx="202">
                  <c:v>-30.582257131227855</c:v>
                </c:pt>
                <c:pt idx="203">
                  <c:v>-31.883649842884822</c:v>
                </c:pt>
                <c:pt idx="204">
                  <c:v>-33.176348463939625</c:v>
                </c:pt>
                <c:pt idx="205">
                  <c:v>-34.459522230103559</c:v>
                </c:pt>
                <c:pt idx="206">
                  <c:v>-35.732275734705851</c:v>
                </c:pt>
                <c:pt idx="207">
                  <c:v>-36.99363909448315</c:v>
                </c:pt>
                <c:pt idx="208">
                  <c:v>-38.242558539797471</c:v>
                </c:pt>
                <c:pt idx="209">
                  <c:v>-39.477887606536221</c:v>
                </c:pt>
                <c:pt idx="210">
                  <c:v>-40.698379142616446</c:v>
                </c:pt>
                <c:pt idx="211">
                  <c:v>-41.902678372794895</c:v>
                </c:pt>
                <c:pt idx="212">
                  <c:v>-43.089317289558807</c:v>
                </c:pt>
                <c:pt idx="213">
                  <c:v>-44.25671065311036</c:v>
                </c:pt>
                <c:pt idx="214">
                  <c:v>-45.403153887555582</c:v>
                </c:pt>
                <c:pt idx="215">
                  <c:v>-46.526823151096757</c:v>
                </c:pt>
                <c:pt idx="216">
                  <c:v>-47.625777833297384</c:v>
                </c:pt>
                <c:pt idx="217">
                  <c:v>-48.697965690882285</c:v>
                </c:pt>
                <c:pt idx="218">
                  <c:v>-49.741230774414589</c:v>
                </c:pt>
                <c:pt idx="219">
                  <c:v>-50.753324222038465</c:v>
                </c:pt>
                <c:pt idx="220">
                  <c:v>-51.731917905092047</c:v>
                </c:pt>
                <c:pt idx="221">
                  <c:v>-52.674620807053785</c:v>
                </c:pt>
                <c:pt idx="222">
                  <c:v>-53.578997906712083</c:v>
                </c:pt>
                <c:pt idx="223">
                  <c:v>-54.442591224662408</c:v>
                </c:pt>
                <c:pt idx="224">
                  <c:v>-55.262942586197084</c:v>
                </c:pt>
                <c:pt idx="225">
                  <c:v>-56.037617560739605</c:v>
                </c:pt>
                <c:pt idx="226">
                  <c:v>-56.764229965340405</c:v>
                </c:pt>
                <c:pt idx="227">
                  <c:v>-57.440466273599569</c:v>
                </c:pt>
                <c:pt idx="228">
                  <c:v>-58.064109256288212</c:v>
                </c:pt>
                <c:pt idx="229">
                  <c:v>-58.633060198267984</c:v>
                </c:pt>
                <c:pt idx="230">
                  <c:v>-59.145359087855262</c:v>
                </c:pt>
                <c:pt idx="231">
                  <c:v>-59.599202256688159</c:v>
                </c:pt>
                <c:pt idx="232">
                  <c:v>-59.992957055132891</c:v>
                </c:pt>
                <c:pt idx="233">
                  <c:v>-60.325173273076174</c:v>
                </c:pt>
                <c:pt idx="234">
                  <c:v>-60.594591150128096</c:v>
                </c:pt>
                <c:pt idx="235">
                  <c:v>-60.800145953957085</c:v>
                </c:pt>
                <c:pt idx="236">
                  <c:v>-60.940969232303956</c:v>
                </c:pt>
                <c:pt idx="237">
                  <c:v>-61.016386955989681</c:v>
                </c:pt>
                <c:pt idx="238">
                  <c:v>-61.025914861512376</c:v>
                </c:pt>
                <c:pt idx="239">
                  <c:v>-60.969251369261414</c:v>
                </c:pt>
              </c:numCache>
            </c:numRef>
          </c:xVal>
          <c:yVal>
            <c:numRef>
              <c:f>CALC60!$BW$6:$BW$581</c:f>
              <c:numCache>
                <c:formatCode>General</c:formatCode>
                <c:ptCount val="576"/>
              </c:numCache>
            </c:numRef>
          </c:yVal>
          <c:smooth val="0"/>
        </c:ser>
        <c:ser>
          <c:idx val="24"/>
          <c:order val="24"/>
          <c:tx>
            <c:strRef>
              <c:f>CALC60!$BX$5</c:f>
              <c:strCache>
                <c:ptCount val="1"/>
                <c:pt idx="0">
                  <c:v>R23</c:v>
                </c:pt>
              </c:strCache>
            </c:strRef>
          </c:tx>
          <c:xVal>
            <c:numRef>
              <c:f>CALC60!$AY$6:$AY$581</c:f>
              <c:numCache>
                <c:formatCode>General</c:formatCode>
                <c:ptCount val="576"/>
                <c:pt idx="0">
                  <c:v>-19.833506546880365</c:v>
                </c:pt>
                <c:pt idx="1">
                  <c:v>-18.245852614565919</c:v>
                </c:pt>
                <c:pt idx="2">
                  <c:v>-16.629666681765414</c:v>
                </c:pt>
                <c:pt idx="3">
                  <c:v>-14.98231154257417</c:v>
                </c:pt>
                <c:pt idx="4">
                  <c:v>-13.301143585556035</c:v>
                </c:pt>
                <c:pt idx="5">
                  <c:v>-11.583569246398675</c:v>
                </c:pt>
                <c:pt idx="6">
                  <c:v>-9.8270793278644781</c:v>
                </c:pt>
                <c:pt idx="7">
                  <c:v>-8.029252658232803</c:v>
                </c:pt>
                <c:pt idx="8">
                  <c:v>-6.1877185053343773</c:v>
                </c:pt>
                <c:pt idx="9">
                  <c:v>-4.3000630515963358</c:v>
                </c:pt>
                <c:pt idx="10">
                  <c:v>-2.3636564525099644</c:v>
                </c:pt>
                <c:pt idx="11">
                  <c:v>-0.37535794962416702</c:v>
                </c:pt>
                <c:pt idx="12">
                  <c:v>-3.0678010204149508</c:v>
                </c:pt>
                <c:pt idx="13">
                  <c:v>5.8156608222448263</c:v>
                </c:pt>
                <c:pt idx="14">
                  <c:v>-8.9906603193697858</c:v>
                </c:pt>
                <c:pt idx="15">
                  <c:v>-19.434156555154736</c:v>
                </c:pt>
                <c:pt idx="16">
                  <c:v>-12</c:v>
                </c:pt>
                <c:pt idx="17">
                  <c:v>-29.167117021908272</c:v>
                </c:pt>
                <c:pt idx="18">
                  <c:v>-14</c:v>
                </c:pt>
                <c:pt idx="19">
                  <c:v>-19.833506546880365</c:v>
                </c:pt>
                <c:pt idx="20">
                  <c:v>1.5130248501190131</c:v>
                </c:pt>
                <c:pt idx="21">
                  <c:v>12</c:v>
                </c:pt>
                <c:pt idx="22">
                  <c:v>-12</c:v>
                </c:pt>
                <c:pt idx="23">
                  <c:v>-28.772550131225248</c:v>
                </c:pt>
                <c:pt idx="24">
                  <c:v>-11.666666666666666</c:v>
                </c:pt>
                <c:pt idx="25">
                  <c:v>-18.245852614565919</c:v>
                </c:pt>
                <c:pt idx="26">
                  <c:v>4.3925078710812571</c:v>
                </c:pt>
                <c:pt idx="27">
                  <c:v>12</c:v>
                </c:pt>
                <c:pt idx="28">
                  <c:v>-12</c:v>
                </c:pt>
                <c:pt idx="29">
                  <c:v>-28.303800039278563</c:v>
                </c:pt>
                <c:pt idx="30">
                  <c:v>-9.3333333333333321</c:v>
                </c:pt>
                <c:pt idx="31">
                  <c:v>-16.629666681765414</c:v>
                </c:pt>
                <c:pt idx="32">
                  <c:v>6.4527131206909987</c:v>
                </c:pt>
                <c:pt idx="33">
                  <c:v>12</c:v>
                </c:pt>
                <c:pt idx="34">
                  <c:v>-12</c:v>
                </c:pt>
                <c:pt idx="35">
                  <c:v>-27.754010010716058</c:v>
                </c:pt>
                <c:pt idx="36">
                  <c:v>-6.9999999999999982</c:v>
                </c:pt>
                <c:pt idx="37">
                  <c:v>-14.98231154257417</c:v>
                </c:pt>
                <c:pt idx="38">
                  <c:v>8.2375052570320868</c:v>
                </c:pt>
                <c:pt idx="39">
                  <c:v>12</c:v>
                </c:pt>
                <c:pt idx="40">
                  <c:v>-12</c:v>
                </c:pt>
                <c:pt idx="41">
                  <c:v>-27.116306655803694</c:v>
                </c:pt>
                <c:pt idx="42">
                  <c:v>-4.6666666666666643</c:v>
                </c:pt>
                <c:pt idx="43">
                  <c:v>-13.301143585556035</c:v>
                </c:pt>
                <c:pt idx="44">
                  <c:v>9.8664661885771885</c:v>
                </c:pt>
                <c:pt idx="45">
                  <c:v>12</c:v>
                </c:pt>
                <c:pt idx="46">
                  <c:v>-12</c:v>
                </c:pt>
                <c:pt idx="47">
                  <c:v>-26.383946707329393</c:v>
                </c:pt>
                <c:pt idx="48">
                  <c:v>-2.3333333333333308</c:v>
                </c:pt>
                <c:pt idx="49">
                  <c:v>-11.583569246398675</c:v>
                </c:pt>
                <c:pt idx="50">
                  <c:v>11.388844623449907</c:v>
                </c:pt>
                <c:pt idx="51">
                  <c:v>12</c:v>
                </c:pt>
                <c:pt idx="52">
                  <c:v>-12</c:v>
                </c:pt>
                <c:pt idx="53">
                  <c:v>-25.550406252475348</c:v>
                </c:pt>
                <c:pt idx="54">
                  <c:v>0</c:v>
                </c:pt>
                <c:pt idx="55">
                  <c:v>-9.8270793278644781</c:v>
                </c:pt>
                <c:pt idx="56">
                  <c:v>12.829698097369761</c:v>
                </c:pt>
                <c:pt idx="57">
                  <c:v>12</c:v>
                </c:pt>
                <c:pt idx="58">
                  <c:v>-12</c:v>
                </c:pt>
                <c:pt idx="59">
                  <c:v>-24.609390244767855</c:v>
                </c:pt>
                <c:pt idx="60">
                  <c:v>2.3333333333333335</c:v>
                </c:pt>
                <c:pt idx="61">
                  <c:v>-8.029252658232803</c:v>
                </c:pt>
                <c:pt idx="62">
                  <c:v>14.203132463376605</c:v>
                </c:pt>
                <c:pt idx="63">
                  <c:v>12</c:v>
                </c:pt>
                <c:pt idx="64">
                  <c:v>-12</c:v>
                </c:pt>
                <c:pt idx="65">
                  <c:v>-23.554734780566797</c:v>
                </c:pt>
                <c:pt idx="66">
                  <c:v>4.666666666666667</c:v>
                </c:pt>
                <c:pt idx="67">
                  <c:v>-6.1877185053343773</c:v>
                </c:pt>
                <c:pt idx="68">
                  <c:v>15.517506829265256</c:v>
                </c:pt>
                <c:pt idx="69">
                  <c:v>12</c:v>
                </c:pt>
                <c:pt idx="70">
                  <c:v>-12</c:v>
                </c:pt>
                <c:pt idx="71">
                  <c:v>-22.380163934182676</c:v>
                </c:pt>
                <c:pt idx="72">
                  <c:v>7</c:v>
                </c:pt>
                <c:pt idx="73">
                  <c:v>-4.3000630515963358</c:v>
                </c:pt>
                <c:pt idx="74">
                  <c:v>16.777941702150098</c:v>
                </c:pt>
                <c:pt idx="75">
                  <c:v>12</c:v>
                </c:pt>
                <c:pt idx="76">
                  <c:v>-12</c:v>
                </c:pt>
                <c:pt idx="77">
                  <c:v>-21.078840109892809</c:v>
                </c:pt>
                <c:pt idx="78">
                  <c:v>9.3333333333333339</c:v>
                </c:pt>
                <c:pt idx="79">
                  <c:v>-2.3636564525099644</c:v>
                </c:pt>
                <c:pt idx="80">
                  <c:v>17.987756355580007</c:v>
                </c:pt>
                <c:pt idx="81">
                  <c:v>12</c:v>
                </c:pt>
                <c:pt idx="82">
                  <c:v>-12</c:v>
                </c:pt>
                <c:pt idx="83">
                  <c:v>-19.642597335724307</c:v>
                </c:pt>
                <c:pt idx="84">
                  <c:v>11.666666666666668</c:v>
                </c:pt>
                <c:pt idx="85">
                  <c:v>-0.37535794962416702</c:v>
                </c:pt>
                <c:pt idx="86">
                  <c:v>19.149459663035739</c:v>
                </c:pt>
                <c:pt idx="87">
                  <c:v>12</c:v>
                </c:pt>
                <c:pt idx="88">
                  <c:v>-12</c:v>
                </c:pt>
                <c:pt idx="89">
                  <c:v>-30.376282653093735</c:v>
                </c:pt>
                <c:pt idx="90">
                  <c:v>14.000000000000002</c:v>
                </c:pt>
                <c:pt idx="91">
                  <c:v>-3.0678010204149508</c:v>
                </c:pt>
                <c:pt idx="92">
                  <c:v>26.896999319700733</c:v>
                </c:pt>
                <c:pt idx="93">
                  <c:v>12</c:v>
                </c:pt>
                <c:pt idx="94">
                  <c:v>-12</c:v>
                </c:pt>
                <c:pt idx="95">
                  <c:v>-24.879281862192261</c:v>
                </c:pt>
                <c:pt idx="96">
                  <c:v>25</c:v>
                </c:pt>
                <c:pt idx="97">
                  <c:v>5.8156608222448263</c:v>
                </c:pt>
                <c:pt idx="98">
                  <c:v>31.34962606454722</c:v>
                </c:pt>
                <c:pt idx="99">
                  <c:v>12</c:v>
                </c:pt>
                <c:pt idx="100">
                  <c:v>-12</c:v>
                </c:pt>
                <c:pt idx="101">
                  <c:v>-23.375716830330454</c:v>
                </c:pt>
                <c:pt idx="102">
                  <c:v>0</c:v>
                </c:pt>
                <c:pt idx="103">
                  <c:v>-8.9906603193697858</c:v>
                </c:pt>
                <c:pt idx="104">
                  <c:v>22.648032351271631</c:v>
                </c:pt>
                <c:pt idx="105">
                  <c:v>12</c:v>
                </c:pt>
                <c:pt idx="106">
                  <c:v>-12</c:v>
                </c:pt>
                <c:pt idx="107">
                  <c:v>-10.52880704336475</c:v>
                </c:pt>
                <c:pt idx="108">
                  <c:v>-25</c:v>
                </c:pt>
                <c:pt idx="109">
                  <c:v>-19.434156555154736</c:v>
                </c:pt>
                <c:pt idx="110">
                  <c:v>20.32293673094285</c:v>
                </c:pt>
                <c:pt idx="111">
                  <c:v>12</c:v>
                </c:pt>
                <c:pt idx="112">
                  <c:v>60</c:v>
                </c:pt>
                <c:pt idx="113">
                  <c:v>59.977621104822219</c:v>
                </c:pt>
                <c:pt idx="114">
                  <c:v>59.910498330815244</c:v>
                </c:pt>
                <c:pt idx="115">
                  <c:v>59.7986734039103</c:v>
                </c:pt>
                <c:pt idx="116">
                  <c:v>59.642215838505066</c:v>
                </c:pt>
                <c:pt idx="117">
                  <c:v>59.441222894251112</c:v>
                </c:pt>
                <c:pt idx="118">
                  <c:v>59.195819515593755</c:v>
                </c:pt>
                <c:pt idx="119">
                  <c:v>58.906158254102053</c:v>
                </c:pt>
                <c:pt idx="120">
                  <c:v>58.572419173637371</c:v>
                </c:pt>
                <c:pt idx="121">
                  <c:v>58.19480973841911</c:v>
                </c:pt>
                <c:pt idx="122">
                  <c:v>57.77356468405749</c:v>
                </c:pt>
                <c:pt idx="123">
                  <c:v>57.308945871633512</c:v>
                </c:pt>
                <c:pt idx="124">
                  <c:v>56.801242124916655</c:v>
                </c:pt>
                <c:pt idx="125">
                  <c:v>56.250769050821617</c:v>
                </c:pt>
                <c:pt idx="126">
                  <c:v>55.657868843215709</c:v>
                </c:pt>
                <c:pt idx="127">
                  <c:v>55.022910070198847</c:v>
                </c:pt>
                <c:pt idx="128">
                  <c:v>54.346287444988349</c:v>
                </c:pt>
                <c:pt idx="129">
                  <c:v>53.628421580551006</c:v>
                </c:pt>
                <c:pt idx="130">
                  <c:v>52.869758728134926</c:v>
                </c:pt>
                <c:pt idx="131">
                  <c:v>52.070770499863713</c:v>
                </c:pt>
                <c:pt idx="132">
                  <c:v>51.231953575565385</c:v>
                </c:pt>
                <c:pt idx="133">
                  <c:v>50.353829394018334</c:v>
                </c:pt>
                <c:pt idx="134">
                  <c:v>49.436943828806236</c:v>
                </c:pt>
                <c:pt idx="135">
                  <c:v>48.481866848983351</c:v>
                </c:pt>
                <c:pt idx="136">
                  <c:v>47.489192164761299</c:v>
                </c:pt>
                <c:pt idx="137">
                  <c:v>46.45953685843741</c:v>
                </c:pt>
                <c:pt idx="138">
                  <c:v>45.39354100079418</c:v>
                </c:pt>
                <c:pt idx="139">
                  <c:v>44.29186725320821</c:v>
                </c:pt>
                <c:pt idx="140">
                  <c:v>43.155200455716098</c:v>
                </c:pt>
                <c:pt idx="141">
                  <c:v>41.984247201293201</c:v>
                </c:pt>
                <c:pt idx="142">
                  <c:v>40.779735396610057</c:v>
                </c:pt>
                <c:pt idx="143">
                  <c:v>39.542413809539362</c:v>
                </c:pt>
                <c:pt idx="144">
                  <c:v>38.27305160369496</c:v>
                </c:pt>
                <c:pt idx="145">
                  <c:v>36.97243786029204</c:v>
                </c:pt>
                <c:pt idx="146">
                  <c:v>35.641381087625909</c:v>
                </c:pt>
                <c:pt idx="147">
                  <c:v>34.280708718474088</c:v>
                </c:pt>
                <c:pt idx="148">
                  <c:v>32.891266595734379</c:v>
                </c:pt>
                <c:pt idx="149">
                  <c:v>31.473918446618441</c:v>
                </c:pt>
                <c:pt idx="150">
                  <c:v>30.029545345727961</c:v>
                </c:pt>
                <c:pt idx="151">
                  <c:v>28.559045167346859</c:v>
                </c:pt>
                <c:pt idx="152">
                  <c:v>27.063332027290457</c:v>
                </c:pt>
                <c:pt idx="153">
                  <c:v>25.54333571465812</c:v>
                </c:pt>
                <c:pt idx="154">
                  <c:v>24.00000111384292</c:v>
                </c:pt>
                <c:pt idx="155">
                  <c:v>22.434287617157558</c:v>
                </c:pt>
                <c:pt idx="156">
                  <c:v>20.847168528441451</c:v>
                </c:pt>
                <c:pt idx="157">
                  <c:v>19.239630458020226</c:v>
                </c:pt>
                <c:pt idx="158">
                  <c:v>17.612672709393095</c:v>
                </c:pt>
                <c:pt idx="159">
                  <c:v>15.967306658029923</c:v>
                </c:pt>
                <c:pt idx="160">
                  <c:v>14.304555122663807</c:v>
                </c:pt>
                <c:pt idx="161">
                  <c:v>12.625451729470267</c:v>
                </c:pt>
                <c:pt idx="162">
                  <c:v>10.931040269527855</c:v>
                </c:pt>
                <c:pt idx="163">
                  <c:v>9.2223740499601874</c:v>
                </c:pt>
                <c:pt idx="164">
                  <c:v>7.50051523916229</c:v>
                </c:pt>
                <c:pt idx="165">
                  <c:v>5.7665342065185783</c:v>
                </c:pt>
                <c:pt idx="166">
                  <c:v>4.0215088570226385</c:v>
                </c:pt>
                <c:pt idx="167">
                  <c:v>2.2665239612127621</c:v>
                </c:pt>
                <c:pt idx="168">
                  <c:v>0.50267048083958699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2.8515696384297637</c:v>
                </c:pt>
                <c:pt idx="177">
                  <c:v>1.9753111994832171</c:v>
                </c:pt>
                <c:pt idx="178">
                  <c:v>0.92563316887902047</c:v>
                </c:pt>
                <c:pt idx="179">
                  <c:v>-0.21601377837397351</c:v>
                </c:pt>
                <c:pt idx="180">
                  <c:v>-1.4157664759720063</c:v>
                </c:pt>
                <c:pt idx="181">
                  <c:v>-2.6556123420946562</c:v>
                </c:pt>
                <c:pt idx="182">
                  <c:v>-3.9245681685754725</c:v>
                </c:pt>
                <c:pt idx="183">
                  <c:v>-5.2153144569239593</c:v>
                </c:pt>
                <c:pt idx="184">
                  <c:v>-6.5226550874579061</c:v>
                </c:pt>
                <c:pt idx="185">
                  <c:v>-7.8427215966531474</c:v>
                </c:pt>
                <c:pt idx="186">
                  <c:v>-9.1725245020797033</c:v>
                </c:pt>
                <c:pt idx="187">
                  <c:v>-10.509682805443534</c:v>
                </c:pt>
                <c:pt idx="188">
                  <c:v>-11.852251962601201</c:v>
                </c:pt>
                <c:pt idx="189">
                  <c:v>-13.198609507350314</c:v>
                </c:pt>
                <c:pt idx="190">
                  <c:v>-14.547376030315508</c:v>
                </c:pt>
                <c:pt idx="191">
                  <c:v>-15.897358663204308</c:v>
                </c:pt>
                <c:pt idx="192">
                  <c:v>-17.247509325359044</c:v>
                </c:pt>
                <c:pt idx="193">
                  <c:v>-18.596892885306229</c:v>
                </c:pt>
                <c:pt idx="194">
                  <c:v>-19.944662101015112</c:v>
                </c:pt>
                <c:pt idx="195">
                  <c:v>-21.290037250525245</c:v>
                </c:pt>
                <c:pt idx="196">
                  <c:v>-22.632289027455251</c:v>
                </c:pt>
                <c:pt idx="197">
                  <c:v>-23.97072370792359</c:v>
                </c:pt>
                <c:pt idx="198">
                  <c:v>-25.30466988534544</c:v>
                </c:pt>
                <c:pt idx="199">
                  <c:v>-26.633466270137497</c:v>
                </c:pt>
                <c:pt idx="200">
                  <c:v>-27.956450194805811</c:v>
                </c:pt>
                <c:pt idx="201">
                  <c:v>-29.272946571435931</c:v>
                </c:pt>
                <c:pt idx="202">
                  <c:v>-30.582257131227855</c:v>
                </c:pt>
                <c:pt idx="203">
                  <c:v>-31.883649842884822</c:v>
                </c:pt>
                <c:pt idx="204">
                  <c:v>-33.176348463939625</c:v>
                </c:pt>
                <c:pt idx="205">
                  <c:v>-34.459522230103559</c:v>
                </c:pt>
                <c:pt idx="206">
                  <c:v>-35.732275734705851</c:v>
                </c:pt>
                <c:pt idx="207">
                  <c:v>-36.99363909448315</c:v>
                </c:pt>
                <c:pt idx="208">
                  <c:v>-38.242558539797471</c:v>
                </c:pt>
                <c:pt idx="209">
                  <c:v>-39.477887606536221</c:v>
                </c:pt>
                <c:pt idx="210">
                  <c:v>-40.698379142616446</c:v>
                </c:pt>
                <c:pt idx="211">
                  <c:v>-41.902678372794895</c:v>
                </c:pt>
                <c:pt idx="212">
                  <c:v>-43.089317289558807</c:v>
                </c:pt>
                <c:pt idx="213">
                  <c:v>-44.25671065311036</c:v>
                </c:pt>
                <c:pt idx="214">
                  <c:v>-45.403153887555582</c:v>
                </c:pt>
                <c:pt idx="215">
                  <c:v>-46.526823151096757</c:v>
                </c:pt>
                <c:pt idx="216">
                  <c:v>-47.625777833297384</c:v>
                </c:pt>
                <c:pt idx="217">
                  <c:v>-48.697965690882285</c:v>
                </c:pt>
                <c:pt idx="218">
                  <c:v>-49.741230774414589</c:v>
                </c:pt>
                <c:pt idx="219">
                  <c:v>-50.753324222038465</c:v>
                </c:pt>
                <c:pt idx="220">
                  <c:v>-51.731917905092047</c:v>
                </c:pt>
                <c:pt idx="221">
                  <c:v>-52.674620807053785</c:v>
                </c:pt>
                <c:pt idx="222">
                  <c:v>-53.578997906712083</c:v>
                </c:pt>
                <c:pt idx="223">
                  <c:v>-54.442591224662408</c:v>
                </c:pt>
                <c:pt idx="224">
                  <c:v>-55.262942586197084</c:v>
                </c:pt>
                <c:pt idx="225">
                  <c:v>-56.037617560739605</c:v>
                </c:pt>
                <c:pt idx="226">
                  <c:v>-56.764229965340405</c:v>
                </c:pt>
                <c:pt idx="227">
                  <c:v>-57.440466273599569</c:v>
                </c:pt>
                <c:pt idx="228">
                  <c:v>-58.064109256288212</c:v>
                </c:pt>
                <c:pt idx="229">
                  <c:v>-58.633060198267984</c:v>
                </c:pt>
                <c:pt idx="230">
                  <c:v>-59.145359087855262</c:v>
                </c:pt>
                <c:pt idx="231">
                  <c:v>-59.599202256688159</c:v>
                </c:pt>
                <c:pt idx="232">
                  <c:v>-59.992957055132891</c:v>
                </c:pt>
                <c:pt idx="233">
                  <c:v>-60.325173273076174</c:v>
                </c:pt>
                <c:pt idx="234">
                  <c:v>-60.594591150128096</c:v>
                </c:pt>
                <c:pt idx="235">
                  <c:v>-60.800145953957085</c:v>
                </c:pt>
                <c:pt idx="236">
                  <c:v>-60.940969232303956</c:v>
                </c:pt>
                <c:pt idx="237">
                  <c:v>-61.016386955989681</c:v>
                </c:pt>
                <c:pt idx="238">
                  <c:v>-61.025914861512376</c:v>
                </c:pt>
                <c:pt idx="239">
                  <c:v>-60.969251369261414</c:v>
                </c:pt>
              </c:numCache>
            </c:numRef>
          </c:xVal>
          <c:yVal>
            <c:numRef>
              <c:f>CALC60!$BX$6:$BX$581</c:f>
              <c:numCache>
                <c:formatCode>General</c:formatCode>
                <c:ptCount val="576"/>
              </c:numCache>
            </c:numRef>
          </c:yVal>
          <c:smooth val="0"/>
        </c:ser>
        <c:ser>
          <c:idx val="25"/>
          <c:order val="25"/>
          <c:tx>
            <c:strRef>
              <c:f>CALC60!$BY$5</c:f>
              <c:strCache>
                <c:ptCount val="1"/>
                <c:pt idx="0">
                  <c:v>R24</c:v>
                </c:pt>
              </c:strCache>
            </c:strRef>
          </c:tx>
          <c:xVal>
            <c:numRef>
              <c:f>CALC60!$AY$6:$AY$581</c:f>
              <c:numCache>
                <c:formatCode>General</c:formatCode>
                <c:ptCount val="576"/>
                <c:pt idx="0">
                  <c:v>-19.833506546880365</c:v>
                </c:pt>
                <c:pt idx="1">
                  <c:v>-18.245852614565919</c:v>
                </c:pt>
                <c:pt idx="2">
                  <c:v>-16.629666681765414</c:v>
                </c:pt>
                <c:pt idx="3">
                  <c:v>-14.98231154257417</c:v>
                </c:pt>
                <c:pt idx="4">
                  <c:v>-13.301143585556035</c:v>
                </c:pt>
                <c:pt idx="5">
                  <c:v>-11.583569246398675</c:v>
                </c:pt>
                <c:pt idx="6">
                  <c:v>-9.8270793278644781</c:v>
                </c:pt>
                <c:pt idx="7">
                  <c:v>-8.029252658232803</c:v>
                </c:pt>
                <c:pt idx="8">
                  <c:v>-6.1877185053343773</c:v>
                </c:pt>
                <c:pt idx="9">
                  <c:v>-4.3000630515963358</c:v>
                </c:pt>
                <c:pt idx="10">
                  <c:v>-2.3636564525099644</c:v>
                </c:pt>
                <c:pt idx="11">
                  <c:v>-0.37535794962416702</c:v>
                </c:pt>
                <c:pt idx="12">
                  <c:v>-3.0678010204149508</c:v>
                </c:pt>
                <c:pt idx="13">
                  <c:v>5.8156608222448263</c:v>
                </c:pt>
                <c:pt idx="14">
                  <c:v>-8.9906603193697858</c:v>
                </c:pt>
                <c:pt idx="15">
                  <c:v>-19.434156555154736</c:v>
                </c:pt>
                <c:pt idx="16">
                  <c:v>-12</c:v>
                </c:pt>
                <c:pt idx="17">
                  <c:v>-29.167117021908272</c:v>
                </c:pt>
                <c:pt idx="18">
                  <c:v>-14</c:v>
                </c:pt>
                <c:pt idx="19">
                  <c:v>-19.833506546880365</c:v>
                </c:pt>
                <c:pt idx="20">
                  <c:v>1.5130248501190131</c:v>
                </c:pt>
                <c:pt idx="21">
                  <c:v>12</c:v>
                </c:pt>
                <c:pt idx="22">
                  <c:v>-12</c:v>
                </c:pt>
                <c:pt idx="23">
                  <c:v>-28.772550131225248</c:v>
                </c:pt>
                <c:pt idx="24">
                  <c:v>-11.666666666666666</c:v>
                </c:pt>
                <c:pt idx="25">
                  <c:v>-18.245852614565919</c:v>
                </c:pt>
                <c:pt idx="26">
                  <c:v>4.3925078710812571</c:v>
                </c:pt>
                <c:pt idx="27">
                  <c:v>12</c:v>
                </c:pt>
                <c:pt idx="28">
                  <c:v>-12</c:v>
                </c:pt>
                <c:pt idx="29">
                  <c:v>-28.303800039278563</c:v>
                </c:pt>
                <c:pt idx="30">
                  <c:v>-9.3333333333333321</c:v>
                </c:pt>
                <c:pt idx="31">
                  <c:v>-16.629666681765414</c:v>
                </c:pt>
                <c:pt idx="32">
                  <c:v>6.4527131206909987</c:v>
                </c:pt>
                <c:pt idx="33">
                  <c:v>12</c:v>
                </c:pt>
                <c:pt idx="34">
                  <c:v>-12</c:v>
                </c:pt>
                <c:pt idx="35">
                  <c:v>-27.754010010716058</c:v>
                </c:pt>
                <c:pt idx="36">
                  <c:v>-6.9999999999999982</c:v>
                </c:pt>
                <c:pt idx="37">
                  <c:v>-14.98231154257417</c:v>
                </c:pt>
                <c:pt idx="38">
                  <c:v>8.2375052570320868</c:v>
                </c:pt>
                <c:pt idx="39">
                  <c:v>12</c:v>
                </c:pt>
                <c:pt idx="40">
                  <c:v>-12</c:v>
                </c:pt>
                <c:pt idx="41">
                  <c:v>-27.116306655803694</c:v>
                </c:pt>
                <c:pt idx="42">
                  <c:v>-4.6666666666666643</c:v>
                </c:pt>
                <c:pt idx="43">
                  <c:v>-13.301143585556035</c:v>
                </c:pt>
                <c:pt idx="44">
                  <c:v>9.8664661885771885</c:v>
                </c:pt>
                <c:pt idx="45">
                  <c:v>12</c:v>
                </c:pt>
                <c:pt idx="46">
                  <c:v>-12</c:v>
                </c:pt>
                <c:pt idx="47">
                  <c:v>-26.383946707329393</c:v>
                </c:pt>
                <c:pt idx="48">
                  <c:v>-2.3333333333333308</c:v>
                </c:pt>
                <c:pt idx="49">
                  <c:v>-11.583569246398675</c:v>
                </c:pt>
                <c:pt idx="50">
                  <c:v>11.388844623449907</c:v>
                </c:pt>
                <c:pt idx="51">
                  <c:v>12</c:v>
                </c:pt>
                <c:pt idx="52">
                  <c:v>-12</c:v>
                </c:pt>
                <c:pt idx="53">
                  <c:v>-25.550406252475348</c:v>
                </c:pt>
                <c:pt idx="54">
                  <c:v>0</c:v>
                </c:pt>
                <c:pt idx="55">
                  <c:v>-9.8270793278644781</c:v>
                </c:pt>
                <c:pt idx="56">
                  <c:v>12.829698097369761</c:v>
                </c:pt>
                <c:pt idx="57">
                  <c:v>12</c:v>
                </c:pt>
                <c:pt idx="58">
                  <c:v>-12</c:v>
                </c:pt>
                <c:pt idx="59">
                  <c:v>-24.609390244767855</c:v>
                </c:pt>
                <c:pt idx="60">
                  <c:v>2.3333333333333335</c:v>
                </c:pt>
                <c:pt idx="61">
                  <c:v>-8.029252658232803</c:v>
                </c:pt>
                <c:pt idx="62">
                  <c:v>14.203132463376605</c:v>
                </c:pt>
                <c:pt idx="63">
                  <c:v>12</c:v>
                </c:pt>
                <c:pt idx="64">
                  <c:v>-12</c:v>
                </c:pt>
                <c:pt idx="65">
                  <c:v>-23.554734780566797</c:v>
                </c:pt>
                <c:pt idx="66">
                  <c:v>4.666666666666667</c:v>
                </c:pt>
                <c:pt idx="67">
                  <c:v>-6.1877185053343773</c:v>
                </c:pt>
                <c:pt idx="68">
                  <c:v>15.517506829265256</c:v>
                </c:pt>
                <c:pt idx="69">
                  <c:v>12</c:v>
                </c:pt>
                <c:pt idx="70">
                  <c:v>-12</c:v>
                </c:pt>
                <c:pt idx="71">
                  <c:v>-22.380163934182676</c:v>
                </c:pt>
                <c:pt idx="72">
                  <c:v>7</c:v>
                </c:pt>
                <c:pt idx="73">
                  <c:v>-4.3000630515963358</c:v>
                </c:pt>
                <c:pt idx="74">
                  <c:v>16.777941702150098</c:v>
                </c:pt>
                <c:pt idx="75">
                  <c:v>12</c:v>
                </c:pt>
                <c:pt idx="76">
                  <c:v>-12</c:v>
                </c:pt>
                <c:pt idx="77">
                  <c:v>-21.078840109892809</c:v>
                </c:pt>
                <c:pt idx="78">
                  <c:v>9.3333333333333339</c:v>
                </c:pt>
                <c:pt idx="79">
                  <c:v>-2.3636564525099644</c:v>
                </c:pt>
                <c:pt idx="80">
                  <c:v>17.987756355580007</c:v>
                </c:pt>
                <c:pt idx="81">
                  <c:v>12</c:v>
                </c:pt>
                <c:pt idx="82">
                  <c:v>-12</c:v>
                </c:pt>
                <c:pt idx="83">
                  <c:v>-19.642597335724307</c:v>
                </c:pt>
                <c:pt idx="84">
                  <c:v>11.666666666666668</c:v>
                </c:pt>
                <c:pt idx="85">
                  <c:v>-0.37535794962416702</c:v>
                </c:pt>
                <c:pt idx="86">
                  <c:v>19.149459663035739</c:v>
                </c:pt>
                <c:pt idx="87">
                  <c:v>12</c:v>
                </c:pt>
                <c:pt idx="88">
                  <c:v>-12</c:v>
                </c:pt>
                <c:pt idx="89">
                  <c:v>-30.376282653093735</c:v>
                </c:pt>
                <c:pt idx="90">
                  <c:v>14.000000000000002</c:v>
                </c:pt>
                <c:pt idx="91">
                  <c:v>-3.0678010204149508</c:v>
                </c:pt>
                <c:pt idx="92">
                  <c:v>26.896999319700733</c:v>
                </c:pt>
                <c:pt idx="93">
                  <c:v>12</c:v>
                </c:pt>
                <c:pt idx="94">
                  <c:v>-12</c:v>
                </c:pt>
                <c:pt idx="95">
                  <c:v>-24.879281862192261</c:v>
                </c:pt>
                <c:pt idx="96">
                  <c:v>25</c:v>
                </c:pt>
                <c:pt idx="97">
                  <c:v>5.8156608222448263</c:v>
                </c:pt>
                <c:pt idx="98">
                  <c:v>31.34962606454722</c:v>
                </c:pt>
                <c:pt idx="99">
                  <c:v>12</c:v>
                </c:pt>
                <c:pt idx="100">
                  <c:v>-12</c:v>
                </c:pt>
                <c:pt idx="101">
                  <c:v>-23.375716830330454</c:v>
                </c:pt>
                <c:pt idx="102">
                  <c:v>0</c:v>
                </c:pt>
                <c:pt idx="103">
                  <c:v>-8.9906603193697858</c:v>
                </c:pt>
                <c:pt idx="104">
                  <c:v>22.648032351271631</c:v>
                </c:pt>
                <c:pt idx="105">
                  <c:v>12</c:v>
                </c:pt>
                <c:pt idx="106">
                  <c:v>-12</c:v>
                </c:pt>
                <c:pt idx="107">
                  <c:v>-10.52880704336475</c:v>
                </c:pt>
                <c:pt idx="108">
                  <c:v>-25</c:v>
                </c:pt>
                <c:pt idx="109">
                  <c:v>-19.434156555154736</c:v>
                </c:pt>
                <c:pt idx="110">
                  <c:v>20.32293673094285</c:v>
                </c:pt>
                <c:pt idx="111">
                  <c:v>12</c:v>
                </c:pt>
                <c:pt idx="112">
                  <c:v>60</c:v>
                </c:pt>
                <c:pt idx="113">
                  <c:v>59.977621104822219</c:v>
                </c:pt>
                <c:pt idx="114">
                  <c:v>59.910498330815244</c:v>
                </c:pt>
                <c:pt idx="115">
                  <c:v>59.7986734039103</c:v>
                </c:pt>
                <c:pt idx="116">
                  <c:v>59.642215838505066</c:v>
                </c:pt>
                <c:pt idx="117">
                  <c:v>59.441222894251112</c:v>
                </c:pt>
                <c:pt idx="118">
                  <c:v>59.195819515593755</c:v>
                </c:pt>
                <c:pt idx="119">
                  <c:v>58.906158254102053</c:v>
                </c:pt>
                <c:pt idx="120">
                  <c:v>58.572419173637371</c:v>
                </c:pt>
                <c:pt idx="121">
                  <c:v>58.19480973841911</c:v>
                </c:pt>
                <c:pt idx="122">
                  <c:v>57.77356468405749</c:v>
                </c:pt>
                <c:pt idx="123">
                  <c:v>57.308945871633512</c:v>
                </c:pt>
                <c:pt idx="124">
                  <c:v>56.801242124916655</c:v>
                </c:pt>
                <c:pt idx="125">
                  <c:v>56.250769050821617</c:v>
                </c:pt>
                <c:pt idx="126">
                  <c:v>55.657868843215709</c:v>
                </c:pt>
                <c:pt idx="127">
                  <c:v>55.022910070198847</c:v>
                </c:pt>
                <c:pt idx="128">
                  <c:v>54.346287444988349</c:v>
                </c:pt>
                <c:pt idx="129">
                  <c:v>53.628421580551006</c:v>
                </c:pt>
                <c:pt idx="130">
                  <c:v>52.869758728134926</c:v>
                </c:pt>
                <c:pt idx="131">
                  <c:v>52.070770499863713</c:v>
                </c:pt>
                <c:pt idx="132">
                  <c:v>51.231953575565385</c:v>
                </c:pt>
                <c:pt idx="133">
                  <c:v>50.353829394018334</c:v>
                </c:pt>
                <c:pt idx="134">
                  <c:v>49.436943828806236</c:v>
                </c:pt>
                <c:pt idx="135">
                  <c:v>48.481866848983351</c:v>
                </c:pt>
                <c:pt idx="136">
                  <c:v>47.489192164761299</c:v>
                </c:pt>
                <c:pt idx="137">
                  <c:v>46.45953685843741</c:v>
                </c:pt>
                <c:pt idx="138">
                  <c:v>45.39354100079418</c:v>
                </c:pt>
                <c:pt idx="139">
                  <c:v>44.29186725320821</c:v>
                </c:pt>
                <c:pt idx="140">
                  <c:v>43.155200455716098</c:v>
                </c:pt>
                <c:pt idx="141">
                  <c:v>41.984247201293201</c:v>
                </c:pt>
                <c:pt idx="142">
                  <c:v>40.779735396610057</c:v>
                </c:pt>
                <c:pt idx="143">
                  <c:v>39.542413809539362</c:v>
                </c:pt>
                <c:pt idx="144">
                  <c:v>38.27305160369496</c:v>
                </c:pt>
                <c:pt idx="145">
                  <c:v>36.97243786029204</c:v>
                </c:pt>
                <c:pt idx="146">
                  <c:v>35.641381087625909</c:v>
                </c:pt>
                <c:pt idx="147">
                  <c:v>34.280708718474088</c:v>
                </c:pt>
                <c:pt idx="148">
                  <c:v>32.891266595734379</c:v>
                </c:pt>
                <c:pt idx="149">
                  <c:v>31.473918446618441</c:v>
                </c:pt>
                <c:pt idx="150">
                  <c:v>30.029545345727961</c:v>
                </c:pt>
                <c:pt idx="151">
                  <c:v>28.559045167346859</c:v>
                </c:pt>
                <c:pt idx="152">
                  <c:v>27.063332027290457</c:v>
                </c:pt>
                <c:pt idx="153">
                  <c:v>25.54333571465812</c:v>
                </c:pt>
                <c:pt idx="154">
                  <c:v>24.00000111384292</c:v>
                </c:pt>
                <c:pt idx="155">
                  <c:v>22.434287617157558</c:v>
                </c:pt>
                <c:pt idx="156">
                  <c:v>20.847168528441451</c:v>
                </c:pt>
                <c:pt idx="157">
                  <c:v>19.239630458020226</c:v>
                </c:pt>
                <c:pt idx="158">
                  <c:v>17.612672709393095</c:v>
                </c:pt>
                <c:pt idx="159">
                  <c:v>15.967306658029923</c:v>
                </c:pt>
                <c:pt idx="160">
                  <c:v>14.304555122663807</c:v>
                </c:pt>
                <c:pt idx="161">
                  <c:v>12.625451729470267</c:v>
                </c:pt>
                <c:pt idx="162">
                  <c:v>10.931040269527855</c:v>
                </c:pt>
                <c:pt idx="163">
                  <c:v>9.2223740499601874</c:v>
                </c:pt>
                <c:pt idx="164">
                  <c:v>7.50051523916229</c:v>
                </c:pt>
                <c:pt idx="165">
                  <c:v>5.7665342065185783</c:v>
                </c:pt>
                <c:pt idx="166">
                  <c:v>4.0215088570226385</c:v>
                </c:pt>
                <c:pt idx="167">
                  <c:v>2.2665239612127621</c:v>
                </c:pt>
                <c:pt idx="168">
                  <c:v>0.50267048083958699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2.8515696384297637</c:v>
                </c:pt>
                <c:pt idx="177">
                  <c:v>1.9753111994832171</c:v>
                </c:pt>
                <c:pt idx="178">
                  <c:v>0.92563316887902047</c:v>
                </c:pt>
                <c:pt idx="179">
                  <c:v>-0.21601377837397351</c:v>
                </c:pt>
                <c:pt idx="180">
                  <c:v>-1.4157664759720063</c:v>
                </c:pt>
                <c:pt idx="181">
                  <c:v>-2.6556123420946562</c:v>
                </c:pt>
                <c:pt idx="182">
                  <c:v>-3.9245681685754725</c:v>
                </c:pt>
                <c:pt idx="183">
                  <c:v>-5.2153144569239593</c:v>
                </c:pt>
                <c:pt idx="184">
                  <c:v>-6.5226550874579061</c:v>
                </c:pt>
                <c:pt idx="185">
                  <c:v>-7.8427215966531474</c:v>
                </c:pt>
                <c:pt idx="186">
                  <c:v>-9.1725245020797033</c:v>
                </c:pt>
                <c:pt idx="187">
                  <c:v>-10.509682805443534</c:v>
                </c:pt>
                <c:pt idx="188">
                  <c:v>-11.852251962601201</c:v>
                </c:pt>
                <c:pt idx="189">
                  <c:v>-13.198609507350314</c:v>
                </c:pt>
                <c:pt idx="190">
                  <c:v>-14.547376030315508</c:v>
                </c:pt>
                <c:pt idx="191">
                  <c:v>-15.897358663204308</c:v>
                </c:pt>
                <c:pt idx="192">
                  <c:v>-17.247509325359044</c:v>
                </c:pt>
                <c:pt idx="193">
                  <c:v>-18.596892885306229</c:v>
                </c:pt>
                <c:pt idx="194">
                  <c:v>-19.944662101015112</c:v>
                </c:pt>
                <c:pt idx="195">
                  <c:v>-21.290037250525245</c:v>
                </c:pt>
                <c:pt idx="196">
                  <c:v>-22.632289027455251</c:v>
                </c:pt>
                <c:pt idx="197">
                  <c:v>-23.97072370792359</c:v>
                </c:pt>
                <c:pt idx="198">
                  <c:v>-25.30466988534544</c:v>
                </c:pt>
                <c:pt idx="199">
                  <c:v>-26.633466270137497</c:v>
                </c:pt>
                <c:pt idx="200">
                  <c:v>-27.956450194805811</c:v>
                </c:pt>
                <c:pt idx="201">
                  <c:v>-29.272946571435931</c:v>
                </c:pt>
                <c:pt idx="202">
                  <c:v>-30.582257131227855</c:v>
                </c:pt>
                <c:pt idx="203">
                  <c:v>-31.883649842884822</c:v>
                </c:pt>
                <c:pt idx="204">
                  <c:v>-33.176348463939625</c:v>
                </c:pt>
                <c:pt idx="205">
                  <c:v>-34.459522230103559</c:v>
                </c:pt>
                <c:pt idx="206">
                  <c:v>-35.732275734705851</c:v>
                </c:pt>
                <c:pt idx="207">
                  <c:v>-36.99363909448315</c:v>
                </c:pt>
                <c:pt idx="208">
                  <c:v>-38.242558539797471</c:v>
                </c:pt>
                <c:pt idx="209">
                  <c:v>-39.477887606536221</c:v>
                </c:pt>
                <c:pt idx="210">
                  <c:v>-40.698379142616446</c:v>
                </c:pt>
                <c:pt idx="211">
                  <c:v>-41.902678372794895</c:v>
                </c:pt>
                <c:pt idx="212">
                  <c:v>-43.089317289558807</c:v>
                </c:pt>
                <c:pt idx="213">
                  <c:v>-44.25671065311036</c:v>
                </c:pt>
                <c:pt idx="214">
                  <c:v>-45.403153887555582</c:v>
                </c:pt>
                <c:pt idx="215">
                  <c:v>-46.526823151096757</c:v>
                </c:pt>
                <c:pt idx="216">
                  <c:v>-47.625777833297384</c:v>
                </c:pt>
                <c:pt idx="217">
                  <c:v>-48.697965690882285</c:v>
                </c:pt>
                <c:pt idx="218">
                  <c:v>-49.741230774414589</c:v>
                </c:pt>
                <c:pt idx="219">
                  <c:v>-50.753324222038465</c:v>
                </c:pt>
                <c:pt idx="220">
                  <c:v>-51.731917905092047</c:v>
                </c:pt>
                <c:pt idx="221">
                  <c:v>-52.674620807053785</c:v>
                </c:pt>
                <c:pt idx="222">
                  <c:v>-53.578997906712083</c:v>
                </c:pt>
                <c:pt idx="223">
                  <c:v>-54.442591224662408</c:v>
                </c:pt>
                <c:pt idx="224">
                  <c:v>-55.262942586197084</c:v>
                </c:pt>
                <c:pt idx="225">
                  <c:v>-56.037617560739605</c:v>
                </c:pt>
                <c:pt idx="226">
                  <c:v>-56.764229965340405</c:v>
                </c:pt>
                <c:pt idx="227">
                  <c:v>-57.440466273599569</c:v>
                </c:pt>
                <c:pt idx="228">
                  <c:v>-58.064109256288212</c:v>
                </c:pt>
                <c:pt idx="229">
                  <c:v>-58.633060198267984</c:v>
                </c:pt>
                <c:pt idx="230">
                  <c:v>-59.145359087855262</c:v>
                </c:pt>
                <c:pt idx="231">
                  <c:v>-59.599202256688159</c:v>
                </c:pt>
                <c:pt idx="232">
                  <c:v>-59.992957055132891</c:v>
                </c:pt>
                <c:pt idx="233">
                  <c:v>-60.325173273076174</c:v>
                </c:pt>
                <c:pt idx="234">
                  <c:v>-60.594591150128096</c:v>
                </c:pt>
                <c:pt idx="235">
                  <c:v>-60.800145953957085</c:v>
                </c:pt>
                <c:pt idx="236">
                  <c:v>-60.940969232303956</c:v>
                </c:pt>
                <c:pt idx="237">
                  <c:v>-61.016386955989681</c:v>
                </c:pt>
                <c:pt idx="238">
                  <c:v>-61.025914861512376</c:v>
                </c:pt>
                <c:pt idx="239">
                  <c:v>-60.969251369261414</c:v>
                </c:pt>
              </c:numCache>
            </c:numRef>
          </c:xVal>
          <c:yVal>
            <c:numRef>
              <c:f>CALC60!$BY$6:$BY$581</c:f>
              <c:numCache>
                <c:formatCode>General</c:formatCode>
                <c:ptCount val="576"/>
              </c:numCache>
            </c:numRef>
          </c:yVal>
          <c:smooth val="0"/>
        </c:ser>
        <c:ser>
          <c:idx val="26"/>
          <c:order val="26"/>
          <c:tx>
            <c:strRef>
              <c:f>CALC60!$BZ$5</c:f>
              <c:strCache>
                <c:ptCount val="1"/>
                <c:pt idx="0">
                  <c:v>R25</c:v>
                </c:pt>
              </c:strCache>
            </c:strRef>
          </c:tx>
          <c:xVal>
            <c:numRef>
              <c:f>CALC60!$AY$6:$AY$581</c:f>
              <c:numCache>
                <c:formatCode>General</c:formatCode>
                <c:ptCount val="576"/>
                <c:pt idx="0">
                  <c:v>-19.833506546880365</c:v>
                </c:pt>
                <c:pt idx="1">
                  <c:v>-18.245852614565919</c:v>
                </c:pt>
                <c:pt idx="2">
                  <c:v>-16.629666681765414</c:v>
                </c:pt>
                <c:pt idx="3">
                  <c:v>-14.98231154257417</c:v>
                </c:pt>
                <c:pt idx="4">
                  <c:v>-13.301143585556035</c:v>
                </c:pt>
                <c:pt idx="5">
                  <c:v>-11.583569246398675</c:v>
                </c:pt>
                <c:pt idx="6">
                  <c:v>-9.8270793278644781</c:v>
                </c:pt>
                <c:pt idx="7">
                  <c:v>-8.029252658232803</c:v>
                </c:pt>
                <c:pt idx="8">
                  <c:v>-6.1877185053343773</c:v>
                </c:pt>
                <c:pt idx="9">
                  <c:v>-4.3000630515963358</c:v>
                </c:pt>
                <c:pt idx="10">
                  <c:v>-2.3636564525099644</c:v>
                </c:pt>
                <c:pt idx="11">
                  <c:v>-0.37535794962416702</c:v>
                </c:pt>
                <c:pt idx="12">
                  <c:v>-3.0678010204149508</c:v>
                </c:pt>
                <c:pt idx="13">
                  <c:v>5.8156608222448263</c:v>
                </c:pt>
                <c:pt idx="14">
                  <c:v>-8.9906603193697858</c:v>
                </c:pt>
                <c:pt idx="15">
                  <c:v>-19.434156555154736</c:v>
                </c:pt>
                <c:pt idx="16">
                  <c:v>-12</c:v>
                </c:pt>
                <c:pt idx="17">
                  <c:v>-29.167117021908272</c:v>
                </c:pt>
                <c:pt idx="18">
                  <c:v>-14</c:v>
                </c:pt>
                <c:pt idx="19">
                  <c:v>-19.833506546880365</c:v>
                </c:pt>
                <c:pt idx="20">
                  <c:v>1.5130248501190131</c:v>
                </c:pt>
                <c:pt idx="21">
                  <c:v>12</c:v>
                </c:pt>
                <c:pt idx="22">
                  <c:v>-12</c:v>
                </c:pt>
                <c:pt idx="23">
                  <c:v>-28.772550131225248</c:v>
                </c:pt>
                <c:pt idx="24">
                  <c:v>-11.666666666666666</c:v>
                </c:pt>
                <c:pt idx="25">
                  <c:v>-18.245852614565919</c:v>
                </c:pt>
                <c:pt idx="26">
                  <c:v>4.3925078710812571</c:v>
                </c:pt>
                <c:pt idx="27">
                  <c:v>12</c:v>
                </c:pt>
                <c:pt idx="28">
                  <c:v>-12</c:v>
                </c:pt>
                <c:pt idx="29">
                  <c:v>-28.303800039278563</c:v>
                </c:pt>
                <c:pt idx="30">
                  <c:v>-9.3333333333333321</c:v>
                </c:pt>
                <c:pt idx="31">
                  <c:v>-16.629666681765414</c:v>
                </c:pt>
                <c:pt idx="32">
                  <c:v>6.4527131206909987</c:v>
                </c:pt>
                <c:pt idx="33">
                  <c:v>12</c:v>
                </c:pt>
                <c:pt idx="34">
                  <c:v>-12</c:v>
                </c:pt>
                <c:pt idx="35">
                  <c:v>-27.754010010716058</c:v>
                </c:pt>
                <c:pt idx="36">
                  <c:v>-6.9999999999999982</c:v>
                </c:pt>
                <c:pt idx="37">
                  <c:v>-14.98231154257417</c:v>
                </c:pt>
                <c:pt idx="38">
                  <c:v>8.2375052570320868</c:v>
                </c:pt>
                <c:pt idx="39">
                  <c:v>12</c:v>
                </c:pt>
                <c:pt idx="40">
                  <c:v>-12</c:v>
                </c:pt>
                <c:pt idx="41">
                  <c:v>-27.116306655803694</c:v>
                </c:pt>
                <c:pt idx="42">
                  <c:v>-4.6666666666666643</c:v>
                </c:pt>
                <c:pt idx="43">
                  <c:v>-13.301143585556035</c:v>
                </c:pt>
                <c:pt idx="44">
                  <c:v>9.8664661885771885</c:v>
                </c:pt>
                <c:pt idx="45">
                  <c:v>12</c:v>
                </c:pt>
                <c:pt idx="46">
                  <c:v>-12</c:v>
                </c:pt>
                <c:pt idx="47">
                  <c:v>-26.383946707329393</c:v>
                </c:pt>
                <c:pt idx="48">
                  <c:v>-2.3333333333333308</c:v>
                </c:pt>
                <c:pt idx="49">
                  <c:v>-11.583569246398675</c:v>
                </c:pt>
                <c:pt idx="50">
                  <c:v>11.388844623449907</c:v>
                </c:pt>
                <c:pt idx="51">
                  <c:v>12</c:v>
                </c:pt>
                <c:pt idx="52">
                  <c:v>-12</c:v>
                </c:pt>
                <c:pt idx="53">
                  <c:v>-25.550406252475348</c:v>
                </c:pt>
                <c:pt idx="54">
                  <c:v>0</c:v>
                </c:pt>
                <c:pt idx="55">
                  <c:v>-9.8270793278644781</c:v>
                </c:pt>
                <c:pt idx="56">
                  <c:v>12.829698097369761</c:v>
                </c:pt>
                <c:pt idx="57">
                  <c:v>12</c:v>
                </c:pt>
                <c:pt idx="58">
                  <c:v>-12</c:v>
                </c:pt>
                <c:pt idx="59">
                  <c:v>-24.609390244767855</c:v>
                </c:pt>
                <c:pt idx="60">
                  <c:v>2.3333333333333335</c:v>
                </c:pt>
                <c:pt idx="61">
                  <c:v>-8.029252658232803</c:v>
                </c:pt>
                <c:pt idx="62">
                  <c:v>14.203132463376605</c:v>
                </c:pt>
                <c:pt idx="63">
                  <c:v>12</c:v>
                </c:pt>
                <c:pt idx="64">
                  <c:v>-12</c:v>
                </c:pt>
                <c:pt idx="65">
                  <c:v>-23.554734780566797</c:v>
                </c:pt>
                <c:pt idx="66">
                  <c:v>4.666666666666667</c:v>
                </c:pt>
                <c:pt idx="67">
                  <c:v>-6.1877185053343773</c:v>
                </c:pt>
                <c:pt idx="68">
                  <c:v>15.517506829265256</c:v>
                </c:pt>
                <c:pt idx="69">
                  <c:v>12</c:v>
                </c:pt>
                <c:pt idx="70">
                  <c:v>-12</c:v>
                </c:pt>
                <c:pt idx="71">
                  <c:v>-22.380163934182676</c:v>
                </c:pt>
                <c:pt idx="72">
                  <c:v>7</c:v>
                </c:pt>
                <c:pt idx="73">
                  <c:v>-4.3000630515963358</c:v>
                </c:pt>
                <c:pt idx="74">
                  <c:v>16.777941702150098</c:v>
                </c:pt>
                <c:pt idx="75">
                  <c:v>12</c:v>
                </c:pt>
                <c:pt idx="76">
                  <c:v>-12</c:v>
                </c:pt>
                <c:pt idx="77">
                  <c:v>-21.078840109892809</c:v>
                </c:pt>
                <c:pt idx="78">
                  <c:v>9.3333333333333339</c:v>
                </c:pt>
                <c:pt idx="79">
                  <c:v>-2.3636564525099644</c:v>
                </c:pt>
                <c:pt idx="80">
                  <c:v>17.987756355580007</c:v>
                </c:pt>
                <c:pt idx="81">
                  <c:v>12</c:v>
                </c:pt>
                <c:pt idx="82">
                  <c:v>-12</c:v>
                </c:pt>
                <c:pt idx="83">
                  <c:v>-19.642597335724307</c:v>
                </c:pt>
                <c:pt idx="84">
                  <c:v>11.666666666666668</c:v>
                </c:pt>
                <c:pt idx="85">
                  <c:v>-0.37535794962416702</c:v>
                </c:pt>
                <c:pt idx="86">
                  <c:v>19.149459663035739</c:v>
                </c:pt>
                <c:pt idx="87">
                  <c:v>12</c:v>
                </c:pt>
                <c:pt idx="88">
                  <c:v>-12</c:v>
                </c:pt>
                <c:pt idx="89">
                  <c:v>-30.376282653093735</c:v>
                </c:pt>
                <c:pt idx="90">
                  <c:v>14.000000000000002</c:v>
                </c:pt>
                <c:pt idx="91">
                  <c:v>-3.0678010204149508</c:v>
                </c:pt>
                <c:pt idx="92">
                  <c:v>26.896999319700733</c:v>
                </c:pt>
                <c:pt idx="93">
                  <c:v>12</c:v>
                </c:pt>
                <c:pt idx="94">
                  <c:v>-12</c:v>
                </c:pt>
                <c:pt idx="95">
                  <c:v>-24.879281862192261</c:v>
                </c:pt>
                <c:pt idx="96">
                  <c:v>25</c:v>
                </c:pt>
                <c:pt idx="97">
                  <c:v>5.8156608222448263</c:v>
                </c:pt>
                <c:pt idx="98">
                  <c:v>31.34962606454722</c:v>
                </c:pt>
                <c:pt idx="99">
                  <c:v>12</c:v>
                </c:pt>
                <c:pt idx="100">
                  <c:v>-12</c:v>
                </c:pt>
                <c:pt idx="101">
                  <c:v>-23.375716830330454</c:v>
                </c:pt>
                <c:pt idx="102">
                  <c:v>0</c:v>
                </c:pt>
                <c:pt idx="103">
                  <c:v>-8.9906603193697858</c:v>
                </c:pt>
                <c:pt idx="104">
                  <c:v>22.648032351271631</c:v>
                </c:pt>
                <c:pt idx="105">
                  <c:v>12</c:v>
                </c:pt>
                <c:pt idx="106">
                  <c:v>-12</c:v>
                </c:pt>
                <c:pt idx="107">
                  <c:v>-10.52880704336475</c:v>
                </c:pt>
                <c:pt idx="108">
                  <c:v>-25</c:v>
                </c:pt>
                <c:pt idx="109">
                  <c:v>-19.434156555154736</c:v>
                </c:pt>
                <c:pt idx="110">
                  <c:v>20.32293673094285</c:v>
                </c:pt>
                <c:pt idx="111">
                  <c:v>12</c:v>
                </c:pt>
                <c:pt idx="112">
                  <c:v>60</c:v>
                </c:pt>
                <c:pt idx="113">
                  <c:v>59.977621104822219</c:v>
                </c:pt>
                <c:pt idx="114">
                  <c:v>59.910498330815244</c:v>
                </c:pt>
                <c:pt idx="115">
                  <c:v>59.7986734039103</c:v>
                </c:pt>
                <c:pt idx="116">
                  <c:v>59.642215838505066</c:v>
                </c:pt>
                <c:pt idx="117">
                  <c:v>59.441222894251112</c:v>
                </c:pt>
                <c:pt idx="118">
                  <c:v>59.195819515593755</c:v>
                </c:pt>
                <c:pt idx="119">
                  <c:v>58.906158254102053</c:v>
                </c:pt>
                <c:pt idx="120">
                  <c:v>58.572419173637371</c:v>
                </c:pt>
                <c:pt idx="121">
                  <c:v>58.19480973841911</c:v>
                </c:pt>
                <c:pt idx="122">
                  <c:v>57.77356468405749</c:v>
                </c:pt>
                <c:pt idx="123">
                  <c:v>57.308945871633512</c:v>
                </c:pt>
                <c:pt idx="124">
                  <c:v>56.801242124916655</c:v>
                </c:pt>
                <c:pt idx="125">
                  <c:v>56.250769050821617</c:v>
                </c:pt>
                <c:pt idx="126">
                  <c:v>55.657868843215709</c:v>
                </c:pt>
                <c:pt idx="127">
                  <c:v>55.022910070198847</c:v>
                </c:pt>
                <c:pt idx="128">
                  <c:v>54.346287444988349</c:v>
                </c:pt>
                <c:pt idx="129">
                  <c:v>53.628421580551006</c:v>
                </c:pt>
                <c:pt idx="130">
                  <c:v>52.869758728134926</c:v>
                </c:pt>
                <c:pt idx="131">
                  <c:v>52.070770499863713</c:v>
                </c:pt>
                <c:pt idx="132">
                  <c:v>51.231953575565385</c:v>
                </c:pt>
                <c:pt idx="133">
                  <c:v>50.353829394018334</c:v>
                </c:pt>
                <c:pt idx="134">
                  <c:v>49.436943828806236</c:v>
                </c:pt>
                <c:pt idx="135">
                  <c:v>48.481866848983351</c:v>
                </c:pt>
                <c:pt idx="136">
                  <c:v>47.489192164761299</c:v>
                </c:pt>
                <c:pt idx="137">
                  <c:v>46.45953685843741</c:v>
                </c:pt>
                <c:pt idx="138">
                  <c:v>45.39354100079418</c:v>
                </c:pt>
                <c:pt idx="139">
                  <c:v>44.29186725320821</c:v>
                </c:pt>
                <c:pt idx="140">
                  <c:v>43.155200455716098</c:v>
                </c:pt>
                <c:pt idx="141">
                  <c:v>41.984247201293201</c:v>
                </c:pt>
                <c:pt idx="142">
                  <c:v>40.779735396610057</c:v>
                </c:pt>
                <c:pt idx="143">
                  <c:v>39.542413809539362</c:v>
                </c:pt>
                <c:pt idx="144">
                  <c:v>38.27305160369496</c:v>
                </c:pt>
                <c:pt idx="145">
                  <c:v>36.97243786029204</c:v>
                </c:pt>
                <c:pt idx="146">
                  <c:v>35.641381087625909</c:v>
                </c:pt>
                <c:pt idx="147">
                  <c:v>34.280708718474088</c:v>
                </c:pt>
                <c:pt idx="148">
                  <c:v>32.891266595734379</c:v>
                </c:pt>
                <c:pt idx="149">
                  <c:v>31.473918446618441</c:v>
                </c:pt>
                <c:pt idx="150">
                  <c:v>30.029545345727961</c:v>
                </c:pt>
                <c:pt idx="151">
                  <c:v>28.559045167346859</c:v>
                </c:pt>
                <c:pt idx="152">
                  <c:v>27.063332027290457</c:v>
                </c:pt>
                <c:pt idx="153">
                  <c:v>25.54333571465812</c:v>
                </c:pt>
                <c:pt idx="154">
                  <c:v>24.00000111384292</c:v>
                </c:pt>
                <c:pt idx="155">
                  <c:v>22.434287617157558</c:v>
                </c:pt>
                <c:pt idx="156">
                  <c:v>20.847168528441451</c:v>
                </c:pt>
                <c:pt idx="157">
                  <c:v>19.239630458020226</c:v>
                </c:pt>
                <c:pt idx="158">
                  <c:v>17.612672709393095</c:v>
                </c:pt>
                <c:pt idx="159">
                  <c:v>15.967306658029923</c:v>
                </c:pt>
                <c:pt idx="160">
                  <c:v>14.304555122663807</c:v>
                </c:pt>
                <c:pt idx="161">
                  <c:v>12.625451729470267</c:v>
                </c:pt>
                <c:pt idx="162">
                  <c:v>10.931040269527855</c:v>
                </c:pt>
                <c:pt idx="163">
                  <c:v>9.2223740499601874</c:v>
                </c:pt>
                <c:pt idx="164">
                  <c:v>7.50051523916229</c:v>
                </c:pt>
                <c:pt idx="165">
                  <c:v>5.7665342065185783</c:v>
                </c:pt>
                <c:pt idx="166">
                  <c:v>4.0215088570226385</c:v>
                </c:pt>
                <c:pt idx="167">
                  <c:v>2.2665239612127621</c:v>
                </c:pt>
                <c:pt idx="168">
                  <c:v>0.50267048083958699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2.8515696384297637</c:v>
                </c:pt>
                <c:pt idx="177">
                  <c:v>1.9753111994832171</c:v>
                </c:pt>
                <c:pt idx="178">
                  <c:v>0.92563316887902047</c:v>
                </c:pt>
                <c:pt idx="179">
                  <c:v>-0.21601377837397351</c:v>
                </c:pt>
                <c:pt idx="180">
                  <c:v>-1.4157664759720063</c:v>
                </c:pt>
                <c:pt idx="181">
                  <c:v>-2.6556123420946562</c:v>
                </c:pt>
                <c:pt idx="182">
                  <c:v>-3.9245681685754725</c:v>
                </c:pt>
                <c:pt idx="183">
                  <c:v>-5.2153144569239593</c:v>
                </c:pt>
                <c:pt idx="184">
                  <c:v>-6.5226550874579061</c:v>
                </c:pt>
                <c:pt idx="185">
                  <c:v>-7.8427215966531474</c:v>
                </c:pt>
                <c:pt idx="186">
                  <c:v>-9.1725245020797033</c:v>
                </c:pt>
                <c:pt idx="187">
                  <c:v>-10.509682805443534</c:v>
                </c:pt>
                <c:pt idx="188">
                  <c:v>-11.852251962601201</c:v>
                </c:pt>
                <c:pt idx="189">
                  <c:v>-13.198609507350314</c:v>
                </c:pt>
                <c:pt idx="190">
                  <c:v>-14.547376030315508</c:v>
                </c:pt>
                <c:pt idx="191">
                  <c:v>-15.897358663204308</c:v>
                </c:pt>
                <c:pt idx="192">
                  <c:v>-17.247509325359044</c:v>
                </c:pt>
                <c:pt idx="193">
                  <c:v>-18.596892885306229</c:v>
                </c:pt>
                <c:pt idx="194">
                  <c:v>-19.944662101015112</c:v>
                </c:pt>
                <c:pt idx="195">
                  <c:v>-21.290037250525245</c:v>
                </c:pt>
                <c:pt idx="196">
                  <c:v>-22.632289027455251</c:v>
                </c:pt>
                <c:pt idx="197">
                  <c:v>-23.97072370792359</c:v>
                </c:pt>
                <c:pt idx="198">
                  <c:v>-25.30466988534544</c:v>
                </c:pt>
                <c:pt idx="199">
                  <c:v>-26.633466270137497</c:v>
                </c:pt>
                <c:pt idx="200">
                  <c:v>-27.956450194805811</c:v>
                </c:pt>
                <c:pt idx="201">
                  <c:v>-29.272946571435931</c:v>
                </c:pt>
                <c:pt idx="202">
                  <c:v>-30.582257131227855</c:v>
                </c:pt>
                <c:pt idx="203">
                  <c:v>-31.883649842884822</c:v>
                </c:pt>
                <c:pt idx="204">
                  <c:v>-33.176348463939625</c:v>
                </c:pt>
                <c:pt idx="205">
                  <c:v>-34.459522230103559</c:v>
                </c:pt>
                <c:pt idx="206">
                  <c:v>-35.732275734705851</c:v>
                </c:pt>
                <c:pt idx="207">
                  <c:v>-36.99363909448315</c:v>
                </c:pt>
                <c:pt idx="208">
                  <c:v>-38.242558539797471</c:v>
                </c:pt>
                <c:pt idx="209">
                  <c:v>-39.477887606536221</c:v>
                </c:pt>
                <c:pt idx="210">
                  <c:v>-40.698379142616446</c:v>
                </c:pt>
                <c:pt idx="211">
                  <c:v>-41.902678372794895</c:v>
                </c:pt>
                <c:pt idx="212">
                  <c:v>-43.089317289558807</c:v>
                </c:pt>
                <c:pt idx="213">
                  <c:v>-44.25671065311036</c:v>
                </c:pt>
                <c:pt idx="214">
                  <c:v>-45.403153887555582</c:v>
                </c:pt>
                <c:pt idx="215">
                  <c:v>-46.526823151096757</c:v>
                </c:pt>
                <c:pt idx="216">
                  <c:v>-47.625777833297384</c:v>
                </c:pt>
                <c:pt idx="217">
                  <c:v>-48.697965690882285</c:v>
                </c:pt>
                <c:pt idx="218">
                  <c:v>-49.741230774414589</c:v>
                </c:pt>
                <c:pt idx="219">
                  <c:v>-50.753324222038465</c:v>
                </c:pt>
                <c:pt idx="220">
                  <c:v>-51.731917905092047</c:v>
                </c:pt>
                <c:pt idx="221">
                  <c:v>-52.674620807053785</c:v>
                </c:pt>
                <c:pt idx="222">
                  <c:v>-53.578997906712083</c:v>
                </c:pt>
                <c:pt idx="223">
                  <c:v>-54.442591224662408</c:v>
                </c:pt>
                <c:pt idx="224">
                  <c:v>-55.262942586197084</c:v>
                </c:pt>
                <c:pt idx="225">
                  <c:v>-56.037617560739605</c:v>
                </c:pt>
                <c:pt idx="226">
                  <c:v>-56.764229965340405</c:v>
                </c:pt>
                <c:pt idx="227">
                  <c:v>-57.440466273599569</c:v>
                </c:pt>
                <c:pt idx="228">
                  <c:v>-58.064109256288212</c:v>
                </c:pt>
                <c:pt idx="229">
                  <c:v>-58.633060198267984</c:v>
                </c:pt>
                <c:pt idx="230">
                  <c:v>-59.145359087855262</c:v>
                </c:pt>
                <c:pt idx="231">
                  <c:v>-59.599202256688159</c:v>
                </c:pt>
                <c:pt idx="232">
                  <c:v>-59.992957055132891</c:v>
                </c:pt>
                <c:pt idx="233">
                  <c:v>-60.325173273076174</c:v>
                </c:pt>
                <c:pt idx="234">
                  <c:v>-60.594591150128096</c:v>
                </c:pt>
                <c:pt idx="235">
                  <c:v>-60.800145953957085</c:v>
                </c:pt>
                <c:pt idx="236">
                  <c:v>-60.940969232303956</c:v>
                </c:pt>
                <c:pt idx="237">
                  <c:v>-61.016386955989681</c:v>
                </c:pt>
                <c:pt idx="238">
                  <c:v>-61.025914861512376</c:v>
                </c:pt>
                <c:pt idx="239">
                  <c:v>-60.969251369261414</c:v>
                </c:pt>
              </c:numCache>
            </c:numRef>
          </c:xVal>
          <c:yVal>
            <c:numRef>
              <c:f>CALC60!$BZ$6:$BZ$581</c:f>
              <c:numCache>
                <c:formatCode>General</c:formatCode>
                <c:ptCount val="576"/>
              </c:numCache>
            </c:numRef>
          </c:yVal>
          <c:smooth val="0"/>
        </c:ser>
        <c:ser>
          <c:idx val="27"/>
          <c:order val="27"/>
          <c:tx>
            <c:strRef>
              <c:f>CALC60!$CA$5</c:f>
              <c:strCache>
                <c:ptCount val="1"/>
                <c:pt idx="0">
                  <c:v>R26</c:v>
                </c:pt>
              </c:strCache>
            </c:strRef>
          </c:tx>
          <c:xVal>
            <c:numRef>
              <c:f>CALC60!$AY$6:$AY$581</c:f>
              <c:numCache>
                <c:formatCode>General</c:formatCode>
                <c:ptCount val="576"/>
                <c:pt idx="0">
                  <c:v>-19.833506546880365</c:v>
                </c:pt>
                <c:pt idx="1">
                  <c:v>-18.245852614565919</c:v>
                </c:pt>
                <c:pt idx="2">
                  <c:v>-16.629666681765414</c:v>
                </c:pt>
                <c:pt idx="3">
                  <c:v>-14.98231154257417</c:v>
                </c:pt>
                <c:pt idx="4">
                  <c:v>-13.301143585556035</c:v>
                </c:pt>
                <c:pt idx="5">
                  <c:v>-11.583569246398675</c:v>
                </c:pt>
                <c:pt idx="6">
                  <c:v>-9.8270793278644781</c:v>
                </c:pt>
                <c:pt idx="7">
                  <c:v>-8.029252658232803</c:v>
                </c:pt>
                <c:pt idx="8">
                  <c:v>-6.1877185053343773</c:v>
                </c:pt>
                <c:pt idx="9">
                  <c:v>-4.3000630515963358</c:v>
                </c:pt>
                <c:pt idx="10">
                  <c:v>-2.3636564525099644</c:v>
                </c:pt>
                <c:pt idx="11">
                  <c:v>-0.37535794962416702</c:v>
                </c:pt>
                <c:pt idx="12">
                  <c:v>-3.0678010204149508</c:v>
                </c:pt>
                <c:pt idx="13">
                  <c:v>5.8156608222448263</c:v>
                </c:pt>
                <c:pt idx="14">
                  <c:v>-8.9906603193697858</c:v>
                </c:pt>
                <c:pt idx="15">
                  <c:v>-19.434156555154736</c:v>
                </c:pt>
                <c:pt idx="16">
                  <c:v>-12</c:v>
                </c:pt>
                <c:pt idx="17">
                  <c:v>-29.167117021908272</c:v>
                </c:pt>
                <c:pt idx="18">
                  <c:v>-14</c:v>
                </c:pt>
                <c:pt idx="19">
                  <c:v>-19.833506546880365</c:v>
                </c:pt>
                <c:pt idx="20">
                  <c:v>1.5130248501190131</c:v>
                </c:pt>
                <c:pt idx="21">
                  <c:v>12</c:v>
                </c:pt>
                <c:pt idx="22">
                  <c:v>-12</c:v>
                </c:pt>
                <c:pt idx="23">
                  <c:v>-28.772550131225248</c:v>
                </c:pt>
                <c:pt idx="24">
                  <c:v>-11.666666666666666</c:v>
                </c:pt>
                <c:pt idx="25">
                  <c:v>-18.245852614565919</c:v>
                </c:pt>
                <c:pt idx="26">
                  <c:v>4.3925078710812571</c:v>
                </c:pt>
                <c:pt idx="27">
                  <c:v>12</c:v>
                </c:pt>
                <c:pt idx="28">
                  <c:v>-12</c:v>
                </c:pt>
                <c:pt idx="29">
                  <c:v>-28.303800039278563</c:v>
                </c:pt>
                <c:pt idx="30">
                  <c:v>-9.3333333333333321</c:v>
                </c:pt>
                <c:pt idx="31">
                  <c:v>-16.629666681765414</c:v>
                </c:pt>
                <c:pt idx="32">
                  <c:v>6.4527131206909987</c:v>
                </c:pt>
                <c:pt idx="33">
                  <c:v>12</c:v>
                </c:pt>
                <c:pt idx="34">
                  <c:v>-12</c:v>
                </c:pt>
                <c:pt idx="35">
                  <c:v>-27.754010010716058</c:v>
                </c:pt>
                <c:pt idx="36">
                  <c:v>-6.9999999999999982</c:v>
                </c:pt>
                <c:pt idx="37">
                  <c:v>-14.98231154257417</c:v>
                </c:pt>
                <c:pt idx="38">
                  <c:v>8.2375052570320868</c:v>
                </c:pt>
                <c:pt idx="39">
                  <c:v>12</c:v>
                </c:pt>
                <c:pt idx="40">
                  <c:v>-12</c:v>
                </c:pt>
                <c:pt idx="41">
                  <c:v>-27.116306655803694</c:v>
                </c:pt>
                <c:pt idx="42">
                  <c:v>-4.6666666666666643</c:v>
                </c:pt>
                <c:pt idx="43">
                  <c:v>-13.301143585556035</c:v>
                </c:pt>
                <c:pt idx="44">
                  <c:v>9.8664661885771885</c:v>
                </c:pt>
                <c:pt idx="45">
                  <c:v>12</c:v>
                </c:pt>
                <c:pt idx="46">
                  <c:v>-12</c:v>
                </c:pt>
                <c:pt idx="47">
                  <c:v>-26.383946707329393</c:v>
                </c:pt>
                <c:pt idx="48">
                  <c:v>-2.3333333333333308</c:v>
                </c:pt>
                <c:pt idx="49">
                  <c:v>-11.583569246398675</c:v>
                </c:pt>
                <c:pt idx="50">
                  <c:v>11.388844623449907</c:v>
                </c:pt>
                <c:pt idx="51">
                  <c:v>12</c:v>
                </c:pt>
                <c:pt idx="52">
                  <c:v>-12</c:v>
                </c:pt>
                <c:pt idx="53">
                  <c:v>-25.550406252475348</c:v>
                </c:pt>
                <c:pt idx="54">
                  <c:v>0</c:v>
                </c:pt>
                <c:pt idx="55">
                  <c:v>-9.8270793278644781</c:v>
                </c:pt>
                <c:pt idx="56">
                  <c:v>12.829698097369761</c:v>
                </c:pt>
                <c:pt idx="57">
                  <c:v>12</c:v>
                </c:pt>
                <c:pt idx="58">
                  <c:v>-12</c:v>
                </c:pt>
                <c:pt idx="59">
                  <c:v>-24.609390244767855</c:v>
                </c:pt>
                <c:pt idx="60">
                  <c:v>2.3333333333333335</c:v>
                </c:pt>
                <c:pt idx="61">
                  <c:v>-8.029252658232803</c:v>
                </c:pt>
                <c:pt idx="62">
                  <c:v>14.203132463376605</c:v>
                </c:pt>
                <c:pt idx="63">
                  <c:v>12</c:v>
                </c:pt>
                <c:pt idx="64">
                  <c:v>-12</c:v>
                </c:pt>
                <c:pt idx="65">
                  <c:v>-23.554734780566797</c:v>
                </c:pt>
                <c:pt idx="66">
                  <c:v>4.666666666666667</c:v>
                </c:pt>
                <c:pt idx="67">
                  <c:v>-6.1877185053343773</c:v>
                </c:pt>
                <c:pt idx="68">
                  <c:v>15.517506829265256</c:v>
                </c:pt>
                <c:pt idx="69">
                  <c:v>12</c:v>
                </c:pt>
                <c:pt idx="70">
                  <c:v>-12</c:v>
                </c:pt>
                <c:pt idx="71">
                  <c:v>-22.380163934182676</c:v>
                </c:pt>
                <c:pt idx="72">
                  <c:v>7</c:v>
                </c:pt>
                <c:pt idx="73">
                  <c:v>-4.3000630515963358</c:v>
                </c:pt>
                <c:pt idx="74">
                  <c:v>16.777941702150098</c:v>
                </c:pt>
                <c:pt idx="75">
                  <c:v>12</c:v>
                </c:pt>
                <c:pt idx="76">
                  <c:v>-12</c:v>
                </c:pt>
                <c:pt idx="77">
                  <c:v>-21.078840109892809</c:v>
                </c:pt>
                <c:pt idx="78">
                  <c:v>9.3333333333333339</c:v>
                </c:pt>
                <c:pt idx="79">
                  <c:v>-2.3636564525099644</c:v>
                </c:pt>
                <c:pt idx="80">
                  <c:v>17.987756355580007</c:v>
                </c:pt>
                <c:pt idx="81">
                  <c:v>12</c:v>
                </c:pt>
                <c:pt idx="82">
                  <c:v>-12</c:v>
                </c:pt>
                <c:pt idx="83">
                  <c:v>-19.642597335724307</c:v>
                </c:pt>
                <c:pt idx="84">
                  <c:v>11.666666666666668</c:v>
                </c:pt>
                <c:pt idx="85">
                  <c:v>-0.37535794962416702</c:v>
                </c:pt>
                <c:pt idx="86">
                  <c:v>19.149459663035739</c:v>
                </c:pt>
                <c:pt idx="87">
                  <c:v>12</c:v>
                </c:pt>
                <c:pt idx="88">
                  <c:v>-12</c:v>
                </c:pt>
                <c:pt idx="89">
                  <c:v>-30.376282653093735</c:v>
                </c:pt>
                <c:pt idx="90">
                  <c:v>14.000000000000002</c:v>
                </c:pt>
                <c:pt idx="91">
                  <c:v>-3.0678010204149508</c:v>
                </c:pt>
                <c:pt idx="92">
                  <c:v>26.896999319700733</c:v>
                </c:pt>
                <c:pt idx="93">
                  <c:v>12</c:v>
                </c:pt>
                <c:pt idx="94">
                  <c:v>-12</c:v>
                </c:pt>
                <c:pt idx="95">
                  <c:v>-24.879281862192261</c:v>
                </c:pt>
                <c:pt idx="96">
                  <c:v>25</c:v>
                </c:pt>
                <c:pt idx="97">
                  <c:v>5.8156608222448263</c:v>
                </c:pt>
                <c:pt idx="98">
                  <c:v>31.34962606454722</c:v>
                </c:pt>
                <c:pt idx="99">
                  <c:v>12</c:v>
                </c:pt>
                <c:pt idx="100">
                  <c:v>-12</c:v>
                </c:pt>
                <c:pt idx="101">
                  <c:v>-23.375716830330454</c:v>
                </c:pt>
                <c:pt idx="102">
                  <c:v>0</c:v>
                </c:pt>
                <c:pt idx="103">
                  <c:v>-8.9906603193697858</c:v>
                </c:pt>
                <c:pt idx="104">
                  <c:v>22.648032351271631</c:v>
                </c:pt>
                <c:pt idx="105">
                  <c:v>12</c:v>
                </c:pt>
                <c:pt idx="106">
                  <c:v>-12</c:v>
                </c:pt>
                <c:pt idx="107">
                  <c:v>-10.52880704336475</c:v>
                </c:pt>
                <c:pt idx="108">
                  <c:v>-25</c:v>
                </c:pt>
                <c:pt idx="109">
                  <c:v>-19.434156555154736</c:v>
                </c:pt>
                <c:pt idx="110">
                  <c:v>20.32293673094285</c:v>
                </c:pt>
                <c:pt idx="111">
                  <c:v>12</c:v>
                </c:pt>
                <c:pt idx="112">
                  <c:v>60</c:v>
                </c:pt>
                <c:pt idx="113">
                  <c:v>59.977621104822219</c:v>
                </c:pt>
                <c:pt idx="114">
                  <c:v>59.910498330815244</c:v>
                </c:pt>
                <c:pt idx="115">
                  <c:v>59.7986734039103</c:v>
                </c:pt>
                <c:pt idx="116">
                  <c:v>59.642215838505066</c:v>
                </c:pt>
                <c:pt idx="117">
                  <c:v>59.441222894251112</c:v>
                </c:pt>
                <c:pt idx="118">
                  <c:v>59.195819515593755</c:v>
                </c:pt>
                <c:pt idx="119">
                  <c:v>58.906158254102053</c:v>
                </c:pt>
                <c:pt idx="120">
                  <c:v>58.572419173637371</c:v>
                </c:pt>
                <c:pt idx="121">
                  <c:v>58.19480973841911</c:v>
                </c:pt>
                <c:pt idx="122">
                  <c:v>57.77356468405749</c:v>
                </c:pt>
                <c:pt idx="123">
                  <c:v>57.308945871633512</c:v>
                </c:pt>
                <c:pt idx="124">
                  <c:v>56.801242124916655</c:v>
                </c:pt>
                <c:pt idx="125">
                  <c:v>56.250769050821617</c:v>
                </c:pt>
                <c:pt idx="126">
                  <c:v>55.657868843215709</c:v>
                </c:pt>
                <c:pt idx="127">
                  <c:v>55.022910070198847</c:v>
                </c:pt>
                <c:pt idx="128">
                  <c:v>54.346287444988349</c:v>
                </c:pt>
                <c:pt idx="129">
                  <c:v>53.628421580551006</c:v>
                </c:pt>
                <c:pt idx="130">
                  <c:v>52.869758728134926</c:v>
                </c:pt>
                <c:pt idx="131">
                  <c:v>52.070770499863713</c:v>
                </c:pt>
                <c:pt idx="132">
                  <c:v>51.231953575565385</c:v>
                </c:pt>
                <c:pt idx="133">
                  <c:v>50.353829394018334</c:v>
                </c:pt>
                <c:pt idx="134">
                  <c:v>49.436943828806236</c:v>
                </c:pt>
                <c:pt idx="135">
                  <c:v>48.481866848983351</c:v>
                </c:pt>
                <c:pt idx="136">
                  <c:v>47.489192164761299</c:v>
                </c:pt>
                <c:pt idx="137">
                  <c:v>46.45953685843741</c:v>
                </c:pt>
                <c:pt idx="138">
                  <c:v>45.39354100079418</c:v>
                </c:pt>
                <c:pt idx="139">
                  <c:v>44.29186725320821</c:v>
                </c:pt>
                <c:pt idx="140">
                  <c:v>43.155200455716098</c:v>
                </c:pt>
                <c:pt idx="141">
                  <c:v>41.984247201293201</c:v>
                </c:pt>
                <c:pt idx="142">
                  <c:v>40.779735396610057</c:v>
                </c:pt>
                <c:pt idx="143">
                  <c:v>39.542413809539362</c:v>
                </c:pt>
                <c:pt idx="144">
                  <c:v>38.27305160369496</c:v>
                </c:pt>
                <c:pt idx="145">
                  <c:v>36.97243786029204</c:v>
                </c:pt>
                <c:pt idx="146">
                  <c:v>35.641381087625909</c:v>
                </c:pt>
                <c:pt idx="147">
                  <c:v>34.280708718474088</c:v>
                </c:pt>
                <c:pt idx="148">
                  <c:v>32.891266595734379</c:v>
                </c:pt>
                <c:pt idx="149">
                  <c:v>31.473918446618441</c:v>
                </c:pt>
                <c:pt idx="150">
                  <c:v>30.029545345727961</c:v>
                </c:pt>
                <c:pt idx="151">
                  <c:v>28.559045167346859</c:v>
                </c:pt>
                <c:pt idx="152">
                  <c:v>27.063332027290457</c:v>
                </c:pt>
                <c:pt idx="153">
                  <c:v>25.54333571465812</c:v>
                </c:pt>
                <c:pt idx="154">
                  <c:v>24.00000111384292</c:v>
                </c:pt>
                <c:pt idx="155">
                  <c:v>22.434287617157558</c:v>
                </c:pt>
                <c:pt idx="156">
                  <c:v>20.847168528441451</c:v>
                </c:pt>
                <c:pt idx="157">
                  <c:v>19.239630458020226</c:v>
                </c:pt>
                <c:pt idx="158">
                  <c:v>17.612672709393095</c:v>
                </c:pt>
                <c:pt idx="159">
                  <c:v>15.967306658029923</c:v>
                </c:pt>
                <c:pt idx="160">
                  <c:v>14.304555122663807</c:v>
                </c:pt>
                <c:pt idx="161">
                  <c:v>12.625451729470267</c:v>
                </c:pt>
                <c:pt idx="162">
                  <c:v>10.931040269527855</c:v>
                </c:pt>
                <c:pt idx="163">
                  <c:v>9.2223740499601874</c:v>
                </c:pt>
                <c:pt idx="164">
                  <c:v>7.50051523916229</c:v>
                </c:pt>
                <c:pt idx="165">
                  <c:v>5.7665342065185783</c:v>
                </c:pt>
                <c:pt idx="166">
                  <c:v>4.0215088570226385</c:v>
                </c:pt>
                <c:pt idx="167">
                  <c:v>2.2665239612127621</c:v>
                </c:pt>
                <c:pt idx="168">
                  <c:v>0.50267048083958699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2.8515696384297637</c:v>
                </c:pt>
                <c:pt idx="177">
                  <c:v>1.9753111994832171</c:v>
                </c:pt>
                <c:pt idx="178">
                  <c:v>0.92563316887902047</c:v>
                </c:pt>
                <c:pt idx="179">
                  <c:v>-0.21601377837397351</c:v>
                </c:pt>
                <c:pt idx="180">
                  <c:v>-1.4157664759720063</c:v>
                </c:pt>
                <c:pt idx="181">
                  <c:v>-2.6556123420946562</c:v>
                </c:pt>
                <c:pt idx="182">
                  <c:v>-3.9245681685754725</c:v>
                </c:pt>
                <c:pt idx="183">
                  <c:v>-5.2153144569239593</c:v>
                </c:pt>
                <c:pt idx="184">
                  <c:v>-6.5226550874579061</c:v>
                </c:pt>
                <c:pt idx="185">
                  <c:v>-7.8427215966531474</c:v>
                </c:pt>
                <c:pt idx="186">
                  <c:v>-9.1725245020797033</c:v>
                </c:pt>
                <c:pt idx="187">
                  <c:v>-10.509682805443534</c:v>
                </c:pt>
                <c:pt idx="188">
                  <c:v>-11.852251962601201</c:v>
                </c:pt>
                <c:pt idx="189">
                  <c:v>-13.198609507350314</c:v>
                </c:pt>
                <c:pt idx="190">
                  <c:v>-14.547376030315508</c:v>
                </c:pt>
                <c:pt idx="191">
                  <c:v>-15.897358663204308</c:v>
                </c:pt>
                <c:pt idx="192">
                  <c:v>-17.247509325359044</c:v>
                </c:pt>
                <c:pt idx="193">
                  <c:v>-18.596892885306229</c:v>
                </c:pt>
                <c:pt idx="194">
                  <c:v>-19.944662101015112</c:v>
                </c:pt>
                <c:pt idx="195">
                  <c:v>-21.290037250525245</c:v>
                </c:pt>
                <c:pt idx="196">
                  <c:v>-22.632289027455251</c:v>
                </c:pt>
                <c:pt idx="197">
                  <c:v>-23.97072370792359</c:v>
                </c:pt>
                <c:pt idx="198">
                  <c:v>-25.30466988534544</c:v>
                </c:pt>
                <c:pt idx="199">
                  <c:v>-26.633466270137497</c:v>
                </c:pt>
                <c:pt idx="200">
                  <c:v>-27.956450194805811</c:v>
                </c:pt>
                <c:pt idx="201">
                  <c:v>-29.272946571435931</c:v>
                </c:pt>
                <c:pt idx="202">
                  <c:v>-30.582257131227855</c:v>
                </c:pt>
                <c:pt idx="203">
                  <c:v>-31.883649842884822</c:v>
                </c:pt>
                <c:pt idx="204">
                  <c:v>-33.176348463939625</c:v>
                </c:pt>
                <c:pt idx="205">
                  <c:v>-34.459522230103559</c:v>
                </c:pt>
                <c:pt idx="206">
                  <c:v>-35.732275734705851</c:v>
                </c:pt>
                <c:pt idx="207">
                  <c:v>-36.99363909448315</c:v>
                </c:pt>
                <c:pt idx="208">
                  <c:v>-38.242558539797471</c:v>
                </c:pt>
                <c:pt idx="209">
                  <c:v>-39.477887606536221</c:v>
                </c:pt>
                <c:pt idx="210">
                  <c:v>-40.698379142616446</c:v>
                </c:pt>
                <c:pt idx="211">
                  <c:v>-41.902678372794895</c:v>
                </c:pt>
                <c:pt idx="212">
                  <c:v>-43.089317289558807</c:v>
                </c:pt>
                <c:pt idx="213">
                  <c:v>-44.25671065311036</c:v>
                </c:pt>
                <c:pt idx="214">
                  <c:v>-45.403153887555582</c:v>
                </c:pt>
                <c:pt idx="215">
                  <c:v>-46.526823151096757</c:v>
                </c:pt>
                <c:pt idx="216">
                  <c:v>-47.625777833297384</c:v>
                </c:pt>
                <c:pt idx="217">
                  <c:v>-48.697965690882285</c:v>
                </c:pt>
                <c:pt idx="218">
                  <c:v>-49.741230774414589</c:v>
                </c:pt>
                <c:pt idx="219">
                  <c:v>-50.753324222038465</c:v>
                </c:pt>
                <c:pt idx="220">
                  <c:v>-51.731917905092047</c:v>
                </c:pt>
                <c:pt idx="221">
                  <c:v>-52.674620807053785</c:v>
                </c:pt>
                <c:pt idx="222">
                  <c:v>-53.578997906712083</c:v>
                </c:pt>
                <c:pt idx="223">
                  <c:v>-54.442591224662408</c:v>
                </c:pt>
                <c:pt idx="224">
                  <c:v>-55.262942586197084</c:v>
                </c:pt>
                <c:pt idx="225">
                  <c:v>-56.037617560739605</c:v>
                </c:pt>
                <c:pt idx="226">
                  <c:v>-56.764229965340405</c:v>
                </c:pt>
                <c:pt idx="227">
                  <c:v>-57.440466273599569</c:v>
                </c:pt>
                <c:pt idx="228">
                  <c:v>-58.064109256288212</c:v>
                </c:pt>
                <c:pt idx="229">
                  <c:v>-58.633060198267984</c:v>
                </c:pt>
                <c:pt idx="230">
                  <c:v>-59.145359087855262</c:v>
                </c:pt>
                <c:pt idx="231">
                  <c:v>-59.599202256688159</c:v>
                </c:pt>
                <c:pt idx="232">
                  <c:v>-59.992957055132891</c:v>
                </c:pt>
                <c:pt idx="233">
                  <c:v>-60.325173273076174</c:v>
                </c:pt>
                <c:pt idx="234">
                  <c:v>-60.594591150128096</c:v>
                </c:pt>
                <c:pt idx="235">
                  <c:v>-60.800145953957085</c:v>
                </c:pt>
                <c:pt idx="236">
                  <c:v>-60.940969232303956</c:v>
                </c:pt>
                <c:pt idx="237">
                  <c:v>-61.016386955989681</c:v>
                </c:pt>
                <c:pt idx="238">
                  <c:v>-61.025914861512376</c:v>
                </c:pt>
                <c:pt idx="239">
                  <c:v>-60.969251369261414</c:v>
                </c:pt>
              </c:numCache>
            </c:numRef>
          </c:xVal>
          <c:yVal>
            <c:numRef>
              <c:f>CALC60!$CA$6:$CA$581</c:f>
              <c:numCache>
                <c:formatCode>General</c:formatCode>
                <c:ptCount val="576"/>
              </c:numCache>
            </c:numRef>
          </c:yVal>
          <c:smooth val="0"/>
        </c:ser>
        <c:ser>
          <c:idx val="28"/>
          <c:order val="28"/>
          <c:tx>
            <c:strRef>
              <c:f>CALC60!$CB$5</c:f>
              <c:strCache>
                <c:ptCount val="1"/>
                <c:pt idx="0">
                  <c:v>R27</c:v>
                </c:pt>
              </c:strCache>
            </c:strRef>
          </c:tx>
          <c:xVal>
            <c:numRef>
              <c:f>CALC60!$AY$6:$AY$581</c:f>
              <c:numCache>
                <c:formatCode>General</c:formatCode>
                <c:ptCount val="576"/>
                <c:pt idx="0">
                  <c:v>-19.833506546880365</c:v>
                </c:pt>
                <c:pt idx="1">
                  <c:v>-18.245852614565919</c:v>
                </c:pt>
                <c:pt idx="2">
                  <c:v>-16.629666681765414</c:v>
                </c:pt>
                <c:pt idx="3">
                  <c:v>-14.98231154257417</c:v>
                </c:pt>
                <c:pt idx="4">
                  <c:v>-13.301143585556035</c:v>
                </c:pt>
                <c:pt idx="5">
                  <c:v>-11.583569246398675</c:v>
                </c:pt>
                <c:pt idx="6">
                  <c:v>-9.8270793278644781</c:v>
                </c:pt>
                <c:pt idx="7">
                  <c:v>-8.029252658232803</c:v>
                </c:pt>
                <c:pt idx="8">
                  <c:v>-6.1877185053343773</c:v>
                </c:pt>
                <c:pt idx="9">
                  <c:v>-4.3000630515963358</c:v>
                </c:pt>
                <c:pt idx="10">
                  <c:v>-2.3636564525099644</c:v>
                </c:pt>
                <c:pt idx="11">
                  <c:v>-0.37535794962416702</c:v>
                </c:pt>
                <c:pt idx="12">
                  <c:v>-3.0678010204149508</c:v>
                </c:pt>
                <c:pt idx="13">
                  <c:v>5.8156608222448263</c:v>
                </c:pt>
                <c:pt idx="14">
                  <c:v>-8.9906603193697858</c:v>
                </c:pt>
                <c:pt idx="15">
                  <c:v>-19.434156555154736</c:v>
                </c:pt>
                <c:pt idx="16">
                  <c:v>-12</c:v>
                </c:pt>
                <c:pt idx="17">
                  <c:v>-29.167117021908272</c:v>
                </c:pt>
                <c:pt idx="18">
                  <c:v>-14</c:v>
                </c:pt>
                <c:pt idx="19">
                  <c:v>-19.833506546880365</c:v>
                </c:pt>
                <c:pt idx="20">
                  <c:v>1.5130248501190131</c:v>
                </c:pt>
                <c:pt idx="21">
                  <c:v>12</c:v>
                </c:pt>
                <c:pt idx="22">
                  <c:v>-12</c:v>
                </c:pt>
                <c:pt idx="23">
                  <c:v>-28.772550131225248</c:v>
                </c:pt>
                <c:pt idx="24">
                  <c:v>-11.666666666666666</c:v>
                </c:pt>
                <c:pt idx="25">
                  <c:v>-18.245852614565919</c:v>
                </c:pt>
                <c:pt idx="26">
                  <c:v>4.3925078710812571</c:v>
                </c:pt>
                <c:pt idx="27">
                  <c:v>12</c:v>
                </c:pt>
                <c:pt idx="28">
                  <c:v>-12</c:v>
                </c:pt>
                <c:pt idx="29">
                  <c:v>-28.303800039278563</c:v>
                </c:pt>
                <c:pt idx="30">
                  <c:v>-9.3333333333333321</c:v>
                </c:pt>
                <c:pt idx="31">
                  <c:v>-16.629666681765414</c:v>
                </c:pt>
                <c:pt idx="32">
                  <c:v>6.4527131206909987</c:v>
                </c:pt>
                <c:pt idx="33">
                  <c:v>12</c:v>
                </c:pt>
                <c:pt idx="34">
                  <c:v>-12</c:v>
                </c:pt>
                <c:pt idx="35">
                  <c:v>-27.754010010716058</c:v>
                </c:pt>
                <c:pt idx="36">
                  <c:v>-6.9999999999999982</c:v>
                </c:pt>
                <c:pt idx="37">
                  <c:v>-14.98231154257417</c:v>
                </c:pt>
                <c:pt idx="38">
                  <c:v>8.2375052570320868</c:v>
                </c:pt>
                <c:pt idx="39">
                  <c:v>12</c:v>
                </c:pt>
                <c:pt idx="40">
                  <c:v>-12</c:v>
                </c:pt>
                <c:pt idx="41">
                  <c:v>-27.116306655803694</c:v>
                </c:pt>
                <c:pt idx="42">
                  <c:v>-4.6666666666666643</c:v>
                </c:pt>
                <c:pt idx="43">
                  <c:v>-13.301143585556035</c:v>
                </c:pt>
                <c:pt idx="44">
                  <c:v>9.8664661885771885</c:v>
                </c:pt>
                <c:pt idx="45">
                  <c:v>12</c:v>
                </c:pt>
                <c:pt idx="46">
                  <c:v>-12</c:v>
                </c:pt>
                <c:pt idx="47">
                  <c:v>-26.383946707329393</c:v>
                </c:pt>
                <c:pt idx="48">
                  <c:v>-2.3333333333333308</c:v>
                </c:pt>
                <c:pt idx="49">
                  <c:v>-11.583569246398675</c:v>
                </c:pt>
                <c:pt idx="50">
                  <c:v>11.388844623449907</c:v>
                </c:pt>
                <c:pt idx="51">
                  <c:v>12</c:v>
                </c:pt>
                <c:pt idx="52">
                  <c:v>-12</c:v>
                </c:pt>
                <c:pt idx="53">
                  <c:v>-25.550406252475348</c:v>
                </c:pt>
                <c:pt idx="54">
                  <c:v>0</c:v>
                </c:pt>
                <c:pt idx="55">
                  <c:v>-9.8270793278644781</c:v>
                </c:pt>
                <c:pt idx="56">
                  <c:v>12.829698097369761</c:v>
                </c:pt>
                <c:pt idx="57">
                  <c:v>12</c:v>
                </c:pt>
                <c:pt idx="58">
                  <c:v>-12</c:v>
                </c:pt>
                <c:pt idx="59">
                  <c:v>-24.609390244767855</c:v>
                </c:pt>
                <c:pt idx="60">
                  <c:v>2.3333333333333335</c:v>
                </c:pt>
                <c:pt idx="61">
                  <c:v>-8.029252658232803</c:v>
                </c:pt>
                <c:pt idx="62">
                  <c:v>14.203132463376605</c:v>
                </c:pt>
                <c:pt idx="63">
                  <c:v>12</c:v>
                </c:pt>
                <c:pt idx="64">
                  <c:v>-12</c:v>
                </c:pt>
                <c:pt idx="65">
                  <c:v>-23.554734780566797</c:v>
                </c:pt>
                <c:pt idx="66">
                  <c:v>4.666666666666667</c:v>
                </c:pt>
                <c:pt idx="67">
                  <c:v>-6.1877185053343773</c:v>
                </c:pt>
                <c:pt idx="68">
                  <c:v>15.517506829265256</c:v>
                </c:pt>
                <c:pt idx="69">
                  <c:v>12</c:v>
                </c:pt>
                <c:pt idx="70">
                  <c:v>-12</c:v>
                </c:pt>
                <c:pt idx="71">
                  <c:v>-22.380163934182676</c:v>
                </c:pt>
                <c:pt idx="72">
                  <c:v>7</c:v>
                </c:pt>
                <c:pt idx="73">
                  <c:v>-4.3000630515963358</c:v>
                </c:pt>
                <c:pt idx="74">
                  <c:v>16.777941702150098</c:v>
                </c:pt>
                <c:pt idx="75">
                  <c:v>12</c:v>
                </c:pt>
                <c:pt idx="76">
                  <c:v>-12</c:v>
                </c:pt>
                <c:pt idx="77">
                  <c:v>-21.078840109892809</c:v>
                </c:pt>
                <c:pt idx="78">
                  <c:v>9.3333333333333339</c:v>
                </c:pt>
                <c:pt idx="79">
                  <c:v>-2.3636564525099644</c:v>
                </c:pt>
                <c:pt idx="80">
                  <c:v>17.987756355580007</c:v>
                </c:pt>
                <c:pt idx="81">
                  <c:v>12</c:v>
                </c:pt>
                <c:pt idx="82">
                  <c:v>-12</c:v>
                </c:pt>
                <c:pt idx="83">
                  <c:v>-19.642597335724307</c:v>
                </c:pt>
                <c:pt idx="84">
                  <c:v>11.666666666666668</c:v>
                </c:pt>
                <c:pt idx="85">
                  <c:v>-0.37535794962416702</c:v>
                </c:pt>
                <c:pt idx="86">
                  <c:v>19.149459663035739</c:v>
                </c:pt>
                <c:pt idx="87">
                  <c:v>12</c:v>
                </c:pt>
                <c:pt idx="88">
                  <c:v>-12</c:v>
                </c:pt>
                <c:pt idx="89">
                  <c:v>-30.376282653093735</c:v>
                </c:pt>
                <c:pt idx="90">
                  <c:v>14.000000000000002</c:v>
                </c:pt>
                <c:pt idx="91">
                  <c:v>-3.0678010204149508</c:v>
                </c:pt>
                <c:pt idx="92">
                  <c:v>26.896999319700733</c:v>
                </c:pt>
                <c:pt idx="93">
                  <c:v>12</c:v>
                </c:pt>
                <c:pt idx="94">
                  <c:v>-12</c:v>
                </c:pt>
                <c:pt idx="95">
                  <c:v>-24.879281862192261</c:v>
                </c:pt>
                <c:pt idx="96">
                  <c:v>25</c:v>
                </c:pt>
                <c:pt idx="97">
                  <c:v>5.8156608222448263</c:v>
                </c:pt>
                <c:pt idx="98">
                  <c:v>31.34962606454722</c:v>
                </c:pt>
                <c:pt idx="99">
                  <c:v>12</c:v>
                </c:pt>
                <c:pt idx="100">
                  <c:v>-12</c:v>
                </c:pt>
                <c:pt idx="101">
                  <c:v>-23.375716830330454</c:v>
                </c:pt>
                <c:pt idx="102">
                  <c:v>0</c:v>
                </c:pt>
                <c:pt idx="103">
                  <c:v>-8.9906603193697858</c:v>
                </c:pt>
                <c:pt idx="104">
                  <c:v>22.648032351271631</c:v>
                </c:pt>
                <c:pt idx="105">
                  <c:v>12</c:v>
                </c:pt>
                <c:pt idx="106">
                  <c:v>-12</c:v>
                </c:pt>
                <c:pt idx="107">
                  <c:v>-10.52880704336475</c:v>
                </c:pt>
                <c:pt idx="108">
                  <c:v>-25</c:v>
                </c:pt>
                <c:pt idx="109">
                  <c:v>-19.434156555154736</c:v>
                </c:pt>
                <c:pt idx="110">
                  <c:v>20.32293673094285</c:v>
                </c:pt>
                <c:pt idx="111">
                  <c:v>12</c:v>
                </c:pt>
                <c:pt idx="112">
                  <c:v>60</c:v>
                </c:pt>
                <c:pt idx="113">
                  <c:v>59.977621104822219</c:v>
                </c:pt>
                <c:pt idx="114">
                  <c:v>59.910498330815244</c:v>
                </c:pt>
                <c:pt idx="115">
                  <c:v>59.7986734039103</c:v>
                </c:pt>
                <c:pt idx="116">
                  <c:v>59.642215838505066</c:v>
                </c:pt>
                <c:pt idx="117">
                  <c:v>59.441222894251112</c:v>
                </c:pt>
                <c:pt idx="118">
                  <c:v>59.195819515593755</c:v>
                </c:pt>
                <c:pt idx="119">
                  <c:v>58.906158254102053</c:v>
                </c:pt>
                <c:pt idx="120">
                  <c:v>58.572419173637371</c:v>
                </c:pt>
                <c:pt idx="121">
                  <c:v>58.19480973841911</c:v>
                </c:pt>
                <c:pt idx="122">
                  <c:v>57.77356468405749</c:v>
                </c:pt>
                <c:pt idx="123">
                  <c:v>57.308945871633512</c:v>
                </c:pt>
                <c:pt idx="124">
                  <c:v>56.801242124916655</c:v>
                </c:pt>
                <c:pt idx="125">
                  <c:v>56.250769050821617</c:v>
                </c:pt>
                <c:pt idx="126">
                  <c:v>55.657868843215709</c:v>
                </c:pt>
                <c:pt idx="127">
                  <c:v>55.022910070198847</c:v>
                </c:pt>
                <c:pt idx="128">
                  <c:v>54.346287444988349</c:v>
                </c:pt>
                <c:pt idx="129">
                  <c:v>53.628421580551006</c:v>
                </c:pt>
                <c:pt idx="130">
                  <c:v>52.869758728134926</c:v>
                </c:pt>
                <c:pt idx="131">
                  <c:v>52.070770499863713</c:v>
                </c:pt>
                <c:pt idx="132">
                  <c:v>51.231953575565385</c:v>
                </c:pt>
                <c:pt idx="133">
                  <c:v>50.353829394018334</c:v>
                </c:pt>
                <c:pt idx="134">
                  <c:v>49.436943828806236</c:v>
                </c:pt>
                <c:pt idx="135">
                  <c:v>48.481866848983351</c:v>
                </c:pt>
                <c:pt idx="136">
                  <c:v>47.489192164761299</c:v>
                </c:pt>
                <c:pt idx="137">
                  <c:v>46.45953685843741</c:v>
                </c:pt>
                <c:pt idx="138">
                  <c:v>45.39354100079418</c:v>
                </c:pt>
                <c:pt idx="139">
                  <c:v>44.29186725320821</c:v>
                </c:pt>
                <c:pt idx="140">
                  <c:v>43.155200455716098</c:v>
                </c:pt>
                <c:pt idx="141">
                  <c:v>41.984247201293201</c:v>
                </c:pt>
                <c:pt idx="142">
                  <c:v>40.779735396610057</c:v>
                </c:pt>
                <c:pt idx="143">
                  <c:v>39.542413809539362</c:v>
                </c:pt>
                <c:pt idx="144">
                  <c:v>38.27305160369496</c:v>
                </c:pt>
                <c:pt idx="145">
                  <c:v>36.97243786029204</c:v>
                </c:pt>
                <c:pt idx="146">
                  <c:v>35.641381087625909</c:v>
                </c:pt>
                <c:pt idx="147">
                  <c:v>34.280708718474088</c:v>
                </c:pt>
                <c:pt idx="148">
                  <c:v>32.891266595734379</c:v>
                </c:pt>
                <c:pt idx="149">
                  <c:v>31.473918446618441</c:v>
                </c:pt>
                <c:pt idx="150">
                  <c:v>30.029545345727961</c:v>
                </c:pt>
                <c:pt idx="151">
                  <c:v>28.559045167346859</c:v>
                </c:pt>
                <c:pt idx="152">
                  <c:v>27.063332027290457</c:v>
                </c:pt>
                <c:pt idx="153">
                  <c:v>25.54333571465812</c:v>
                </c:pt>
                <c:pt idx="154">
                  <c:v>24.00000111384292</c:v>
                </c:pt>
                <c:pt idx="155">
                  <c:v>22.434287617157558</c:v>
                </c:pt>
                <c:pt idx="156">
                  <c:v>20.847168528441451</c:v>
                </c:pt>
                <c:pt idx="157">
                  <c:v>19.239630458020226</c:v>
                </c:pt>
                <c:pt idx="158">
                  <c:v>17.612672709393095</c:v>
                </c:pt>
                <c:pt idx="159">
                  <c:v>15.967306658029923</c:v>
                </c:pt>
                <c:pt idx="160">
                  <c:v>14.304555122663807</c:v>
                </c:pt>
                <c:pt idx="161">
                  <c:v>12.625451729470267</c:v>
                </c:pt>
                <c:pt idx="162">
                  <c:v>10.931040269527855</c:v>
                </c:pt>
                <c:pt idx="163">
                  <c:v>9.2223740499601874</c:v>
                </c:pt>
                <c:pt idx="164">
                  <c:v>7.50051523916229</c:v>
                </c:pt>
                <c:pt idx="165">
                  <c:v>5.7665342065185783</c:v>
                </c:pt>
                <c:pt idx="166">
                  <c:v>4.0215088570226385</c:v>
                </c:pt>
                <c:pt idx="167">
                  <c:v>2.2665239612127621</c:v>
                </c:pt>
                <c:pt idx="168">
                  <c:v>0.50267048083958699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2.8515696384297637</c:v>
                </c:pt>
                <c:pt idx="177">
                  <c:v>1.9753111994832171</c:v>
                </c:pt>
                <c:pt idx="178">
                  <c:v>0.92563316887902047</c:v>
                </c:pt>
                <c:pt idx="179">
                  <c:v>-0.21601377837397351</c:v>
                </c:pt>
                <c:pt idx="180">
                  <c:v>-1.4157664759720063</c:v>
                </c:pt>
                <c:pt idx="181">
                  <c:v>-2.6556123420946562</c:v>
                </c:pt>
                <c:pt idx="182">
                  <c:v>-3.9245681685754725</c:v>
                </c:pt>
                <c:pt idx="183">
                  <c:v>-5.2153144569239593</c:v>
                </c:pt>
                <c:pt idx="184">
                  <c:v>-6.5226550874579061</c:v>
                </c:pt>
                <c:pt idx="185">
                  <c:v>-7.8427215966531474</c:v>
                </c:pt>
                <c:pt idx="186">
                  <c:v>-9.1725245020797033</c:v>
                </c:pt>
                <c:pt idx="187">
                  <c:v>-10.509682805443534</c:v>
                </c:pt>
                <c:pt idx="188">
                  <c:v>-11.852251962601201</c:v>
                </c:pt>
                <c:pt idx="189">
                  <c:v>-13.198609507350314</c:v>
                </c:pt>
                <c:pt idx="190">
                  <c:v>-14.547376030315508</c:v>
                </c:pt>
                <c:pt idx="191">
                  <c:v>-15.897358663204308</c:v>
                </c:pt>
                <c:pt idx="192">
                  <c:v>-17.247509325359044</c:v>
                </c:pt>
                <c:pt idx="193">
                  <c:v>-18.596892885306229</c:v>
                </c:pt>
                <c:pt idx="194">
                  <c:v>-19.944662101015112</c:v>
                </c:pt>
                <c:pt idx="195">
                  <c:v>-21.290037250525245</c:v>
                </c:pt>
                <c:pt idx="196">
                  <c:v>-22.632289027455251</c:v>
                </c:pt>
                <c:pt idx="197">
                  <c:v>-23.97072370792359</c:v>
                </c:pt>
                <c:pt idx="198">
                  <c:v>-25.30466988534544</c:v>
                </c:pt>
                <c:pt idx="199">
                  <c:v>-26.633466270137497</c:v>
                </c:pt>
                <c:pt idx="200">
                  <c:v>-27.956450194805811</c:v>
                </c:pt>
                <c:pt idx="201">
                  <c:v>-29.272946571435931</c:v>
                </c:pt>
                <c:pt idx="202">
                  <c:v>-30.582257131227855</c:v>
                </c:pt>
                <c:pt idx="203">
                  <c:v>-31.883649842884822</c:v>
                </c:pt>
                <c:pt idx="204">
                  <c:v>-33.176348463939625</c:v>
                </c:pt>
                <c:pt idx="205">
                  <c:v>-34.459522230103559</c:v>
                </c:pt>
                <c:pt idx="206">
                  <c:v>-35.732275734705851</c:v>
                </c:pt>
                <c:pt idx="207">
                  <c:v>-36.99363909448315</c:v>
                </c:pt>
                <c:pt idx="208">
                  <c:v>-38.242558539797471</c:v>
                </c:pt>
                <c:pt idx="209">
                  <c:v>-39.477887606536221</c:v>
                </c:pt>
                <c:pt idx="210">
                  <c:v>-40.698379142616446</c:v>
                </c:pt>
                <c:pt idx="211">
                  <c:v>-41.902678372794895</c:v>
                </c:pt>
                <c:pt idx="212">
                  <c:v>-43.089317289558807</c:v>
                </c:pt>
                <c:pt idx="213">
                  <c:v>-44.25671065311036</c:v>
                </c:pt>
                <c:pt idx="214">
                  <c:v>-45.403153887555582</c:v>
                </c:pt>
                <c:pt idx="215">
                  <c:v>-46.526823151096757</c:v>
                </c:pt>
                <c:pt idx="216">
                  <c:v>-47.625777833297384</c:v>
                </c:pt>
                <c:pt idx="217">
                  <c:v>-48.697965690882285</c:v>
                </c:pt>
                <c:pt idx="218">
                  <c:v>-49.741230774414589</c:v>
                </c:pt>
                <c:pt idx="219">
                  <c:v>-50.753324222038465</c:v>
                </c:pt>
                <c:pt idx="220">
                  <c:v>-51.731917905092047</c:v>
                </c:pt>
                <c:pt idx="221">
                  <c:v>-52.674620807053785</c:v>
                </c:pt>
                <c:pt idx="222">
                  <c:v>-53.578997906712083</c:v>
                </c:pt>
                <c:pt idx="223">
                  <c:v>-54.442591224662408</c:v>
                </c:pt>
                <c:pt idx="224">
                  <c:v>-55.262942586197084</c:v>
                </c:pt>
                <c:pt idx="225">
                  <c:v>-56.037617560739605</c:v>
                </c:pt>
                <c:pt idx="226">
                  <c:v>-56.764229965340405</c:v>
                </c:pt>
                <c:pt idx="227">
                  <c:v>-57.440466273599569</c:v>
                </c:pt>
                <c:pt idx="228">
                  <c:v>-58.064109256288212</c:v>
                </c:pt>
                <c:pt idx="229">
                  <c:v>-58.633060198267984</c:v>
                </c:pt>
                <c:pt idx="230">
                  <c:v>-59.145359087855262</c:v>
                </c:pt>
                <c:pt idx="231">
                  <c:v>-59.599202256688159</c:v>
                </c:pt>
                <c:pt idx="232">
                  <c:v>-59.992957055132891</c:v>
                </c:pt>
                <c:pt idx="233">
                  <c:v>-60.325173273076174</c:v>
                </c:pt>
                <c:pt idx="234">
                  <c:v>-60.594591150128096</c:v>
                </c:pt>
                <c:pt idx="235">
                  <c:v>-60.800145953957085</c:v>
                </c:pt>
                <c:pt idx="236">
                  <c:v>-60.940969232303956</c:v>
                </c:pt>
                <c:pt idx="237">
                  <c:v>-61.016386955989681</c:v>
                </c:pt>
                <c:pt idx="238">
                  <c:v>-61.025914861512376</c:v>
                </c:pt>
                <c:pt idx="239">
                  <c:v>-60.969251369261414</c:v>
                </c:pt>
              </c:numCache>
            </c:numRef>
          </c:xVal>
          <c:yVal>
            <c:numRef>
              <c:f>CALC60!$CB$6:$CB$581</c:f>
              <c:numCache>
                <c:formatCode>General</c:formatCode>
                <c:ptCount val="576"/>
              </c:numCache>
            </c:numRef>
          </c:yVal>
          <c:smooth val="0"/>
        </c:ser>
        <c:ser>
          <c:idx val="29"/>
          <c:order val="29"/>
          <c:tx>
            <c:strRef>
              <c:f>CALC60!$CC$5</c:f>
              <c:strCache>
                <c:ptCount val="1"/>
                <c:pt idx="0">
                  <c:v>R28</c:v>
                </c:pt>
              </c:strCache>
            </c:strRef>
          </c:tx>
          <c:xVal>
            <c:numRef>
              <c:f>CALC60!$AY$6:$AY$581</c:f>
              <c:numCache>
                <c:formatCode>General</c:formatCode>
                <c:ptCount val="576"/>
                <c:pt idx="0">
                  <c:v>-19.833506546880365</c:v>
                </c:pt>
                <c:pt idx="1">
                  <c:v>-18.245852614565919</c:v>
                </c:pt>
                <c:pt idx="2">
                  <c:v>-16.629666681765414</c:v>
                </c:pt>
                <c:pt idx="3">
                  <c:v>-14.98231154257417</c:v>
                </c:pt>
                <c:pt idx="4">
                  <c:v>-13.301143585556035</c:v>
                </c:pt>
                <c:pt idx="5">
                  <c:v>-11.583569246398675</c:v>
                </c:pt>
                <c:pt idx="6">
                  <c:v>-9.8270793278644781</c:v>
                </c:pt>
                <c:pt idx="7">
                  <c:v>-8.029252658232803</c:v>
                </c:pt>
                <c:pt idx="8">
                  <c:v>-6.1877185053343773</c:v>
                </c:pt>
                <c:pt idx="9">
                  <c:v>-4.3000630515963358</c:v>
                </c:pt>
                <c:pt idx="10">
                  <c:v>-2.3636564525099644</c:v>
                </c:pt>
                <c:pt idx="11">
                  <c:v>-0.37535794962416702</c:v>
                </c:pt>
                <c:pt idx="12">
                  <c:v>-3.0678010204149508</c:v>
                </c:pt>
                <c:pt idx="13">
                  <c:v>5.8156608222448263</c:v>
                </c:pt>
                <c:pt idx="14">
                  <c:v>-8.9906603193697858</c:v>
                </c:pt>
                <c:pt idx="15">
                  <c:v>-19.434156555154736</c:v>
                </c:pt>
                <c:pt idx="16">
                  <c:v>-12</c:v>
                </c:pt>
                <c:pt idx="17">
                  <c:v>-29.167117021908272</c:v>
                </c:pt>
                <c:pt idx="18">
                  <c:v>-14</c:v>
                </c:pt>
                <c:pt idx="19">
                  <c:v>-19.833506546880365</c:v>
                </c:pt>
                <c:pt idx="20">
                  <c:v>1.5130248501190131</c:v>
                </c:pt>
                <c:pt idx="21">
                  <c:v>12</c:v>
                </c:pt>
                <c:pt idx="22">
                  <c:v>-12</c:v>
                </c:pt>
                <c:pt idx="23">
                  <c:v>-28.772550131225248</c:v>
                </c:pt>
                <c:pt idx="24">
                  <c:v>-11.666666666666666</c:v>
                </c:pt>
                <c:pt idx="25">
                  <c:v>-18.245852614565919</c:v>
                </c:pt>
                <c:pt idx="26">
                  <c:v>4.3925078710812571</c:v>
                </c:pt>
                <c:pt idx="27">
                  <c:v>12</c:v>
                </c:pt>
                <c:pt idx="28">
                  <c:v>-12</c:v>
                </c:pt>
                <c:pt idx="29">
                  <c:v>-28.303800039278563</c:v>
                </c:pt>
                <c:pt idx="30">
                  <c:v>-9.3333333333333321</c:v>
                </c:pt>
                <c:pt idx="31">
                  <c:v>-16.629666681765414</c:v>
                </c:pt>
                <c:pt idx="32">
                  <c:v>6.4527131206909987</c:v>
                </c:pt>
                <c:pt idx="33">
                  <c:v>12</c:v>
                </c:pt>
                <c:pt idx="34">
                  <c:v>-12</c:v>
                </c:pt>
                <c:pt idx="35">
                  <c:v>-27.754010010716058</c:v>
                </c:pt>
                <c:pt idx="36">
                  <c:v>-6.9999999999999982</c:v>
                </c:pt>
                <c:pt idx="37">
                  <c:v>-14.98231154257417</c:v>
                </c:pt>
                <c:pt idx="38">
                  <c:v>8.2375052570320868</c:v>
                </c:pt>
                <c:pt idx="39">
                  <c:v>12</c:v>
                </c:pt>
                <c:pt idx="40">
                  <c:v>-12</c:v>
                </c:pt>
                <c:pt idx="41">
                  <c:v>-27.116306655803694</c:v>
                </c:pt>
                <c:pt idx="42">
                  <c:v>-4.6666666666666643</c:v>
                </c:pt>
                <c:pt idx="43">
                  <c:v>-13.301143585556035</c:v>
                </c:pt>
                <c:pt idx="44">
                  <c:v>9.8664661885771885</c:v>
                </c:pt>
                <c:pt idx="45">
                  <c:v>12</c:v>
                </c:pt>
                <c:pt idx="46">
                  <c:v>-12</c:v>
                </c:pt>
                <c:pt idx="47">
                  <c:v>-26.383946707329393</c:v>
                </c:pt>
                <c:pt idx="48">
                  <c:v>-2.3333333333333308</c:v>
                </c:pt>
                <c:pt idx="49">
                  <c:v>-11.583569246398675</c:v>
                </c:pt>
                <c:pt idx="50">
                  <c:v>11.388844623449907</c:v>
                </c:pt>
                <c:pt idx="51">
                  <c:v>12</c:v>
                </c:pt>
                <c:pt idx="52">
                  <c:v>-12</c:v>
                </c:pt>
                <c:pt idx="53">
                  <c:v>-25.550406252475348</c:v>
                </c:pt>
                <c:pt idx="54">
                  <c:v>0</c:v>
                </c:pt>
                <c:pt idx="55">
                  <c:v>-9.8270793278644781</c:v>
                </c:pt>
                <c:pt idx="56">
                  <c:v>12.829698097369761</c:v>
                </c:pt>
                <c:pt idx="57">
                  <c:v>12</c:v>
                </c:pt>
                <c:pt idx="58">
                  <c:v>-12</c:v>
                </c:pt>
                <c:pt idx="59">
                  <c:v>-24.609390244767855</c:v>
                </c:pt>
                <c:pt idx="60">
                  <c:v>2.3333333333333335</c:v>
                </c:pt>
                <c:pt idx="61">
                  <c:v>-8.029252658232803</c:v>
                </c:pt>
                <c:pt idx="62">
                  <c:v>14.203132463376605</c:v>
                </c:pt>
                <c:pt idx="63">
                  <c:v>12</c:v>
                </c:pt>
                <c:pt idx="64">
                  <c:v>-12</c:v>
                </c:pt>
                <c:pt idx="65">
                  <c:v>-23.554734780566797</c:v>
                </c:pt>
                <c:pt idx="66">
                  <c:v>4.666666666666667</c:v>
                </c:pt>
                <c:pt idx="67">
                  <c:v>-6.1877185053343773</c:v>
                </c:pt>
                <c:pt idx="68">
                  <c:v>15.517506829265256</c:v>
                </c:pt>
                <c:pt idx="69">
                  <c:v>12</c:v>
                </c:pt>
                <c:pt idx="70">
                  <c:v>-12</c:v>
                </c:pt>
                <c:pt idx="71">
                  <c:v>-22.380163934182676</c:v>
                </c:pt>
                <c:pt idx="72">
                  <c:v>7</c:v>
                </c:pt>
                <c:pt idx="73">
                  <c:v>-4.3000630515963358</c:v>
                </c:pt>
                <c:pt idx="74">
                  <c:v>16.777941702150098</c:v>
                </c:pt>
                <c:pt idx="75">
                  <c:v>12</c:v>
                </c:pt>
                <c:pt idx="76">
                  <c:v>-12</c:v>
                </c:pt>
                <c:pt idx="77">
                  <c:v>-21.078840109892809</c:v>
                </c:pt>
                <c:pt idx="78">
                  <c:v>9.3333333333333339</c:v>
                </c:pt>
                <c:pt idx="79">
                  <c:v>-2.3636564525099644</c:v>
                </c:pt>
                <c:pt idx="80">
                  <c:v>17.987756355580007</c:v>
                </c:pt>
                <c:pt idx="81">
                  <c:v>12</c:v>
                </c:pt>
                <c:pt idx="82">
                  <c:v>-12</c:v>
                </c:pt>
                <c:pt idx="83">
                  <c:v>-19.642597335724307</c:v>
                </c:pt>
                <c:pt idx="84">
                  <c:v>11.666666666666668</c:v>
                </c:pt>
                <c:pt idx="85">
                  <c:v>-0.37535794962416702</c:v>
                </c:pt>
                <c:pt idx="86">
                  <c:v>19.149459663035739</c:v>
                </c:pt>
                <c:pt idx="87">
                  <c:v>12</c:v>
                </c:pt>
                <c:pt idx="88">
                  <c:v>-12</c:v>
                </c:pt>
                <c:pt idx="89">
                  <c:v>-30.376282653093735</c:v>
                </c:pt>
                <c:pt idx="90">
                  <c:v>14.000000000000002</c:v>
                </c:pt>
                <c:pt idx="91">
                  <c:v>-3.0678010204149508</c:v>
                </c:pt>
                <c:pt idx="92">
                  <c:v>26.896999319700733</c:v>
                </c:pt>
                <c:pt idx="93">
                  <c:v>12</c:v>
                </c:pt>
                <c:pt idx="94">
                  <c:v>-12</c:v>
                </c:pt>
                <c:pt idx="95">
                  <c:v>-24.879281862192261</c:v>
                </c:pt>
                <c:pt idx="96">
                  <c:v>25</c:v>
                </c:pt>
                <c:pt idx="97">
                  <c:v>5.8156608222448263</c:v>
                </c:pt>
                <c:pt idx="98">
                  <c:v>31.34962606454722</c:v>
                </c:pt>
                <c:pt idx="99">
                  <c:v>12</c:v>
                </c:pt>
                <c:pt idx="100">
                  <c:v>-12</c:v>
                </c:pt>
                <c:pt idx="101">
                  <c:v>-23.375716830330454</c:v>
                </c:pt>
                <c:pt idx="102">
                  <c:v>0</c:v>
                </c:pt>
                <c:pt idx="103">
                  <c:v>-8.9906603193697858</c:v>
                </c:pt>
                <c:pt idx="104">
                  <c:v>22.648032351271631</c:v>
                </c:pt>
                <c:pt idx="105">
                  <c:v>12</c:v>
                </c:pt>
                <c:pt idx="106">
                  <c:v>-12</c:v>
                </c:pt>
                <c:pt idx="107">
                  <c:v>-10.52880704336475</c:v>
                </c:pt>
                <c:pt idx="108">
                  <c:v>-25</c:v>
                </c:pt>
                <c:pt idx="109">
                  <c:v>-19.434156555154736</c:v>
                </c:pt>
                <c:pt idx="110">
                  <c:v>20.32293673094285</c:v>
                </c:pt>
                <c:pt idx="111">
                  <c:v>12</c:v>
                </c:pt>
                <c:pt idx="112">
                  <c:v>60</c:v>
                </c:pt>
                <c:pt idx="113">
                  <c:v>59.977621104822219</c:v>
                </c:pt>
                <c:pt idx="114">
                  <c:v>59.910498330815244</c:v>
                </c:pt>
                <c:pt idx="115">
                  <c:v>59.7986734039103</c:v>
                </c:pt>
                <c:pt idx="116">
                  <c:v>59.642215838505066</c:v>
                </c:pt>
                <c:pt idx="117">
                  <c:v>59.441222894251112</c:v>
                </c:pt>
                <c:pt idx="118">
                  <c:v>59.195819515593755</c:v>
                </c:pt>
                <c:pt idx="119">
                  <c:v>58.906158254102053</c:v>
                </c:pt>
                <c:pt idx="120">
                  <c:v>58.572419173637371</c:v>
                </c:pt>
                <c:pt idx="121">
                  <c:v>58.19480973841911</c:v>
                </c:pt>
                <c:pt idx="122">
                  <c:v>57.77356468405749</c:v>
                </c:pt>
                <c:pt idx="123">
                  <c:v>57.308945871633512</c:v>
                </c:pt>
                <c:pt idx="124">
                  <c:v>56.801242124916655</c:v>
                </c:pt>
                <c:pt idx="125">
                  <c:v>56.250769050821617</c:v>
                </c:pt>
                <c:pt idx="126">
                  <c:v>55.657868843215709</c:v>
                </c:pt>
                <c:pt idx="127">
                  <c:v>55.022910070198847</c:v>
                </c:pt>
                <c:pt idx="128">
                  <c:v>54.346287444988349</c:v>
                </c:pt>
                <c:pt idx="129">
                  <c:v>53.628421580551006</c:v>
                </c:pt>
                <c:pt idx="130">
                  <c:v>52.869758728134926</c:v>
                </c:pt>
                <c:pt idx="131">
                  <c:v>52.070770499863713</c:v>
                </c:pt>
                <c:pt idx="132">
                  <c:v>51.231953575565385</c:v>
                </c:pt>
                <c:pt idx="133">
                  <c:v>50.353829394018334</c:v>
                </c:pt>
                <c:pt idx="134">
                  <c:v>49.436943828806236</c:v>
                </c:pt>
                <c:pt idx="135">
                  <c:v>48.481866848983351</c:v>
                </c:pt>
                <c:pt idx="136">
                  <c:v>47.489192164761299</c:v>
                </c:pt>
                <c:pt idx="137">
                  <c:v>46.45953685843741</c:v>
                </c:pt>
                <c:pt idx="138">
                  <c:v>45.39354100079418</c:v>
                </c:pt>
                <c:pt idx="139">
                  <c:v>44.29186725320821</c:v>
                </c:pt>
                <c:pt idx="140">
                  <c:v>43.155200455716098</c:v>
                </c:pt>
                <c:pt idx="141">
                  <c:v>41.984247201293201</c:v>
                </c:pt>
                <c:pt idx="142">
                  <c:v>40.779735396610057</c:v>
                </c:pt>
                <c:pt idx="143">
                  <c:v>39.542413809539362</c:v>
                </c:pt>
                <c:pt idx="144">
                  <c:v>38.27305160369496</c:v>
                </c:pt>
                <c:pt idx="145">
                  <c:v>36.97243786029204</c:v>
                </c:pt>
                <c:pt idx="146">
                  <c:v>35.641381087625909</c:v>
                </c:pt>
                <c:pt idx="147">
                  <c:v>34.280708718474088</c:v>
                </c:pt>
                <c:pt idx="148">
                  <c:v>32.891266595734379</c:v>
                </c:pt>
                <c:pt idx="149">
                  <c:v>31.473918446618441</c:v>
                </c:pt>
                <c:pt idx="150">
                  <c:v>30.029545345727961</c:v>
                </c:pt>
                <c:pt idx="151">
                  <c:v>28.559045167346859</c:v>
                </c:pt>
                <c:pt idx="152">
                  <c:v>27.063332027290457</c:v>
                </c:pt>
                <c:pt idx="153">
                  <c:v>25.54333571465812</c:v>
                </c:pt>
                <c:pt idx="154">
                  <c:v>24.00000111384292</c:v>
                </c:pt>
                <c:pt idx="155">
                  <c:v>22.434287617157558</c:v>
                </c:pt>
                <c:pt idx="156">
                  <c:v>20.847168528441451</c:v>
                </c:pt>
                <c:pt idx="157">
                  <c:v>19.239630458020226</c:v>
                </c:pt>
                <c:pt idx="158">
                  <c:v>17.612672709393095</c:v>
                </c:pt>
                <c:pt idx="159">
                  <c:v>15.967306658029923</c:v>
                </c:pt>
                <c:pt idx="160">
                  <c:v>14.304555122663807</c:v>
                </c:pt>
                <c:pt idx="161">
                  <c:v>12.625451729470267</c:v>
                </c:pt>
                <c:pt idx="162">
                  <c:v>10.931040269527855</c:v>
                </c:pt>
                <c:pt idx="163">
                  <c:v>9.2223740499601874</c:v>
                </c:pt>
                <c:pt idx="164">
                  <c:v>7.50051523916229</c:v>
                </c:pt>
                <c:pt idx="165">
                  <c:v>5.7665342065185783</c:v>
                </c:pt>
                <c:pt idx="166">
                  <c:v>4.0215088570226385</c:v>
                </c:pt>
                <c:pt idx="167">
                  <c:v>2.2665239612127621</c:v>
                </c:pt>
                <c:pt idx="168">
                  <c:v>0.50267048083958699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2.8515696384297637</c:v>
                </c:pt>
                <c:pt idx="177">
                  <c:v>1.9753111994832171</c:v>
                </c:pt>
                <c:pt idx="178">
                  <c:v>0.92563316887902047</c:v>
                </c:pt>
                <c:pt idx="179">
                  <c:v>-0.21601377837397351</c:v>
                </c:pt>
                <c:pt idx="180">
                  <c:v>-1.4157664759720063</c:v>
                </c:pt>
                <c:pt idx="181">
                  <c:v>-2.6556123420946562</c:v>
                </c:pt>
                <c:pt idx="182">
                  <c:v>-3.9245681685754725</c:v>
                </c:pt>
                <c:pt idx="183">
                  <c:v>-5.2153144569239593</c:v>
                </c:pt>
                <c:pt idx="184">
                  <c:v>-6.5226550874579061</c:v>
                </c:pt>
                <c:pt idx="185">
                  <c:v>-7.8427215966531474</c:v>
                </c:pt>
                <c:pt idx="186">
                  <c:v>-9.1725245020797033</c:v>
                </c:pt>
                <c:pt idx="187">
                  <c:v>-10.509682805443534</c:v>
                </c:pt>
                <c:pt idx="188">
                  <c:v>-11.852251962601201</c:v>
                </c:pt>
                <c:pt idx="189">
                  <c:v>-13.198609507350314</c:v>
                </c:pt>
                <c:pt idx="190">
                  <c:v>-14.547376030315508</c:v>
                </c:pt>
                <c:pt idx="191">
                  <c:v>-15.897358663204308</c:v>
                </c:pt>
                <c:pt idx="192">
                  <c:v>-17.247509325359044</c:v>
                </c:pt>
                <c:pt idx="193">
                  <c:v>-18.596892885306229</c:v>
                </c:pt>
                <c:pt idx="194">
                  <c:v>-19.944662101015112</c:v>
                </c:pt>
                <c:pt idx="195">
                  <c:v>-21.290037250525245</c:v>
                </c:pt>
                <c:pt idx="196">
                  <c:v>-22.632289027455251</c:v>
                </c:pt>
                <c:pt idx="197">
                  <c:v>-23.97072370792359</c:v>
                </c:pt>
                <c:pt idx="198">
                  <c:v>-25.30466988534544</c:v>
                </c:pt>
                <c:pt idx="199">
                  <c:v>-26.633466270137497</c:v>
                </c:pt>
                <c:pt idx="200">
                  <c:v>-27.956450194805811</c:v>
                </c:pt>
                <c:pt idx="201">
                  <c:v>-29.272946571435931</c:v>
                </c:pt>
                <c:pt idx="202">
                  <c:v>-30.582257131227855</c:v>
                </c:pt>
                <c:pt idx="203">
                  <c:v>-31.883649842884822</c:v>
                </c:pt>
                <c:pt idx="204">
                  <c:v>-33.176348463939625</c:v>
                </c:pt>
                <c:pt idx="205">
                  <c:v>-34.459522230103559</c:v>
                </c:pt>
                <c:pt idx="206">
                  <c:v>-35.732275734705851</c:v>
                </c:pt>
                <c:pt idx="207">
                  <c:v>-36.99363909448315</c:v>
                </c:pt>
                <c:pt idx="208">
                  <c:v>-38.242558539797471</c:v>
                </c:pt>
                <c:pt idx="209">
                  <c:v>-39.477887606536221</c:v>
                </c:pt>
                <c:pt idx="210">
                  <c:v>-40.698379142616446</c:v>
                </c:pt>
                <c:pt idx="211">
                  <c:v>-41.902678372794895</c:v>
                </c:pt>
                <c:pt idx="212">
                  <c:v>-43.089317289558807</c:v>
                </c:pt>
                <c:pt idx="213">
                  <c:v>-44.25671065311036</c:v>
                </c:pt>
                <c:pt idx="214">
                  <c:v>-45.403153887555582</c:v>
                </c:pt>
                <c:pt idx="215">
                  <c:v>-46.526823151096757</c:v>
                </c:pt>
                <c:pt idx="216">
                  <c:v>-47.625777833297384</c:v>
                </c:pt>
                <c:pt idx="217">
                  <c:v>-48.697965690882285</c:v>
                </c:pt>
                <c:pt idx="218">
                  <c:v>-49.741230774414589</c:v>
                </c:pt>
                <c:pt idx="219">
                  <c:v>-50.753324222038465</c:v>
                </c:pt>
                <c:pt idx="220">
                  <c:v>-51.731917905092047</c:v>
                </c:pt>
                <c:pt idx="221">
                  <c:v>-52.674620807053785</c:v>
                </c:pt>
                <c:pt idx="222">
                  <c:v>-53.578997906712083</c:v>
                </c:pt>
                <c:pt idx="223">
                  <c:v>-54.442591224662408</c:v>
                </c:pt>
                <c:pt idx="224">
                  <c:v>-55.262942586197084</c:v>
                </c:pt>
                <c:pt idx="225">
                  <c:v>-56.037617560739605</c:v>
                </c:pt>
                <c:pt idx="226">
                  <c:v>-56.764229965340405</c:v>
                </c:pt>
                <c:pt idx="227">
                  <c:v>-57.440466273599569</c:v>
                </c:pt>
                <c:pt idx="228">
                  <c:v>-58.064109256288212</c:v>
                </c:pt>
                <c:pt idx="229">
                  <c:v>-58.633060198267984</c:v>
                </c:pt>
                <c:pt idx="230">
                  <c:v>-59.145359087855262</c:v>
                </c:pt>
                <c:pt idx="231">
                  <c:v>-59.599202256688159</c:v>
                </c:pt>
                <c:pt idx="232">
                  <c:v>-59.992957055132891</c:v>
                </c:pt>
                <c:pt idx="233">
                  <c:v>-60.325173273076174</c:v>
                </c:pt>
                <c:pt idx="234">
                  <c:v>-60.594591150128096</c:v>
                </c:pt>
                <c:pt idx="235">
                  <c:v>-60.800145953957085</c:v>
                </c:pt>
                <c:pt idx="236">
                  <c:v>-60.940969232303956</c:v>
                </c:pt>
                <c:pt idx="237">
                  <c:v>-61.016386955989681</c:v>
                </c:pt>
                <c:pt idx="238">
                  <c:v>-61.025914861512376</c:v>
                </c:pt>
                <c:pt idx="239">
                  <c:v>-60.969251369261414</c:v>
                </c:pt>
              </c:numCache>
            </c:numRef>
          </c:xVal>
          <c:yVal>
            <c:numRef>
              <c:f>CALC60!$CC$6:$CC$581</c:f>
              <c:numCache>
                <c:formatCode>General</c:formatCode>
                <c:ptCount val="576"/>
              </c:numCache>
            </c:numRef>
          </c:yVal>
          <c:smooth val="0"/>
        </c:ser>
        <c:ser>
          <c:idx val="30"/>
          <c:order val="30"/>
          <c:tx>
            <c:strRef>
              <c:f>CALC60!$CD$5</c:f>
              <c:strCache>
                <c:ptCount val="1"/>
                <c:pt idx="0">
                  <c:v>R29</c:v>
                </c:pt>
              </c:strCache>
            </c:strRef>
          </c:tx>
          <c:xVal>
            <c:numRef>
              <c:f>CALC60!$AY$6:$AY$581</c:f>
              <c:numCache>
                <c:formatCode>General</c:formatCode>
                <c:ptCount val="576"/>
                <c:pt idx="0">
                  <c:v>-19.833506546880365</c:v>
                </c:pt>
                <c:pt idx="1">
                  <c:v>-18.245852614565919</c:v>
                </c:pt>
                <c:pt idx="2">
                  <c:v>-16.629666681765414</c:v>
                </c:pt>
                <c:pt idx="3">
                  <c:v>-14.98231154257417</c:v>
                </c:pt>
                <c:pt idx="4">
                  <c:v>-13.301143585556035</c:v>
                </c:pt>
                <c:pt idx="5">
                  <c:v>-11.583569246398675</c:v>
                </c:pt>
                <c:pt idx="6">
                  <c:v>-9.8270793278644781</c:v>
                </c:pt>
                <c:pt idx="7">
                  <c:v>-8.029252658232803</c:v>
                </c:pt>
                <c:pt idx="8">
                  <c:v>-6.1877185053343773</c:v>
                </c:pt>
                <c:pt idx="9">
                  <c:v>-4.3000630515963358</c:v>
                </c:pt>
                <c:pt idx="10">
                  <c:v>-2.3636564525099644</c:v>
                </c:pt>
                <c:pt idx="11">
                  <c:v>-0.37535794962416702</c:v>
                </c:pt>
                <c:pt idx="12">
                  <c:v>-3.0678010204149508</c:v>
                </c:pt>
                <c:pt idx="13">
                  <c:v>5.8156608222448263</c:v>
                </c:pt>
                <c:pt idx="14">
                  <c:v>-8.9906603193697858</c:v>
                </c:pt>
                <c:pt idx="15">
                  <c:v>-19.434156555154736</c:v>
                </c:pt>
                <c:pt idx="16">
                  <c:v>-12</c:v>
                </c:pt>
                <c:pt idx="17">
                  <c:v>-29.167117021908272</c:v>
                </c:pt>
                <c:pt idx="18">
                  <c:v>-14</c:v>
                </c:pt>
                <c:pt idx="19">
                  <c:v>-19.833506546880365</c:v>
                </c:pt>
                <c:pt idx="20">
                  <c:v>1.5130248501190131</c:v>
                </c:pt>
                <c:pt idx="21">
                  <c:v>12</c:v>
                </c:pt>
                <c:pt idx="22">
                  <c:v>-12</c:v>
                </c:pt>
                <c:pt idx="23">
                  <c:v>-28.772550131225248</c:v>
                </c:pt>
                <c:pt idx="24">
                  <c:v>-11.666666666666666</c:v>
                </c:pt>
                <c:pt idx="25">
                  <c:v>-18.245852614565919</c:v>
                </c:pt>
                <c:pt idx="26">
                  <c:v>4.3925078710812571</c:v>
                </c:pt>
                <c:pt idx="27">
                  <c:v>12</c:v>
                </c:pt>
                <c:pt idx="28">
                  <c:v>-12</c:v>
                </c:pt>
                <c:pt idx="29">
                  <c:v>-28.303800039278563</c:v>
                </c:pt>
                <c:pt idx="30">
                  <c:v>-9.3333333333333321</c:v>
                </c:pt>
                <c:pt idx="31">
                  <c:v>-16.629666681765414</c:v>
                </c:pt>
                <c:pt idx="32">
                  <c:v>6.4527131206909987</c:v>
                </c:pt>
                <c:pt idx="33">
                  <c:v>12</c:v>
                </c:pt>
                <c:pt idx="34">
                  <c:v>-12</c:v>
                </c:pt>
                <c:pt idx="35">
                  <c:v>-27.754010010716058</c:v>
                </c:pt>
                <c:pt idx="36">
                  <c:v>-6.9999999999999982</c:v>
                </c:pt>
                <c:pt idx="37">
                  <c:v>-14.98231154257417</c:v>
                </c:pt>
                <c:pt idx="38">
                  <c:v>8.2375052570320868</c:v>
                </c:pt>
                <c:pt idx="39">
                  <c:v>12</c:v>
                </c:pt>
                <c:pt idx="40">
                  <c:v>-12</c:v>
                </c:pt>
                <c:pt idx="41">
                  <c:v>-27.116306655803694</c:v>
                </c:pt>
                <c:pt idx="42">
                  <c:v>-4.6666666666666643</c:v>
                </c:pt>
                <c:pt idx="43">
                  <c:v>-13.301143585556035</c:v>
                </c:pt>
                <c:pt idx="44">
                  <c:v>9.8664661885771885</c:v>
                </c:pt>
                <c:pt idx="45">
                  <c:v>12</c:v>
                </c:pt>
                <c:pt idx="46">
                  <c:v>-12</c:v>
                </c:pt>
                <c:pt idx="47">
                  <c:v>-26.383946707329393</c:v>
                </c:pt>
                <c:pt idx="48">
                  <c:v>-2.3333333333333308</c:v>
                </c:pt>
                <c:pt idx="49">
                  <c:v>-11.583569246398675</c:v>
                </c:pt>
                <c:pt idx="50">
                  <c:v>11.388844623449907</c:v>
                </c:pt>
                <c:pt idx="51">
                  <c:v>12</c:v>
                </c:pt>
                <c:pt idx="52">
                  <c:v>-12</c:v>
                </c:pt>
                <c:pt idx="53">
                  <c:v>-25.550406252475348</c:v>
                </c:pt>
                <c:pt idx="54">
                  <c:v>0</c:v>
                </c:pt>
                <c:pt idx="55">
                  <c:v>-9.8270793278644781</c:v>
                </c:pt>
                <c:pt idx="56">
                  <c:v>12.829698097369761</c:v>
                </c:pt>
                <c:pt idx="57">
                  <c:v>12</c:v>
                </c:pt>
                <c:pt idx="58">
                  <c:v>-12</c:v>
                </c:pt>
                <c:pt idx="59">
                  <c:v>-24.609390244767855</c:v>
                </c:pt>
                <c:pt idx="60">
                  <c:v>2.3333333333333335</c:v>
                </c:pt>
                <c:pt idx="61">
                  <c:v>-8.029252658232803</c:v>
                </c:pt>
                <c:pt idx="62">
                  <c:v>14.203132463376605</c:v>
                </c:pt>
                <c:pt idx="63">
                  <c:v>12</c:v>
                </c:pt>
                <c:pt idx="64">
                  <c:v>-12</c:v>
                </c:pt>
                <c:pt idx="65">
                  <c:v>-23.554734780566797</c:v>
                </c:pt>
                <c:pt idx="66">
                  <c:v>4.666666666666667</c:v>
                </c:pt>
                <c:pt idx="67">
                  <c:v>-6.1877185053343773</c:v>
                </c:pt>
                <c:pt idx="68">
                  <c:v>15.517506829265256</c:v>
                </c:pt>
                <c:pt idx="69">
                  <c:v>12</c:v>
                </c:pt>
                <c:pt idx="70">
                  <c:v>-12</c:v>
                </c:pt>
                <c:pt idx="71">
                  <c:v>-22.380163934182676</c:v>
                </c:pt>
                <c:pt idx="72">
                  <c:v>7</c:v>
                </c:pt>
                <c:pt idx="73">
                  <c:v>-4.3000630515963358</c:v>
                </c:pt>
                <c:pt idx="74">
                  <c:v>16.777941702150098</c:v>
                </c:pt>
                <c:pt idx="75">
                  <c:v>12</c:v>
                </c:pt>
                <c:pt idx="76">
                  <c:v>-12</c:v>
                </c:pt>
                <c:pt idx="77">
                  <c:v>-21.078840109892809</c:v>
                </c:pt>
                <c:pt idx="78">
                  <c:v>9.3333333333333339</c:v>
                </c:pt>
                <c:pt idx="79">
                  <c:v>-2.3636564525099644</c:v>
                </c:pt>
                <c:pt idx="80">
                  <c:v>17.987756355580007</c:v>
                </c:pt>
                <c:pt idx="81">
                  <c:v>12</c:v>
                </c:pt>
                <c:pt idx="82">
                  <c:v>-12</c:v>
                </c:pt>
                <c:pt idx="83">
                  <c:v>-19.642597335724307</c:v>
                </c:pt>
                <c:pt idx="84">
                  <c:v>11.666666666666668</c:v>
                </c:pt>
                <c:pt idx="85">
                  <c:v>-0.37535794962416702</c:v>
                </c:pt>
                <c:pt idx="86">
                  <c:v>19.149459663035739</c:v>
                </c:pt>
                <c:pt idx="87">
                  <c:v>12</c:v>
                </c:pt>
                <c:pt idx="88">
                  <c:v>-12</c:v>
                </c:pt>
                <c:pt idx="89">
                  <c:v>-30.376282653093735</c:v>
                </c:pt>
                <c:pt idx="90">
                  <c:v>14.000000000000002</c:v>
                </c:pt>
                <c:pt idx="91">
                  <c:v>-3.0678010204149508</c:v>
                </c:pt>
                <c:pt idx="92">
                  <c:v>26.896999319700733</c:v>
                </c:pt>
                <c:pt idx="93">
                  <c:v>12</c:v>
                </c:pt>
                <c:pt idx="94">
                  <c:v>-12</c:v>
                </c:pt>
                <c:pt idx="95">
                  <c:v>-24.879281862192261</c:v>
                </c:pt>
                <c:pt idx="96">
                  <c:v>25</c:v>
                </c:pt>
                <c:pt idx="97">
                  <c:v>5.8156608222448263</c:v>
                </c:pt>
                <c:pt idx="98">
                  <c:v>31.34962606454722</c:v>
                </c:pt>
                <c:pt idx="99">
                  <c:v>12</c:v>
                </c:pt>
                <c:pt idx="100">
                  <c:v>-12</c:v>
                </c:pt>
                <c:pt idx="101">
                  <c:v>-23.375716830330454</c:v>
                </c:pt>
                <c:pt idx="102">
                  <c:v>0</c:v>
                </c:pt>
                <c:pt idx="103">
                  <c:v>-8.9906603193697858</c:v>
                </c:pt>
                <c:pt idx="104">
                  <c:v>22.648032351271631</c:v>
                </c:pt>
                <c:pt idx="105">
                  <c:v>12</c:v>
                </c:pt>
                <c:pt idx="106">
                  <c:v>-12</c:v>
                </c:pt>
                <c:pt idx="107">
                  <c:v>-10.52880704336475</c:v>
                </c:pt>
                <c:pt idx="108">
                  <c:v>-25</c:v>
                </c:pt>
                <c:pt idx="109">
                  <c:v>-19.434156555154736</c:v>
                </c:pt>
                <c:pt idx="110">
                  <c:v>20.32293673094285</c:v>
                </c:pt>
                <c:pt idx="111">
                  <c:v>12</c:v>
                </c:pt>
                <c:pt idx="112">
                  <c:v>60</c:v>
                </c:pt>
                <c:pt idx="113">
                  <c:v>59.977621104822219</c:v>
                </c:pt>
                <c:pt idx="114">
                  <c:v>59.910498330815244</c:v>
                </c:pt>
                <c:pt idx="115">
                  <c:v>59.7986734039103</c:v>
                </c:pt>
                <c:pt idx="116">
                  <c:v>59.642215838505066</c:v>
                </c:pt>
                <c:pt idx="117">
                  <c:v>59.441222894251112</c:v>
                </c:pt>
                <c:pt idx="118">
                  <c:v>59.195819515593755</c:v>
                </c:pt>
                <c:pt idx="119">
                  <c:v>58.906158254102053</c:v>
                </c:pt>
                <c:pt idx="120">
                  <c:v>58.572419173637371</c:v>
                </c:pt>
                <c:pt idx="121">
                  <c:v>58.19480973841911</c:v>
                </c:pt>
                <c:pt idx="122">
                  <c:v>57.77356468405749</c:v>
                </c:pt>
                <c:pt idx="123">
                  <c:v>57.308945871633512</c:v>
                </c:pt>
                <c:pt idx="124">
                  <c:v>56.801242124916655</c:v>
                </c:pt>
                <c:pt idx="125">
                  <c:v>56.250769050821617</c:v>
                </c:pt>
                <c:pt idx="126">
                  <c:v>55.657868843215709</c:v>
                </c:pt>
                <c:pt idx="127">
                  <c:v>55.022910070198847</c:v>
                </c:pt>
                <c:pt idx="128">
                  <c:v>54.346287444988349</c:v>
                </c:pt>
                <c:pt idx="129">
                  <c:v>53.628421580551006</c:v>
                </c:pt>
                <c:pt idx="130">
                  <c:v>52.869758728134926</c:v>
                </c:pt>
                <c:pt idx="131">
                  <c:v>52.070770499863713</c:v>
                </c:pt>
                <c:pt idx="132">
                  <c:v>51.231953575565385</c:v>
                </c:pt>
                <c:pt idx="133">
                  <c:v>50.353829394018334</c:v>
                </c:pt>
                <c:pt idx="134">
                  <c:v>49.436943828806236</c:v>
                </c:pt>
                <c:pt idx="135">
                  <c:v>48.481866848983351</c:v>
                </c:pt>
                <c:pt idx="136">
                  <c:v>47.489192164761299</c:v>
                </c:pt>
                <c:pt idx="137">
                  <c:v>46.45953685843741</c:v>
                </c:pt>
                <c:pt idx="138">
                  <c:v>45.39354100079418</c:v>
                </c:pt>
                <c:pt idx="139">
                  <c:v>44.29186725320821</c:v>
                </c:pt>
                <c:pt idx="140">
                  <c:v>43.155200455716098</c:v>
                </c:pt>
                <c:pt idx="141">
                  <c:v>41.984247201293201</c:v>
                </c:pt>
                <c:pt idx="142">
                  <c:v>40.779735396610057</c:v>
                </c:pt>
                <c:pt idx="143">
                  <c:v>39.542413809539362</c:v>
                </c:pt>
                <c:pt idx="144">
                  <c:v>38.27305160369496</c:v>
                </c:pt>
                <c:pt idx="145">
                  <c:v>36.97243786029204</c:v>
                </c:pt>
                <c:pt idx="146">
                  <c:v>35.641381087625909</c:v>
                </c:pt>
                <c:pt idx="147">
                  <c:v>34.280708718474088</c:v>
                </c:pt>
                <c:pt idx="148">
                  <c:v>32.891266595734379</c:v>
                </c:pt>
                <c:pt idx="149">
                  <c:v>31.473918446618441</c:v>
                </c:pt>
                <c:pt idx="150">
                  <c:v>30.029545345727961</c:v>
                </c:pt>
                <c:pt idx="151">
                  <c:v>28.559045167346859</c:v>
                </c:pt>
                <c:pt idx="152">
                  <c:v>27.063332027290457</c:v>
                </c:pt>
                <c:pt idx="153">
                  <c:v>25.54333571465812</c:v>
                </c:pt>
                <c:pt idx="154">
                  <c:v>24.00000111384292</c:v>
                </c:pt>
                <c:pt idx="155">
                  <c:v>22.434287617157558</c:v>
                </c:pt>
                <c:pt idx="156">
                  <c:v>20.847168528441451</c:v>
                </c:pt>
                <c:pt idx="157">
                  <c:v>19.239630458020226</c:v>
                </c:pt>
                <c:pt idx="158">
                  <c:v>17.612672709393095</c:v>
                </c:pt>
                <c:pt idx="159">
                  <c:v>15.967306658029923</c:v>
                </c:pt>
                <c:pt idx="160">
                  <c:v>14.304555122663807</c:v>
                </c:pt>
                <c:pt idx="161">
                  <c:v>12.625451729470267</c:v>
                </c:pt>
                <c:pt idx="162">
                  <c:v>10.931040269527855</c:v>
                </c:pt>
                <c:pt idx="163">
                  <c:v>9.2223740499601874</c:v>
                </c:pt>
                <c:pt idx="164">
                  <c:v>7.50051523916229</c:v>
                </c:pt>
                <c:pt idx="165">
                  <c:v>5.7665342065185783</c:v>
                </c:pt>
                <c:pt idx="166">
                  <c:v>4.0215088570226385</c:v>
                </c:pt>
                <c:pt idx="167">
                  <c:v>2.2665239612127621</c:v>
                </c:pt>
                <c:pt idx="168">
                  <c:v>0.50267048083958699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2.8515696384297637</c:v>
                </c:pt>
                <c:pt idx="177">
                  <c:v>1.9753111994832171</c:v>
                </c:pt>
                <c:pt idx="178">
                  <c:v>0.92563316887902047</c:v>
                </c:pt>
                <c:pt idx="179">
                  <c:v>-0.21601377837397351</c:v>
                </c:pt>
                <c:pt idx="180">
                  <c:v>-1.4157664759720063</c:v>
                </c:pt>
                <c:pt idx="181">
                  <c:v>-2.6556123420946562</c:v>
                </c:pt>
                <c:pt idx="182">
                  <c:v>-3.9245681685754725</c:v>
                </c:pt>
                <c:pt idx="183">
                  <c:v>-5.2153144569239593</c:v>
                </c:pt>
                <c:pt idx="184">
                  <c:v>-6.5226550874579061</c:v>
                </c:pt>
                <c:pt idx="185">
                  <c:v>-7.8427215966531474</c:v>
                </c:pt>
                <c:pt idx="186">
                  <c:v>-9.1725245020797033</c:v>
                </c:pt>
                <c:pt idx="187">
                  <c:v>-10.509682805443534</c:v>
                </c:pt>
                <c:pt idx="188">
                  <c:v>-11.852251962601201</c:v>
                </c:pt>
                <c:pt idx="189">
                  <c:v>-13.198609507350314</c:v>
                </c:pt>
                <c:pt idx="190">
                  <c:v>-14.547376030315508</c:v>
                </c:pt>
                <c:pt idx="191">
                  <c:v>-15.897358663204308</c:v>
                </c:pt>
                <c:pt idx="192">
                  <c:v>-17.247509325359044</c:v>
                </c:pt>
                <c:pt idx="193">
                  <c:v>-18.596892885306229</c:v>
                </c:pt>
                <c:pt idx="194">
                  <c:v>-19.944662101015112</c:v>
                </c:pt>
                <c:pt idx="195">
                  <c:v>-21.290037250525245</c:v>
                </c:pt>
                <c:pt idx="196">
                  <c:v>-22.632289027455251</c:v>
                </c:pt>
                <c:pt idx="197">
                  <c:v>-23.97072370792359</c:v>
                </c:pt>
                <c:pt idx="198">
                  <c:v>-25.30466988534544</c:v>
                </c:pt>
                <c:pt idx="199">
                  <c:v>-26.633466270137497</c:v>
                </c:pt>
                <c:pt idx="200">
                  <c:v>-27.956450194805811</c:v>
                </c:pt>
                <c:pt idx="201">
                  <c:v>-29.272946571435931</c:v>
                </c:pt>
                <c:pt idx="202">
                  <c:v>-30.582257131227855</c:v>
                </c:pt>
                <c:pt idx="203">
                  <c:v>-31.883649842884822</c:v>
                </c:pt>
                <c:pt idx="204">
                  <c:v>-33.176348463939625</c:v>
                </c:pt>
                <c:pt idx="205">
                  <c:v>-34.459522230103559</c:v>
                </c:pt>
                <c:pt idx="206">
                  <c:v>-35.732275734705851</c:v>
                </c:pt>
                <c:pt idx="207">
                  <c:v>-36.99363909448315</c:v>
                </c:pt>
                <c:pt idx="208">
                  <c:v>-38.242558539797471</c:v>
                </c:pt>
                <c:pt idx="209">
                  <c:v>-39.477887606536221</c:v>
                </c:pt>
                <c:pt idx="210">
                  <c:v>-40.698379142616446</c:v>
                </c:pt>
                <c:pt idx="211">
                  <c:v>-41.902678372794895</c:v>
                </c:pt>
                <c:pt idx="212">
                  <c:v>-43.089317289558807</c:v>
                </c:pt>
                <c:pt idx="213">
                  <c:v>-44.25671065311036</c:v>
                </c:pt>
                <c:pt idx="214">
                  <c:v>-45.403153887555582</c:v>
                </c:pt>
                <c:pt idx="215">
                  <c:v>-46.526823151096757</c:v>
                </c:pt>
                <c:pt idx="216">
                  <c:v>-47.625777833297384</c:v>
                </c:pt>
                <c:pt idx="217">
                  <c:v>-48.697965690882285</c:v>
                </c:pt>
                <c:pt idx="218">
                  <c:v>-49.741230774414589</c:v>
                </c:pt>
                <c:pt idx="219">
                  <c:v>-50.753324222038465</c:v>
                </c:pt>
                <c:pt idx="220">
                  <c:v>-51.731917905092047</c:v>
                </c:pt>
                <c:pt idx="221">
                  <c:v>-52.674620807053785</c:v>
                </c:pt>
                <c:pt idx="222">
                  <c:v>-53.578997906712083</c:v>
                </c:pt>
                <c:pt idx="223">
                  <c:v>-54.442591224662408</c:v>
                </c:pt>
                <c:pt idx="224">
                  <c:v>-55.262942586197084</c:v>
                </c:pt>
                <c:pt idx="225">
                  <c:v>-56.037617560739605</c:v>
                </c:pt>
                <c:pt idx="226">
                  <c:v>-56.764229965340405</c:v>
                </c:pt>
                <c:pt idx="227">
                  <c:v>-57.440466273599569</c:v>
                </c:pt>
                <c:pt idx="228">
                  <c:v>-58.064109256288212</c:v>
                </c:pt>
                <c:pt idx="229">
                  <c:v>-58.633060198267984</c:v>
                </c:pt>
                <c:pt idx="230">
                  <c:v>-59.145359087855262</c:v>
                </c:pt>
                <c:pt idx="231">
                  <c:v>-59.599202256688159</c:v>
                </c:pt>
                <c:pt idx="232">
                  <c:v>-59.992957055132891</c:v>
                </c:pt>
                <c:pt idx="233">
                  <c:v>-60.325173273076174</c:v>
                </c:pt>
                <c:pt idx="234">
                  <c:v>-60.594591150128096</c:v>
                </c:pt>
                <c:pt idx="235">
                  <c:v>-60.800145953957085</c:v>
                </c:pt>
                <c:pt idx="236">
                  <c:v>-60.940969232303956</c:v>
                </c:pt>
                <c:pt idx="237">
                  <c:v>-61.016386955989681</c:v>
                </c:pt>
                <c:pt idx="238">
                  <c:v>-61.025914861512376</c:v>
                </c:pt>
                <c:pt idx="239">
                  <c:v>-60.969251369261414</c:v>
                </c:pt>
              </c:numCache>
            </c:numRef>
          </c:xVal>
          <c:yVal>
            <c:numRef>
              <c:f>CALC60!$CD$6:$CD$581</c:f>
              <c:numCache>
                <c:formatCode>General</c:formatCode>
                <c:ptCount val="576"/>
              </c:numCache>
            </c:numRef>
          </c:yVal>
          <c:smooth val="0"/>
        </c:ser>
        <c:ser>
          <c:idx val="31"/>
          <c:order val="31"/>
          <c:tx>
            <c:strRef>
              <c:f>CALC60!$CE$5</c:f>
              <c:strCache>
                <c:ptCount val="1"/>
                <c:pt idx="0">
                  <c:v>R30</c:v>
                </c:pt>
              </c:strCache>
            </c:strRef>
          </c:tx>
          <c:xVal>
            <c:numRef>
              <c:f>CALC60!$AY$6:$AY$581</c:f>
              <c:numCache>
                <c:formatCode>General</c:formatCode>
                <c:ptCount val="576"/>
                <c:pt idx="0">
                  <c:v>-19.833506546880365</c:v>
                </c:pt>
                <c:pt idx="1">
                  <c:v>-18.245852614565919</c:v>
                </c:pt>
                <c:pt idx="2">
                  <c:v>-16.629666681765414</c:v>
                </c:pt>
                <c:pt idx="3">
                  <c:v>-14.98231154257417</c:v>
                </c:pt>
                <c:pt idx="4">
                  <c:v>-13.301143585556035</c:v>
                </c:pt>
                <c:pt idx="5">
                  <c:v>-11.583569246398675</c:v>
                </c:pt>
                <c:pt idx="6">
                  <c:v>-9.8270793278644781</c:v>
                </c:pt>
                <c:pt idx="7">
                  <c:v>-8.029252658232803</c:v>
                </c:pt>
                <c:pt idx="8">
                  <c:v>-6.1877185053343773</c:v>
                </c:pt>
                <c:pt idx="9">
                  <c:v>-4.3000630515963358</c:v>
                </c:pt>
                <c:pt idx="10">
                  <c:v>-2.3636564525099644</c:v>
                </c:pt>
                <c:pt idx="11">
                  <c:v>-0.37535794962416702</c:v>
                </c:pt>
                <c:pt idx="12">
                  <c:v>-3.0678010204149508</c:v>
                </c:pt>
                <c:pt idx="13">
                  <c:v>5.8156608222448263</c:v>
                </c:pt>
                <c:pt idx="14">
                  <c:v>-8.9906603193697858</c:v>
                </c:pt>
                <c:pt idx="15">
                  <c:v>-19.434156555154736</c:v>
                </c:pt>
                <c:pt idx="16">
                  <c:v>-12</c:v>
                </c:pt>
                <c:pt idx="17">
                  <c:v>-29.167117021908272</c:v>
                </c:pt>
                <c:pt idx="18">
                  <c:v>-14</c:v>
                </c:pt>
                <c:pt idx="19">
                  <c:v>-19.833506546880365</c:v>
                </c:pt>
                <c:pt idx="20">
                  <c:v>1.5130248501190131</c:v>
                </c:pt>
                <c:pt idx="21">
                  <c:v>12</c:v>
                </c:pt>
                <c:pt idx="22">
                  <c:v>-12</c:v>
                </c:pt>
                <c:pt idx="23">
                  <c:v>-28.772550131225248</c:v>
                </c:pt>
                <c:pt idx="24">
                  <c:v>-11.666666666666666</c:v>
                </c:pt>
                <c:pt idx="25">
                  <c:v>-18.245852614565919</c:v>
                </c:pt>
                <c:pt idx="26">
                  <c:v>4.3925078710812571</c:v>
                </c:pt>
                <c:pt idx="27">
                  <c:v>12</c:v>
                </c:pt>
                <c:pt idx="28">
                  <c:v>-12</c:v>
                </c:pt>
                <c:pt idx="29">
                  <c:v>-28.303800039278563</c:v>
                </c:pt>
                <c:pt idx="30">
                  <c:v>-9.3333333333333321</c:v>
                </c:pt>
                <c:pt idx="31">
                  <c:v>-16.629666681765414</c:v>
                </c:pt>
                <c:pt idx="32">
                  <c:v>6.4527131206909987</c:v>
                </c:pt>
                <c:pt idx="33">
                  <c:v>12</c:v>
                </c:pt>
                <c:pt idx="34">
                  <c:v>-12</c:v>
                </c:pt>
                <c:pt idx="35">
                  <c:v>-27.754010010716058</c:v>
                </c:pt>
                <c:pt idx="36">
                  <c:v>-6.9999999999999982</c:v>
                </c:pt>
                <c:pt idx="37">
                  <c:v>-14.98231154257417</c:v>
                </c:pt>
                <c:pt idx="38">
                  <c:v>8.2375052570320868</c:v>
                </c:pt>
                <c:pt idx="39">
                  <c:v>12</c:v>
                </c:pt>
                <c:pt idx="40">
                  <c:v>-12</c:v>
                </c:pt>
                <c:pt idx="41">
                  <c:v>-27.116306655803694</c:v>
                </c:pt>
                <c:pt idx="42">
                  <c:v>-4.6666666666666643</c:v>
                </c:pt>
                <c:pt idx="43">
                  <c:v>-13.301143585556035</c:v>
                </c:pt>
                <c:pt idx="44">
                  <c:v>9.8664661885771885</c:v>
                </c:pt>
                <c:pt idx="45">
                  <c:v>12</c:v>
                </c:pt>
                <c:pt idx="46">
                  <c:v>-12</c:v>
                </c:pt>
                <c:pt idx="47">
                  <c:v>-26.383946707329393</c:v>
                </c:pt>
                <c:pt idx="48">
                  <c:v>-2.3333333333333308</c:v>
                </c:pt>
                <c:pt idx="49">
                  <c:v>-11.583569246398675</c:v>
                </c:pt>
                <c:pt idx="50">
                  <c:v>11.388844623449907</c:v>
                </c:pt>
                <c:pt idx="51">
                  <c:v>12</c:v>
                </c:pt>
                <c:pt idx="52">
                  <c:v>-12</c:v>
                </c:pt>
                <c:pt idx="53">
                  <c:v>-25.550406252475348</c:v>
                </c:pt>
                <c:pt idx="54">
                  <c:v>0</c:v>
                </c:pt>
                <c:pt idx="55">
                  <c:v>-9.8270793278644781</c:v>
                </c:pt>
                <c:pt idx="56">
                  <c:v>12.829698097369761</c:v>
                </c:pt>
                <c:pt idx="57">
                  <c:v>12</c:v>
                </c:pt>
                <c:pt idx="58">
                  <c:v>-12</c:v>
                </c:pt>
                <c:pt idx="59">
                  <c:v>-24.609390244767855</c:v>
                </c:pt>
                <c:pt idx="60">
                  <c:v>2.3333333333333335</c:v>
                </c:pt>
                <c:pt idx="61">
                  <c:v>-8.029252658232803</c:v>
                </c:pt>
                <c:pt idx="62">
                  <c:v>14.203132463376605</c:v>
                </c:pt>
                <c:pt idx="63">
                  <c:v>12</c:v>
                </c:pt>
                <c:pt idx="64">
                  <c:v>-12</c:v>
                </c:pt>
                <c:pt idx="65">
                  <c:v>-23.554734780566797</c:v>
                </c:pt>
                <c:pt idx="66">
                  <c:v>4.666666666666667</c:v>
                </c:pt>
                <c:pt idx="67">
                  <c:v>-6.1877185053343773</c:v>
                </c:pt>
                <c:pt idx="68">
                  <c:v>15.517506829265256</c:v>
                </c:pt>
                <c:pt idx="69">
                  <c:v>12</c:v>
                </c:pt>
                <c:pt idx="70">
                  <c:v>-12</c:v>
                </c:pt>
                <c:pt idx="71">
                  <c:v>-22.380163934182676</c:v>
                </c:pt>
                <c:pt idx="72">
                  <c:v>7</c:v>
                </c:pt>
                <c:pt idx="73">
                  <c:v>-4.3000630515963358</c:v>
                </c:pt>
                <c:pt idx="74">
                  <c:v>16.777941702150098</c:v>
                </c:pt>
                <c:pt idx="75">
                  <c:v>12</c:v>
                </c:pt>
                <c:pt idx="76">
                  <c:v>-12</c:v>
                </c:pt>
                <c:pt idx="77">
                  <c:v>-21.078840109892809</c:v>
                </c:pt>
                <c:pt idx="78">
                  <c:v>9.3333333333333339</c:v>
                </c:pt>
                <c:pt idx="79">
                  <c:v>-2.3636564525099644</c:v>
                </c:pt>
                <c:pt idx="80">
                  <c:v>17.987756355580007</c:v>
                </c:pt>
                <c:pt idx="81">
                  <c:v>12</c:v>
                </c:pt>
                <c:pt idx="82">
                  <c:v>-12</c:v>
                </c:pt>
                <c:pt idx="83">
                  <c:v>-19.642597335724307</c:v>
                </c:pt>
                <c:pt idx="84">
                  <c:v>11.666666666666668</c:v>
                </c:pt>
                <c:pt idx="85">
                  <c:v>-0.37535794962416702</c:v>
                </c:pt>
                <c:pt idx="86">
                  <c:v>19.149459663035739</c:v>
                </c:pt>
                <c:pt idx="87">
                  <c:v>12</c:v>
                </c:pt>
                <c:pt idx="88">
                  <c:v>-12</c:v>
                </c:pt>
                <c:pt idx="89">
                  <c:v>-30.376282653093735</c:v>
                </c:pt>
                <c:pt idx="90">
                  <c:v>14.000000000000002</c:v>
                </c:pt>
                <c:pt idx="91">
                  <c:v>-3.0678010204149508</c:v>
                </c:pt>
                <c:pt idx="92">
                  <c:v>26.896999319700733</c:v>
                </c:pt>
                <c:pt idx="93">
                  <c:v>12</c:v>
                </c:pt>
                <c:pt idx="94">
                  <c:v>-12</c:v>
                </c:pt>
                <c:pt idx="95">
                  <c:v>-24.879281862192261</c:v>
                </c:pt>
                <c:pt idx="96">
                  <c:v>25</c:v>
                </c:pt>
                <c:pt idx="97">
                  <c:v>5.8156608222448263</c:v>
                </c:pt>
                <c:pt idx="98">
                  <c:v>31.34962606454722</c:v>
                </c:pt>
                <c:pt idx="99">
                  <c:v>12</c:v>
                </c:pt>
                <c:pt idx="100">
                  <c:v>-12</c:v>
                </c:pt>
                <c:pt idx="101">
                  <c:v>-23.375716830330454</c:v>
                </c:pt>
                <c:pt idx="102">
                  <c:v>0</c:v>
                </c:pt>
                <c:pt idx="103">
                  <c:v>-8.9906603193697858</c:v>
                </c:pt>
                <c:pt idx="104">
                  <c:v>22.648032351271631</c:v>
                </c:pt>
                <c:pt idx="105">
                  <c:v>12</c:v>
                </c:pt>
                <c:pt idx="106">
                  <c:v>-12</c:v>
                </c:pt>
                <c:pt idx="107">
                  <c:v>-10.52880704336475</c:v>
                </c:pt>
                <c:pt idx="108">
                  <c:v>-25</c:v>
                </c:pt>
                <c:pt idx="109">
                  <c:v>-19.434156555154736</c:v>
                </c:pt>
                <c:pt idx="110">
                  <c:v>20.32293673094285</c:v>
                </c:pt>
                <c:pt idx="111">
                  <c:v>12</c:v>
                </c:pt>
                <c:pt idx="112">
                  <c:v>60</c:v>
                </c:pt>
                <c:pt idx="113">
                  <c:v>59.977621104822219</c:v>
                </c:pt>
                <c:pt idx="114">
                  <c:v>59.910498330815244</c:v>
                </c:pt>
                <c:pt idx="115">
                  <c:v>59.7986734039103</c:v>
                </c:pt>
                <c:pt idx="116">
                  <c:v>59.642215838505066</c:v>
                </c:pt>
                <c:pt idx="117">
                  <c:v>59.441222894251112</c:v>
                </c:pt>
                <c:pt idx="118">
                  <c:v>59.195819515593755</c:v>
                </c:pt>
                <c:pt idx="119">
                  <c:v>58.906158254102053</c:v>
                </c:pt>
                <c:pt idx="120">
                  <c:v>58.572419173637371</c:v>
                </c:pt>
                <c:pt idx="121">
                  <c:v>58.19480973841911</c:v>
                </c:pt>
                <c:pt idx="122">
                  <c:v>57.77356468405749</c:v>
                </c:pt>
                <c:pt idx="123">
                  <c:v>57.308945871633512</c:v>
                </c:pt>
                <c:pt idx="124">
                  <c:v>56.801242124916655</c:v>
                </c:pt>
                <c:pt idx="125">
                  <c:v>56.250769050821617</c:v>
                </c:pt>
                <c:pt idx="126">
                  <c:v>55.657868843215709</c:v>
                </c:pt>
                <c:pt idx="127">
                  <c:v>55.022910070198847</c:v>
                </c:pt>
                <c:pt idx="128">
                  <c:v>54.346287444988349</c:v>
                </c:pt>
                <c:pt idx="129">
                  <c:v>53.628421580551006</c:v>
                </c:pt>
                <c:pt idx="130">
                  <c:v>52.869758728134926</c:v>
                </c:pt>
                <c:pt idx="131">
                  <c:v>52.070770499863713</c:v>
                </c:pt>
                <c:pt idx="132">
                  <c:v>51.231953575565385</c:v>
                </c:pt>
                <c:pt idx="133">
                  <c:v>50.353829394018334</c:v>
                </c:pt>
                <c:pt idx="134">
                  <c:v>49.436943828806236</c:v>
                </c:pt>
                <c:pt idx="135">
                  <c:v>48.481866848983351</c:v>
                </c:pt>
                <c:pt idx="136">
                  <c:v>47.489192164761299</c:v>
                </c:pt>
                <c:pt idx="137">
                  <c:v>46.45953685843741</c:v>
                </c:pt>
                <c:pt idx="138">
                  <c:v>45.39354100079418</c:v>
                </c:pt>
                <c:pt idx="139">
                  <c:v>44.29186725320821</c:v>
                </c:pt>
                <c:pt idx="140">
                  <c:v>43.155200455716098</c:v>
                </c:pt>
                <c:pt idx="141">
                  <c:v>41.984247201293201</c:v>
                </c:pt>
                <c:pt idx="142">
                  <c:v>40.779735396610057</c:v>
                </c:pt>
                <c:pt idx="143">
                  <c:v>39.542413809539362</c:v>
                </c:pt>
                <c:pt idx="144">
                  <c:v>38.27305160369496</c:v>
                </c:pt>
                <c:pt idx="145">
                  <c:v>36.97243786029204</c:v>
                </c:pt>
                <c:pt idx="146">
                  <c:v>35.641381087625909</c:v>
                </c:pt>
                <c:pt idx="147">
                  <c:v>34.280708718474088</c:v>
                </c:pt>
                <c:pt idx="148">
                  <c:v>32.891266595734379</c:v>
                </c:pt>
                <c:pt idx="149">
                  <c:v>31.473918446618441</c:v>
                </c:pt>
                <c:pt idx="150">
                  <c:v>30.029545345727961</c:v>
                </c:pt>
                <c:pt idx="151">
                  <c:v>28.559045167346859</c:v>
                </c:pt>
                <c:pt idx="152">
                  <c:v>27.063332027290457</c:v>
                </c:pt>
                <c:pt idx="153">
                  <c:v>25.54333571465812</c:v>
                </c:pt>
                <c:pt idx="154">
                  <c:v>24.00000111384292</c:v>
                </c:pt>
                <c:pt idx="155">
                  <c:v>22.434287617157558</c:v>
                </c:pt>
                <c:pt idx="156">
                  <c:v>20.847168528441451</c:v>
                </c:pt>
                <c:pt idx="157">
                  <c:v>19.239630458020226</c:v>
                </c:pt>
                <c:pt idx="158">
                  <c:v>17.612672709393095</c:v>
                </c:pt>
                <c:pt idx="159">
                  <c:v>15.967306658029923</c:v>
                </c:pt>
                <c:pt idx="160">
                  <c:v>14.304555122663807</c:v>
                </c:pt>
                <c:pt idx="161">
                  <c:v>12.625451729470267</c:v>
                </c:pt>
                <c:pt idx="162">
                  <c:v>10.931040269527855</c:v>
                </c:pt>
                <c:pt idx="163">
                  <c:v>9.2223740499601874</c:v>
                </c:pt>
                <c:pt idx="164">
                  <c:v>7.50051523916229</c:v>
                </c:pt>
                <c:pt idx="165">
                  <c:v>5.7665342065185783</c:v>
                </c:pt>
                <c:pt idx="166">
                  <c:v>4.0215088570226385</c:v>
                </c:pt>
                <c:pt idx="167">
                  <c:v>2.2665239612127621</c:v>
                </c:pt>
                <c:pt idx="168">
                  <c:v>0.50267048083958699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2.8515696384297637</c:v>
                </c:pt>
                <c:pt idx="177">
                  <c:v>1.9753111994832171</c:v>
                </c:pt>
                <c:pt idx="178">
                  <c:v>0.92563316887902047</c:v>
                </c:pt>
                <c:pt idx="179">
                  <c:v>-0.21601377837397351</c:v>
                </c:pt>
                <c:pt idx="180">
                  <c:v>-1.4157664759720063</c:v>
                </c:pt>
                <c:pt idx="181">
                  <c:v>-2.6556123420946562</c:v>
                </c:pt>
                <c:pt idx="182">
                  <c:v>-3.9245681685754725</c:v>
                </c:pt>
                <c:pt idx="183">
                  <c:v>-5.2153144569239593</c:v>
                </c:pt>
                <c:pt idx="184">
                  <c:v>-6.5226550874579061</c:v>
                </c:pt>
                <c:pt idx="185">
                  <c:v>-7.8427215966531474</c:v>
                </c:pt>
                <c:pt idx="186">
                  <c:v>-9.1725245020797033</c:v>
                </c:pt>
                <c:pt idx="187">
                  <c:v>-10.509682805443534</c:v>
                </c:pt>
                <c:pt idx="188">
                  <c:v>-11.852251962601201</c:v>
                </c:pt>
                <c:pt idx="189">
                  <c:v>-13.198609507350314</c:v>
                </c:pt>
                <c:pt idx="190">
                  <c:v>-14.547376030315508</c:v>
                </c:pt>
                <c:pt idx="191">
                  <c:v>-15.897358663204308</c:v>
                </c:pt>
                <c:pt idx="192">
                  <c:v>-17.247509325359044</c:v>
                </c:pt>
                <c:pt idx="193">
                  <c:v>-18.596892885306229</c:v>
                </c:pt>
                <c:pt idx="194">
                  <c:v>-19.944662101015112</c:v>
                </c:pt>
                <c:pt idx="195">
                  <c:v>-21.290037250525245</c:v>
                </c:pt>
                <c:pt idx="196">
                  <c:v>-22.632289027455251</c:v>
                </c:pt>
                <c:pt idx="197">
                  <c:v>-23.97072370792359</c:v>
                </c:pt>
                <c:pt idx="198">
                  <c:v>-25.30466988534544</c:v>
                </c:pt>
                <c:pt idx="199">
                  <c:v>-26.633466270137497</c:v>
                </c:pt>
                <c:pt idx="200">
                  <c:v>-27.956450194805811</c:v>
                </c:pt>
                <c:pt idx="201">
                  <c:v>-29.272946571435931</c:v>
                </c:pt>
                <c:pt idx="202">
                  <c:v>-30.582257131227855</c:v>
                </c:pt>
                <c:pt idx="203">
                  <c:v>-31.883649842884822</c:v>
                </c:pt>
                <c:pt idx="204">
                  <c:v>-33.176348463939625</c:v>
                </c:pt>
                <c:pt idx="205">
                  <c:v>-34.459522230103559</c:v>
                </c:pt>
                <c:pt idx="206">
                  <c:v>-35.732275734705851</c:v>
                </c:pt>
                <c:pt idx="207">
                  <c:v>-36.99363909448315</c:v>
                </c:pt>
                <c:pt idx="208">
                  <c:v>-38.242558539797471</c:v>
                </c:pt>
                <c:pt idx="209">
                  <c:v>-39.477887606536221</c:v>
                </c:pt>
                <c:pt idx="210">
                  <c:v>-40.698379142616446</c:v>
                </c:pt>
                <c:pt idx="211">
                  <c:v>-41.902678372794895</c:v>
                </c:pt>
                <c:pt idx="212">
                  <c:v>-43.089317289558807</c:v>
                </c:pt>
                <c:pt idx="213">
                  <c:v>-44.25671065311036</c:v>
                </c:pt>
                <c:pt idx="214">
                  <c:v>-45.403153887555582</c:v>
                </c:pt>
                <c:pt idx="215">
                  <c:v>-46.526823151096757</c:v>
                </c:pt>
                <c:pt idx="216">
                  <c:v>-47.625777833297384</c:v>
                </c:pt>
                <c:pt idx="217">
                  <c:v>-48.697965690882285</c:v>
                </c:pt>
                <c:pt idx="218">
                  <c:v>-49.741230774414589</c:v>
                </c:pt>
                <c:pt idx="219">
                  <c:v>-50.753324222038465</c:v>
                </c:pt>
                <c:pt idx="220">
                  <c:v>-51.731917905092047</c:v>
                </c:pt>
                <c:pt idx="221">
                  <c:v>-52.674620807053785</c:v>
                </c:pt>
                <c:pt idx="222">
                  <c:v>-53.578997906712083</c:v>
                </c:pt>
                <c:pt idx="223">
                  <c:v>-54.442591224662408</c:v>
                </c:pt>
                <c:pt idx="224">
                  <c:v>-55.262942586197084</c:v>
                </c:pt>
                <c:pt idx="225">
                  <c:v>-56.037617560739605</c:v>
                </c:pt>
                <c:pt idx="226">
                  <c:v>-56.764229965340405</c:v>
                </c:pt>
                <c:pt idx="227">
                  <c:v>-57.440466273599569</c:v>
                </c:pt>
                <c:pt idx="228">
                  <c:v>-58.064109256288212</c:v>
                </c:pt>
                <c:pt idx="229">
                  <c:v>-58.633060198267984</c:v>
                </c:pt>
                <c:pt idx="230">
                  <c:v>-59.145359087855262</c:v>
                </c:pt>
                <c:pt idx="231">
                  <c:v>-59.599202256688159</c:v>
                </c:pt>
                <c:pt idx="232">
                  <c:v>-59.992957055132891</c:v>
                </c:pt>
                <c:pt idx="233">
                  <c:v>-60.325173273076174</c:v>
                </c:pt>
                <c:pt idx="234">
                  <c:v>-60.594591150128096</c:v>
                </c:pt>
                <c:pt idx="235">
                  <c:v>-60.800145953957085</c:v>
                </c:pt>
                <c:pt idx="236">
                  <c:v>-60.940969232303956</c:v>
                </c:pt>
                <c:pt idx="237">
                  <c:v>-61.016386955989681</c:v>
                </c:pt>
                <c:pt idx="238">
                  <c:v>-61.025914861512376</c:v>
                </c:pt>
                <c:pt idx="239">
                  <c:v>-60.969251369261414</c:v>
                </c:pt>
              </c:numCache>
            </c:numRef>
          </c:xVal>
          <c:yVal>
            <c:numRef>
              <c:f>CALC60!$CE$6:$CE$581</c:f>
              <c:numCache>
                <c:formatCode>General</c:formatCode>
                <c:ptCount val="576"/>
              </c:numCache>
            </c:numRef>
          </c:yVal>
          <c:smooth val="0"/>
        </c:ser>
        <c:ser>
          <c:idx val="32"/>
          <c:order val="32"/>
          <c:tx>
            <c:strRef>
              <c:f>CALC60!$CF$5</c:f>
              <c:strCache>
                <c:ptCount val="1"/>
                <c:pt idx="0">
                  <c:v>R31</c:v>
                </c:pt>
              </c:strCache>
            </c:strRef>
          </c:tx>
          <c:spPr>
            <a:ln w="28575">
              <a:noFill/>
            </a:ln>
          </c:spPr>
          <c:xVal>
            <c:numRef>
              <c:f>CALC60!$AY$6:$AY$581</c:f>
              <c:numCache>
                <c:formatCode>General</c:formatCode>
                <c:ptCount val="576"/>
                <c:pt idx="0">
                  <c:v>-19.833506546880365</c:v>
                </c:pt>
                <c:pt idx="1">
                  <c:v>-18.245852614565919</c:v>
                </c:pt>
                <c:pt idx="2">
                  <c:v>-16.629666681765414</c:v>
                </c:pt>
                <c:pt idx="3">
                  <c:v>-14.98231154257417</c:v>
                </c:pt>
                <c:pt idx="4">
                  <c:v>-13.301143585556035</c:v>
                </c:pt>
                <c:pt idx="5">
                  <c:v>-11.583569246398675</c:v>
                </c:pt>
                <c:pt idx="6">
                  <c:v>-9.8270793278644781</c:v>
                </c:pt>
                <c:pt idx="7">
                  <c:v>-8.029252658232803</c:v>
                </c:pt>
                <c:pt idx="8">
                  <c:v>-6.1877185053343773</c:v>
                </c:pt>
                <c:pt idx="9">
                  <c:v>-4.3000630515963358</c:v>
                </c:pt>
                <c:pt idx="10">
                  <c:v>-2.3636564525099644</c:v>
                </c:pt>
                <c:pt idx="11">
                  <c:v>-0.37535794962416702</c:v>
                </c:pt>
                <c:pt idx="12">
                  <c:v>-3.0678010204149508</c:v>
                </c:pt>
                <c:pt idx="13">
                  <c:v>5.8156608222448263</c:v>
                </c:pt>
                <c:pt idx="14">
                  <c:v>-8.9906603193697858</c:v>
                </c:pt>
                <c:pt idx="15">
                  <c:v>-19.434156555154736</c:v>
                </c:pt>
                <c:pt idx="16">
                  <c:v>-12</c:v>
                </c:pt>
                <c:pt idx="17">
                  <c:v>-29.167117021908272</c:v>
                </c:pt>
                <c:pt idx="18">
                  <c:v>-14</c:v>
                </c:pt>
                <c:pt idx="19">
                  <c:v>-19.833506546880365</c:v>
                </c:pt>
                <c:pt idx="20">
                  <c:v>1.5130248501190131</c:v>
                </c:pt>
                <c:pt idx="21">
                  <c:v>12</c:v>
                </c:pt>
                <c:pt idx="22">
                  <c:v>-12</c:v>
                </c:pt>
                <c:pt idx="23">
                  <c:v>-28.772550131225248</c:v>
                </c:pt>
                <c:pt idx="24">
                  <c:v>-11.666666666666666</c:v>
                </c:pt>
                <c:pt idx="25">
                  <c:v>-18.245852614565919</c:v>
                </c:pt>
                <c:pt idx="26">
                  <c:v>4.3925078710812571</c:v>
                </c:pt>
                <c:pt idx="27">
                  <c:v>12</c:v>
                </c:pt>
                <c:pt idx="28">
                  <c:v>-12</c:v>
                </c:pt>
                <c:pt idx="29">
                  <c:v>-28.303800039278563</c:v>
                </c:pt>
                <c:pt idx="30">
                  <c:v>-9.3333333333333321</c:v>
                </c:pt>
                <c:pt idx="31">
                  <c:v>-16.629666681765414</c:v>
                </c:pt>
                <c:pt idx="32">
                  <c:v>6.4527131206909987</c:v>
                </c:pt>
                <c:pt idx="33">
                  <c:v>12</c:v>
                </c:pt>
                <c:pt idx="34">
                  <c:v>-12</c:v>
                </c:pt>
                <c:pt idx="35">
                  <c:v>-27.754010010716058</c:v>
                </c:pt>
                <c:pt idx="36">
                  <c:v>-6.9999999999999982</c:v>
                </c:pt>
                <c:pt idx="37">
                  <c:v>-14.98231154257417</c:v>
                </c:pt>
                <c:pt idx="38">
                  <c:v>8.2375052570320868</c:v>
                </c:pt>
                <c:pt idx="39">
                  <c:v>12</c:v>
                </c:pt>
                <c:pt idx="40">
                  <c:v>-12</c:v>
                </c:pt>
                <c:pt idx="41">
                  <c:v>-27.116306655803694</c:v>
                </c:pt>
                <c:pt idx="42">
                  <c:v>-4.6666666666666643</c:v>
                </c:pt>
                <c:pt idx="43">
                  <c:v>-13.301143585556035</c:v>
                </c:pt>
                <c:pt idx="44">
                  <c:v>9.8664661885771885</c:v>
                </c:pt>
                <c:pt idx="45">
                  <c:v>12</c:v>
                </c:pt>
                <c:pt idx="46">
                  <c:v>-12</c:v>
                </c:pt>
                <c:pt idx="47">
                  <c:v>-26.383946707329393</c:v>
                </c:pt>
                <c:pt idx="48">
                  <c:v>-2.3333333333333308</c:v>
                </c:pt>
                <c:pt idx="49">
                  <c:v>-11.583569246398675</c:v>
                </c:pt>
                <c:pt idx="50">
                  <c:v>11.388844623449907</c:v>
                </c:pt>
                <c:pt idx="51">
                  <c:v>12</c:v>
                </c:pt>
                <c:pt idx="52">
                  <c:v>-12</c:v>
                </c:pt>
                <c:pt idx="53">
                  <c:v>-25.550406252475348</c:v>
                </c:pt>
                <c:pt idx="54">
                  <c:v>0</c:v>
                </c:pt>
                <c:pt idx="55">
                  <c:v>-9.8270793278644781</c:v>
                </c:pt>
                <c:pt idx="56">
                  <c:v>12.829698097369761</c:v>
                </c:pt>
                <c:pt idx="57">
                  <c:v>12</c:v>
                </c:pt>
                <c:pt idx="58">
                  <c:v>-12</c:v>
                </c:pt>
                <c:pt idx="59">
                  <c:v>-24.609390244767855</c:v>
                </c:pt>
                <c:pt idx="60">
                  <c:v>2.3333333333333335</c:v>
                </c:pt>
                <c:pt idx="61">
                  <c:v>-8.029252658232803</c:v>
                </c:pt>
                <c:pt idx="62">
                  <c:v>14.203132463376605</c:v>
                </c:pt>
                <c:pt idx="63">
                  <c:v>12</c:v>
                </c:pt>
                <c:pt idx="64">
                  <c:v>-12</c:v>
                </c:pt>
                <c:pt idx="65">
                  <c:v>-23.554734780566797</c:v>
                </c:pt>
                <c:pt idx="66">
                  <c:v>4.666666666666667</c:v>
                </c:pt>
                <c:pt idx="67">
                  <c:v>-6.1877185053343773</c:v>
                </c:pt>
                <c:pt idx="68">
                  <c:v>15.517506829265256</c:v>
                </c:pt>
                <c:pt idx="69">
                  <c:v>12</c:v>
                </c:pt>
                <c:pt idx="70">
                  <c:v>-12</c:v>
                </c:pt>
                <c:pt idx="71">
                  <c:v>-22.380163934182676</c:v>
                </c:pt>
                <c:pt idx="72">
                  <c:v>7</c:v>
                </c:pt>
                <c:pt idx="73">
                  <c:v>-4.3000630515963358</c:v>
                </c:pt>
                <c:pt idx="74">
                  <c:v>16.777941702150098</c:v>
                </c:pt>
                <c:pt idx="75">
                  <c:v>12</c:v>
                </c:pt>
                <c:pt idx="76">
                  <c:v>-12</c:v>
                </c:pt>
                <c:pt idx="77">
                  <c:v>-21.078840109892809</c:v>
                </c:pt>
                <c:pt idx="78">
                  <c:v>9.3333333333333339</c:v>
                </c:pt>
                <c:pt idx="79">
                  <c:v>-2.3636564525099644</c:v>
                </c:pt>
                <c:pt idx="80">
                  <c:v>17.987756355580007</c:v>
                </c:pt>
                <c:pt idx="81">
                  <c:v>12</c:v>
                </c:pt>
                <c:pt idx="82">
                  <c:v>-12</c:v>
                </c:pt>
                <c:pt idx="83">
                  <c:v>-19.642597335724307</c:v>
                </c:pt>
                <c:pt idx="84">
                  <c:v>11.666666666666668</c:v>
                </c:pt>
                <c:pt idx="85">
                  <c:v>-0.37535794962416702</c:v>
                </c:pt>
                <c:pt idx="86">
                  <c:v>19.149459663035739</c:v>
                </c:pt>
                <c:pt idx="87">
                  <c:v>12</c:v>
                </c:pt>
                <c:pt idx="88">
                  <c:v>-12</c:v>
                </c:pt>
                <c:pt idx="89">
                  <c:v>-30.376282653093735</c:v>
                </c:pt>
                <c:pt idx="90">
                  <c:v>14.000000000000002</c:v>
                </c:pt>
                <c:pt idx="91">
                  <c:v>-3.0678010204149508</c:v>
                </c:pt>
                <c:pt idx="92">
                  <c:v>26.896999319700733</c:v>
                </c:pt>
                <c:pt idx="93">
                  <c:v>12</c:v>
                </c:pt>
                <c:pt idx="94">
                  <c:v>-12</c:v>
                </c:pt>
                <c:pt idx="95">
                  <c:v>-24.879281862192261</c:v>
                </c:pt>
                <c:pt idx="96">
                  <c:v>25</c:v>
                </c:pt>
                <c:pt idx="97">
                  <c:v>5.8156608222448263</c:v>
                </c:pt>
                <c:pt idx="98">
                  <c:v>31.34962606454722</c:v>
                </c:pt>
                <c:pt idx="99">
                  <c:v>12</c:v>
                </c:pt>
                <c:pt idx="100">
                  <c:v>-12</c:v>
                </c:pt>
                <c:pt idx="101">
                  <c:v>-23.375716830330454</c:v>
                </c:pt>
                <c:pt idx="102">
                  <c:v>0</c:v>
                </c:pt>
                <c:pt idx="103">
                  <c:v>-8.9906603193697858</c:v>
                </c:pt>
                <c:pt idx="104">
                  <c:v>22.648032351271631</c:v>
                </c:pt>
                <c:pt idx="105">
                  <c:v>12</c:v>
                </c:pt>
                <c:pt idx="106">
                  <c:v>-12</c:v>
                </c:pt>
                <c:pt idx="107">
                  <c:v>-10.52880704336475</c:v>
                </c:pt>
                <c:pt idx="108">
                  <c:v>-25</c:v>
                </c:pt>
                <c:pt idx="109">
                  <c:v>-19.434156555154736</c:v>
                </c:pt>
                <c:pt idx="110">
                  <c:v>20.32293673094285</c:v>
                </c:pt>
                <c:pt idx="111">
                  <c:v>12</c:v>
                </c:pt>
                <c:pt idx="112">
                  <c:v>60</c:v>
                </c:pt>
                <c:pt idx="113">
                  <c:v>59.977621104822219</c:v>
                </c:pt>
                <c:pt idx="114">
                  <c:v>59.910498330815244</c:v>
                </c:pt>
                <c:pt idx="115">
                  <c:v>59.7986734039103</c:v>
                </c:pt>
                <c:pt idx="116">
                  <c:v>59.642215838505066</c:v>
                </c:pt>
                <c:pt idx="117">
                  <c:v>59.441222894251112</c:v>
                </c:pt>
                <c:pt idx="118">
                  <c:v>59.195819515593755</c:v>
                </c:pt>
                <c:pt idx="119">
                  <c:v>58.906158254102053</c:v>
                </c:pt>
                <c:pt idx="120">
                  <c:v>58.572419173637371</c:v>
                </c:pt>
                <c:pt idx="121">
                  <c:v>58.19480973841911</c:v>
                </c:pt>
                <c:pt idx="122">
                  <c:v>57.77356468405749</c:v>
                </c:pt>
                <c:pt idx="123">
                  <c:v>57.308945871633512</c:v>
                </c:pt>
                <c:pt idx="124">
                  <c:v>56.801242124916655</c:v>
                </c:pt>
                <c:pt idx="125">
                  <c:v>56.250769050821617</c:v>
                </c:pt>
                <c:pt idx="126">
                  <c:v>55.657868843215709</c:v>
                </c:pt>
                <c:pt idx="127">
                  <c:v>55.022910070198847</c:v>
                </c:pt>
                <c:pt idx="128">
                  <c:v>54.346287444988349</c:v>
                </c:pt>
                <c:pt idx="129">
                  <c:v>53.628421580551006</c:v>
                </c:pt>
                <c:pt idx="130">
                  <c:v>52.869758728134926</c:v>
                </c:pt>
                <c:pt idx="131">
                  <c:v>52.070770499863713</c:v>
                </c:pt>
                <c:pt idx="132">
                  <c:v>51.231953575565385</c:v>
                </c:pt>
                <c:pt idx="133">
                  <c:v>50.353829394018334</c:v>
                </c:pt>
                <c:pt idx="134">
                  <c:v>49.436943828806236</c:v>
                </c:pt>
                <c:pt idx="135">
                  <c:v>48.481866848983351</c:v>
                </c:pt>
                <c:pt idx="136">
                  <c:v>47.489192164761299</c:v>
                </c:pt>
                <c:pt idx="137">
                  <c:v>46.45953685843741</c:v>
                </c:pt>
                <c:pt idx="138">
                  <c:v>45.39354100079418</c:v>
                </c:pt>
                <c:pt idx="139">
                  <c:v>44.29186725320821</c:v>
                </c:pt>
                <c:pt idx="140">
                  <c:v>43.155200455716098</c:v>
                </c:pt>
                <c:pt idx="141">
                  <c:v>41.984247201293201</c:v>
                </c:pt>
                <c:pt idx="142">
                  <c:v>40.779735396610057</c:v>
                </c:pt>
                <c:pt idx="143">
                  <c:v>39.542413809539362</c:v>
                </c:pt>
                <c:pt idx="144">
                  <c:v>38.27305160369496</c:v>
                </c:pt>
                <c:pt idx="145">
                  <c:v>36.97243786029204</c:v>
                </c:pt>
                <c:pt idx="146">
                  <c:v>35.641381087625909</c:v>
                </c:pt>
                <c:pt idx="147">
                  <c:v>34.280708718474088</c:v>
                </c:pt>
                <c:pt idx="148">
                  <c:v>32.891266595734379</c:v>
                </c:pt>
                <c:pt idx="149">
                  <c:v>31.473918446618441</c:v>
                </c:pt>
                <c:pt idx="150">
                  <c:v>30.029545345727961</c:v>
                </c:pt>
                <c:pt idx="151">
                  <c:v>28.559045167346859</c:v>
                </c:pt>
                <c:pt idx="152">
                  <c:v>27.063332027290457</c:v>
                </c:pt>
                <c:pt idx="153">
                  <c:v>25.54333571465812</c:v>
                </c:pt>
                <c:pt idx="154">
                  <c:v>24.00000111384292</c:v>
                </c:pt>
                <c:pt idx="155">
                  <c:v>22.434287617157558</c:v>
                </c:pt>
                <c:pt idx="156">
                  <c:v>20.847168528441451</c:v>
                </c:pt>
                <c:pt idx="157">
                  <c:v>19.239630458020226</c:v>
                </c:pt>
                <c:pt idx="158">
                  <c:v>17.612672709393095</c:v>
                </c:pt>
                <c:pt idx="159">
                  <c:v>15.967306658029923</c:v>
                </c:pt>
                <c:pt idx="160">
                  <c:v>14.304555122663807</c:v>
                </c:pt>
                <c:pt idx="161">
                  <c:v>12.625451729470267</c:v>
                </c:pt>
                <c:pt idx="162">
                  <c:v>10.931040269527855</c:v>
                </c:pt>
                <c:pt idx="163">
                  <c:v>9.2223740499601874</c:v>
                </c:pt>
                <c:pt idx="164">
                  <c:v>7.50051523916229</c:v>
                </c:pt>
                <c:pt idx="165">
                  <c:v>5.7665342065185783</c:v>
                </c:pt>
                <c:pt idx="166">
                  <c:v>4.0215088570226385</c:v>
                </c:pt>
                <c:pt idx="167">
                  <c:v>2.2665239612127621</c:v>
                </c:pt>
                <c:pt idx="168">
                  <c:v>0.50267048083958699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2.8515696384297637</c:v>
                </c:pt>
                <c:pt idx="177">
                  <c:v>1.9753111994832171</c:v>
                </c:pt>
                <c:pt idx="178">
                  <c:v>0.92563316887902047</c:v>
                </c:pt>
                <c:pt idx="179">
                  <c:v>-0.21601377837397351</c:v>
                </c:pt>
                <c:pt idx="180">
                  <c:v>-1.4157664759720063</c:v>
                </c:pt>
                <c:pt idx="181">
                  <c:v>-2.6556123420946562</c:v>
                </c:pt>
                <c:pt idx="182">
                  <c:v>-3.9245681685754725</c:v>
                </c:pt>
                <c:pt idx="183">
                  <c:v>-5.2153144569239593</c:v>
                </c:pt>
                <c:pt idx="184">
                  <c:v>-6.5226550874579061</c:v>
                </c:pt>
                <c:pt idx="185">
                  <c:v>-7.8427215966531474</c:v>
                </c:pt>
                <c:pt idx="186">
                  <c:v>-9.1725245020797033</c:v>
                </c:pt>
                <c:pt idx="187">
                  <c:v>-10.509682805443534</c:v>
                </c:pt>
                <c:pt idx="188">
                  <c:v>-11.852251962601201</c:v>
                </c:pt>
                <c:pt idx="189">
                  <c:v>-13.198609507350314</c:v>
                </c:pt>
                <c:pt idx="190">
                  <c:v>-14.547376030315508</c:v>
                </c:pt>
                <c:pt idx="191">
                  <c:v>-15.897358663204308</c:v>
                </c:pt>
                <c:pt idx="192">
                  <c:v>-17.247509325359044</c:v>
                </c:pt>
                <c:pt idx="193">
                  <c:v>-18.596892885306229</c:v>
                </c:pt>
                <c:pt idx="194">
                  <c:v>-19.944662101015112</c:v>
                </c:pt>
                <c:pt idx="195">
                  <c:v>-21.290037250525245</c:v>
                </c:pt>
                <c:pt idx="196">
                  <c:v>-22.632289027455251</c:v>
                </c:pt>
                <c:pt idx="197">
                  <c:v>-23.97072370792359</c:v>
                </c:pt>
                <c:pt idx="198">
                  <c:v>-25.30466988534544</c:v>
                </c:pt>
                <c:pt idx="199">
                  <c:v>-26.633466270137497</c:v>
                </c:pt>
                <c:pt idx="200">
                  <c:v>-27.956450194805811</c:v>
                </c:pt>
                <c:pt idx="201">
                  <c:v>-29.272946571435931</c:v>
                </c:pt>
                <c:pt idx="202">
                  <c:v>-30.582257131227855</c:v>
                </c:pt>
                <c:pt idx="203">
                  <c:v>-31.883649842884822</c:v>
                </c:pt>
                <c:pt idx="204">
                  <c:v>-33.176348463939625</c:v>
                </c:pt>
                <c:pt idx="205">
                  <c:v>-34.459522230103559</c:v>
                </c:pt>
                <c:pt idx="206">
                  <c:v>-35.732275734705851</c:v>
                </c:pt>
                <c:pt idx="207">
                  <c:v>-36.99363909448315</c:v>
                </c:pt>
                <c:pt idx="208">
                  <c:v>-38.242558539797471</c:v>
                </c:pt>
                <c:pt idx="209">
                  <c:v>-39.477887606536221</c:v>
                </c:pt>
                <c:pt idx="210">
                  <c:v>-40.698379142616446</c:v>
                </c:pt>
                <c:pt idx="211">
                  <c:v>-41.902678372794895</c:v>
                </c:pt>
                <c:pt idx="212">
                  <c:v>-43.089317289558807</c:v>
                </c:pt>
                <c:pt idx="213">
                  <c:v>-44.25671065311036</c:v>
                </c:pt>
                <c:pt idx="214">
                  <c:v>-45.403153887555582</c:v>
                </c:pt>
                <c:pt idx="215">
                  <c:v>-46.526823151096757</c:v>
                </c:pt>
                <c:pt idx="216">
                  <c:v>-47.625777833297384</c:v>
                </c:pt>
                <c:pt idx="217">
                  <c:v>-48.697965690882285</c:v>
                </c:pt>
                <c:pt idx="218">
                  <c:v>-49.741230774414589</c:v>
                </c:pt>
                <c:pt idx="219">
                  <c:v>-50.753324222038465</c:v>
                </c:pt>
                <c:pt idx="220">
                  <c:v>-51.731917905092047</c:v>
                </c:pt>
                <c:pt idx="221">
                  <c:v>-52.674620807053785</c:v>
                </c:pt>
                <c:pt idx="222">
                  <c:v>-53.578997906712083</c:v>
                </c:pt>
                <c:pt idx="223">
                  <c:v>-54.442591224662408</c:v>
                </c:pt>
                <c:pt idx="224">
                  <c:v>-55.262942586197084</c:v>
                </c:pt>
                <c:pt idx="225">
                  <c:v>-56.037617560739605</c:v>
                </c:pt>
                <c:pt idx="226">
                  <c:v>-56.764229965340405</c:v>
                </c:pt>
                <c:pt idx="227">
                  <c:v>-57.440466273599569</c:v>
                </c:pt>
                <c:pt idx="228">
                  <c:v>-58.064109256288212</c:v>
                </c:pt>
                <c:pt idx="229">
                  <c:v>-58.633060198267984</c:v>
                </c:pt>
                <c:pt idx="230">
                  <c:v>-59.145359087855262</c:v>
                </c:pt>
                <c:pt idx="231">
                  <c:v>-59.599202256688159</c:v>
                </c:pt>
                <c:pt idx="232">
                  <c:v>-59.992957055132891</c:v>
                </c:pt>
                <c:pt idx="233">
                  <c:v>-60.325173273076174</c:v>
                </c:pt>
                <c:pt idx="234">
                  <c:v>-60.594591150128096</c:v>
                </c:pt>
                <c:pt idx="235">
                  <c:v>-60.800145953957085</c:v>
                </c:pt>
                <c:pt idx="236">
                  <c:v>-60.940969232303956</c:v>
                </c:pt>
                <c:pt idx="237">
                  <c:v>-61.016386955989681</c:v>
                </c:pt>
                <c:pt idx="238">
                  <c:v>-61.025914861512376</c:v>
                </c:pt>
                <c:pt idx="239">
                  <c:v>-60.969251369261414</c:v>
                </c:pt>
              </c:numCache>
            </c:numRef>
          </c:xVal>
          <c:yVal>
            <c:numRef>
              <c:f>CALC60!$CF$6:$CF$581</c:f>
              <c:numCache>
                <c:formatCode>General</c:formatCode>
                <c:ptCount val="576"/>
              </c:numCache>
            </c:numRef>
          </c:yVal>
          <c:smooth val="0"/>
        </c:ser>
        <c:ser>
          <c:idx val="33"/>
          <c:order val="33"/>
          <c:tx>
            <c:strRef>
              <c:f>CALC60!$CG$5</c:f>
              <c:strCache>
                <c:ptCount val="1"/>
                <c:pt idx="0">
                  <c:v>R32</c:v>
                </c:pt>
              </c:strCache>
            </c:strRef>
          </c:tx>
          <c:spPr>
            <a:ln w="28575">
              <a:noFill/>
            </a:ln>
          </c:spPr>
          <c:xVal>
            <c:numRef>
              <c:f>CALC60!$AY$6:$AY$581</c:f>
              <c:numCache>
                <c:formatCode>General</c:formatCode>
                <c:ptCount val="576"/>
                <c:pt idx="0">
                  <c:v>-19.833506546880365</c:v>
                </c:pt>
                <c:pt idx="1">
                  <c:v>-18.245852614565919</c:v>
                </c:pt>
                <c:pt idx="2">
                  <c:v>-16.629666681765414</c:v>
                </c:pt>
                <c:pt idx="3">
                  <c:v>-14.98231154257417</c:v>
                </c:pt>
                <c:pt idx="4">
                  <c:v>-13.301143585556035</c:v>
                </c:pt>
                <c:pt idx="5">
                  <c:v>-11.583569246398675</c:v>
                </c:pt>
                <c:pt idx="6">
                  <c:v>-9.8270793278644781</c:v>
                </c:pt>
                <c:pt idx="7">
                  <c:v>-8.029252658232803</c:v>
                </c:pt>
                <c:pt idx="8">
                  <c:v>-6.1877185053343773</c:v>
                </c:pt>
                <c:pt idx="9">
                  <c:v>-4.3000630515963358</c:v>
                </c:pt>
                <c:pt idx="10">
                  <c:v>-2.3636564525099644</c:v>
                </c:pt>
                <c:pt idx="11">
                  <c:v>-0.37535794962416702</c:v>
                </c:pt>
                <c:pt idx="12">
                  <c:v>-3.0678010204149508</c:v>
                </c:pt>
                <c:pt idx="13">
                  <c:v>5.8156608222448263</c:v>
                </c:pt>
                <c:pt idx="14">
                  <c:v>-8.9906603193697858</c:v>
                </c:pt>
                <c:pt idx="15">
                  <c:v>-19.434156555154736</c:v>
                </c:pt>
                <c:pt idx="16">
                  <c:v>-12</c:v>
                </c:pt>
                <c:pt idx="17">
                  <c:v>-29.167117021908272</c:v>
                </c:pt>
                <c:pt idx="18">
                  <c:v>-14</c:v>
                </c:pt>
                <c:pt idx="19">
                  <c:v>-19.833506546880365</c:v>
                </c:pt>
                <c:pt idx="20">
                  <c:v>1.5130248501190131</c:v>
                </c:pt>
                <c:pt idx="21">
                  <c:v>12</c:v>
                </c:pt>
                <c:pt idx="22">
                  <c:v>-12</c:v>
                </c:pt>
                <c:pt idx="23">
                  <c:v>-28.772550131225248</c:v>
                </c:pt>
                <c:pt idx="24">
                  <c:v>-11.666666666666666</c:v>
                </c:pt>
                <c:pt idx="25">
                  <c:v>-18.245852614565919</c:v>
                </c:pt>
                <c:pt idx="26">
                  <c:v>4.3925078710812571</c:v>
                </c:pt>
                <c:pt idx="27">
                  <c:v>12</c:v>
                </c:pt>
                <c:pt idx="28">
                  <c:v>-12</c:v>
                </c:pt>
                <c:pt idx="29">
                  <c:v>-28.303800039278563</c:v>
                </c:pt>
                <c:pt idx="30">
                  <c:v>-9.3333333333333321</c:v>
                </c:pt>
                <c:pt idx="31">
                  <c:v>-16.629666681765414</c:v>
                </c:pt>
                <c:pt idx="32">
                  <c:v>6.4527131206909987</c:v>
                </c:pt>
                <c:pt idx="33">
                  <c:v>12</c:v>
                </c:pt>
                <c:pt idx="34">
                  <c:v>-12</c:v>
                </c:pt>
                <c:pt idx="35">
                  <c:v>-27.754010010716058</c:v>
                </c:pt>
                <c:pt idx="36">
                  <c:v>-6.9999999999999982</c:v>
                </c:pt>
                <c:pt idx="37">
                  <c:v>-14.98231154257417</c:v>
                </c:pt>
                <c:pt idx="38">
                  <c:v>8.2375052570320868</c:v>
                </c:pt>
                <c:pt idx="39">
                  <c:v>12</c:v>
                </c:pt>
                <c:pt idx="40">
                  <c:v>-12</c:v>
                </c:pt>
                <c:pt idx="41">
                  <c:v>-27.116306655803694</c:v>
                </c:pt>
                <c:pt idx="42">
                  <c:v>-4.6666666666666643</c:v>
                </c:pt>
                <c:pt idx="43">
                  <c:v>-13.301143585556035</c:v>
                </c:pt>
                <c:pt idx="44">
                  <c:v>9.8664661885771885</c:v>
                </c:pt>
                <c:pt idx="45">
                  <c:v>12</c:v>
                </c:pt>
                <c:pt idx="46">
                  <c:v>-12</c:v>
                </c:pt>
                <c:pt idx="47">
                  <c:v>-26.383946707329393</c:v>
                </c:pt>
                <c:pt idx="48">
                  <c:v>-2.3333333333333308</c:v>
                </c:pt>
                <c:pt idx="49">
                  <c:v>-11.583569246398675</c:v>
                </c:pt>
                <c:pt idx="50">
                  <c:v>11.388844623449907</c:v>
                </c:pt>
                <c:pt idx="51">
                  <c:v>12</c:v>
                </c:pt>
                <c:pt idx="52">
                  <c:v>-12</c:v>
                </c:pt>
                <c:pt idx="53">
                  <c:v>-25.550406252475348</c:v>
                </c:pt>
                <c:pt idx="54">
                  <c:v>0</c:v>
                </c:pt>
                <c:pt idx="55">
                  <c:v>-9.8270793278644781</c:v>
                </c:pt>
                <c:pt idx="56">
                  <c:v>12.829698097369761</c:v>
                </c:pt>
                <c:pt idx="57">
                  <c:v>12</c:v>
                </c:pt>
                <c:pt idx="58">
                  <c:v>-12</c:v>
                </c:pt>
                <c:pt idx="59">
                  <c:v>-24.609390244767855</c:v>
                </c:pt>
                <c:pt idx="60">
                  <c:v>2.3333333333333335</c:v>
                </c:pt>
                <c:pt idx="61">
                  <c:v>-8.029252658232803</c:v>
                </c:pt>
                <c:pt idx="62">
                  <c:v>14.203132463376605</c:v>
                </c:pt>
                <c:pt idx="63">
                  <c:v>12</c:v>
                </c:pt>
                <c:pt idx="64">
                  <c:v>-12</c:v>
                </c:pt>
                <c:pt idx="65">
                  <c:v>-23.554734780566797</c:v>
                </c:pt>
                <c:pt idx="66">
                  <c:v>4.666666666666667</c:v>
                </c:pt>
                <c:pt idx="67">
                  <c:v>-6.1877185053343773</c:v>
                </c:pt>
                <c:pt idx="68">
                  <c:v>15.517506829265256</c:v>
                </c:pt>
                <c:pt idx="69">
                  <c:v>12</c:v>
                </c:pt>
                <c:pt idx="70">
                  <c:v>-12</c:v>
                </c:pt>
                <c:pt idx="71">
                  <c:v>-22.380163934182676</c:v>
                </c:pt>
                <c:pt idx="72">
                  <c:v>7</c:v>
                </c:pt>
                <c:pt idx="73">
                  <c:v>-4.3000630515963358</c:v>
                </c:pt>
                <c:pt idx="74">
                  <c:v>16.777941702150098</c:v>
                </c:pt>
                <c:pt idx="75">
                  <c:v>12</c:v>
                </c:pt>
                <c:pt idx="76">
                  <c:v>-12</c:v>
                </c:pt>
                <c:pt idx="77">
                  <c:v>-21.078840109892809</c:v>
                </c:pt>
                <c:pt idx="78">
                  <c:v>9.3333333333333339</c:v>
                </c:pt>
                <c:pt idx="79">
                  <c:v>-2.3636564525099644</c:v>
                </c:pt>
                <c:pt idx="80">
                  <c:v>17.987756355580007</c:v>
                </c:pt>
                <c:pt idx="81">
                  <c:v>12</c:v>
                </c:pt>
                <c:pt idx="82">
                  <c:v>-12</c:v>
                </c:pt>
                <c:pt idx="83">
                  <c:v>-19.642597335724307</c:v>
                </c:pt>
                <c:pt idx="84">
                  <c:v>11.666666666666668</c:v>
                </c:pt>
                <c:pt idx="85">
                  <c:v>-0.37535794962416702</c:v>
                </c:pt>
                <c:pt idx="86">
                  <c:v>19.149459663035739</c:v>
                </c:pt>
                <c:pt idx="87">
                  <c:v>12</c:v>
                </c:pt>
                <c:pt idx="88">
                  <c:v>-12</c:v>
                </c:pt>
                <c:pt idx="89">
                  <c:v>-30.376282653093735</c:v>
                </c:pt>
                <c:pt idx="90">
                  <c:v>14.000000000000002</c:v>
                </c:pt>
                <c:pt idx="91">
                  <c:v>-3.0678010204149508</c:v>
                </c:pt>
                <c:pt idx="92">
                  <c:v>26.896999319700733</c:v>
                </c:pt>
                <c:pt idx="93">
                  <c:v>12</c:v>
                </c:pt>
                <c:pt idx="94">
                  <c:v>-12</c:v>
                </c:pt>
                <c:pt idx="95">
                  <c:v>-24.879281862192261</c:v>
                </c:pt>
                <c:pt idx="96">
                  <c:v>25</c:v>
                </c:pt>
                <c:pt idx="97">
                  <c:v>5.8156608222448263</c:v>
                </c:pt>
                <c:pt idx="98">
                  <c:v>31.34962606454722</c:v>
                </c:pt>
                <c:pt idx="99">
                  <c:v>12</c:v>
                </c:pt>
                <c:pt idx="100">
                  <c:v>-12</c:v>
                </c:pt>
                <c:pt idx="101">
                  <c:v>-23.375716830330454</c:v>
                </c:pt>
                <c:pt idx="102">
                  <c:v>0</c:v>
                </c:pt>
                <c:pt idx="103">
                  <c:v>-8.9906603193697858</c:v>
                </c:pt>
                <c:pt idx="104">
                  <c:v>22.648032351271631</c:v>
                </c:pt>
                <c:pt idx="105">
                  <c:v>12</c:v>
                </c:pt>
                <c:pt idx="106">
                  <c:v>-12</c:v>
                </c:pt>
                <c:pt idx="107">
                  <c:v>-10.52880704336475</c:v>
                </c:pt>
                <c:pt idx="108">
                  <c:v>-25</c:v>
                </c:pt>
                <c:pt idx="109">
                  <c:v>-19.434156555154736</c:v>
                </c:pt>
                <c:pt idx="110">
                  <c:v>20.32293673094285</c:v>
                </c:pt>
                <c:pt idx="111">
                  <c:v>12</c:v>
                </c:pt>
                <c:pt idx="112">
                  <c:v>60</c:v>
                </c:pt>
                <c:pt idx="113">
                  <c:v>59.977621104822219</c:v>
                </c:pt>
                <c:pt idx="114">
                  <c:v>59.910498330815244</c:v>
                </c:pt>
                <c:pt idx="115">
                  <c:v>59.7986734039103</c:v>
                </c:pt>
                <c:pt idx="116">
                  <c:v>59.642215838505066</c:v>
                </c:pt>
                <c:pt idx="117">
                  <c:v>59.441222894251112</c:v>
                </c:pt>
                <c:pt idx="118">
                  <c:v>59.195819515593755</c:v>
                </c:pt>
                <c:pt idx="119">
                  <c:v>58.906158254102053</c:v>
                </c:pt>
                <c:pt idx="120">
                  <c:v>58.572419173637371</c:v>
                </c:pt>
                <c:pt idx="121">
                  <c:v>58.19480973841911</c:v>
                </c:pt>
                <c:pt idx="122">
                  <c:v>57.77356468405749</c:v>
                </c:pt>
                <c:pt idx="123">
                  <c:v>57.308945871633512</c:v>
                </c:pt>
                <c:pt idx="124">
                  <c:v>56.801242124916655</c:v>
                </c:pt>
                <c:pt idx="125">
                  <c:v>56.250769050821617</c:v>
                </c:pt>
                <c:pt idx="126">
                  <c:v>55.657868843215709</c:v>
                </c:pt>
                <c:pt idx="127">
                  <c:v>55.022910070198847</c:v>
                </c:pt>
                <c:pt idx="128">
                  <c:v>54.346287444988349</c:v>
                </c:pt>
                <c:pt idx="129">
                  <c:v>53.628421580551006</c:v>
                </c:pt>
                <c:pt idx="130">
                  <c:v>52.869758728134926</c:v>
                </c:pt>
                <c:pt idx="131">
                  <c:v>52.070770499863713</c:v>
                </c:pt>
                <c:pt idx="132">
                  <c:v>51.231953575565385</c:v>
                </c:pt>
                <c:pt idx="133">
                  <c:v>50.353829394018334</c:v>
                </c:pt>
                <c:pt idx="134">
                  <c:v>49.436943828806236</c:v>
                </c:pt>
                <c:pt idx="135">
                  <c:v>48.481866848983351</c:v>
                </c:pt>
                <c:pt idx="136">
                  <c:v>47.489192164761299</c:v>
                </c:pt>
                <c:pt idx="137">
                  <c:v>46.45953685843741</c:v>
                </c:pt>
                <c:pt idx="138">
                  <c:v>45.39354100079418</c:v>
                </c:pt>
                <c:pt idx="139">
                  <c:v>44.29186725320821</c:v>
                </c:pt>
                <c:pt idx="140">
                  <c:v>43.155200455716098</c:v>
                </c:pt>
                <c:pt idx="141">
                  <c:v>41.984247201293201</c:v>
                </c:pt>
                <c:pt idx="142">
                  <c:v>40.779735396610057</c:v>
                </c:pt>
                <c:pt idx="143">
                  <c:v>39.542413809539362</c:v>
                </c:pt>
                <c:pt idx="144">
                  <c:v>38.27305160369496</c:v>
                </c:pt>
                <c:pt idx="145">
                  <c:v>36.97243786029204</c:v>
                </c:pt>
                <c:pt idx="146">
                  <c:v>35.641381087625909</c:v>
                </c:pt>
                <c:pt idx="147">
                  <c:v>34.280708718474088</c:v>
                </c:pt>
                <c:pt idx="148">
                  <c:v>32.891266595734379</c:v>
                </c:pt>
                <c:pt idx="149">
                  <c:v>31.473918446618441</c:v>
                </c:pt>
                <c:pt idx="150">
                  <c:v>30.029545345727961</c:v>
                </c:pt>
                <c:pt idx="151">
                  <c:v>28.559045167346859</c:v>
                </c:pt>
                <c:pt idx="152">
                  <c:v>27.063332027290457</c:v>
                </c:pt>
                <c:pt idx="153">
                  <c:v>25.54333571465812</c:v>
                </c:pt>
                <c:pt idx="154">
                  <c:v>24.00000111384292</c:v>
                </c:pt>
                <c:pt idx="155">
                  <c:v>22.434287617157558</c:v>
                </c:pt>
                <c:pt idx="156">
                  <c:v>20.847168528441451</c:v>
                </c:pt>
                <c:pt idx="157">
                  <c:v>19.239630458020226</c:v>
                </c:pt>
                <c:pt idx="158">
                  <c:v>17.612672709393095</c:v>
                </c:pt>
                <c:pt idx="159">
                  <c:v>15.967306658029923</c:v>
                </c:pt>
                <c:pt idx="160">
                  <c:v>14.304555122663807</c:v>
                </c:pt>
                <c:pt idx="161">
                  <c:v>12.625451729470267</c:v>
                </c:pt>
                <c:pt idx="162">
                  <c:v>10.931040269527855</c:v>
                </c:pt>
                <c:pt idx="163">
                  <c:v>9.2223740499601874</c:v>
                </c:pt>
                <c:pt idx="164">
                  <c:v>7.50051523916229</c:v>
                </c:pt>
                <c:pt idx="165">
                  <c:v>5.7665342065185783</c:v>
                </c:pt>
                <c:pt idx="166">
                  <c:v>4.0215088570226385</c:v>
                </c:pt>
                <c:pt idx="167">
                  <c:v>2.2665239612127621</c:v>
                </c:pt>
                <c:pt idx="168">
                  <c:v>0.50267048083958699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2.8515696384297637</c:v>
                </c:pt>
                <c:pt idx="177">
                  <c:v>1.9753111994832171</c:v>
                </c:pt>
                <c:pt idx="178">
                  <c:v>0.92563316887902047</c:v>
                </c:pt>
                <c:pt idx="179">
                  <c:v>-0.21601377837397351</c:v>
                </c:pt>
                <c:pt idx="180">
                  <c:v>-1.4157664759720063</c:v>
                </c:pt>
                <c:pt idx="181">
                  <c:v>-2.6556123420946562</c:v>
                </c:pt>
                <c:pt idx="182">
                  <c:v>-3.9245681685754725</c:v>
                </c:pt>
                <c:pt idx="183">
                  <c:v>-5.2153144569239593</c:v>
                </c:pt>
                <c:pt idx="184">
                  <c:v>-6.5226550874579061</c:v>
                </c:pt>
                <c:pt idx="185">
                  <c:v>-7.8427215966531474</c:v>
                </c:pt>
                <c:pt idx="186">
                  <c:v>-9.1725245020797033</c:v>
                </c:pt>
                <c:pt idx="187">
                  <c:v>-10.509682805443534</c:v>
                </c:pt>
                <c:pt idx="188">
                  <c:v>-11.852251962601201</c:v>
                </c:pt>
                <c:pt idx="189">
                  <c:v>-13.198609507350314</c:v>
                </c:pt>
                <c:pt idx="190">
                  <c:v>-14.547376030315508</c:v>
                </c:pt>
                <c:pt idx="191">
                  <c:v>-15.897358663204308</c:v>
                </c:pt>
                <c:pt idx="192">
                  <c:v>-17.247509325359044</c:v>
                </c:pt>
                <c:pt idx="193">
                  <c:v>-18.596892885306229</c:v>
                </c:pt>
                <c:pt idx="194">
                  <c:v>-19.944662101015112</c:v>
                </c:pt>
                <c:pt idx="195">
                  <c:v>-21.290037250525245</c:v>
                </c:pt>
                <c:pt idx="196">
                  <c:v>-22.632289027455251</c:v>
                </c:pt>
                <c:pt idx="197">
                  <c:v>-23.97072370792359</c:v>
                </c:pt>
                <c:pt idx="198">
                  <c:v>-25.30466988534544</c:v>
                </c:pt>
                <c:pt idx="199">
                  <c:v>-26.633466270137497</c:v>
                </c:pt>
                <c:pt idx="200">
                  <c:v>-27.956450194805811</c:v>
                </c:pt>
                <c:pt idx="201">
                  <c:v>-29.272946571435931</c:v>
                </c:pt>
                <c:pt idx="202">
                  <c:v>-30.582257131227855</c:v>
                </c:pt>
                <c:pt idx="203">
                  <c:v>-31.883649842884822</c:v>
                </c:pt>
                <c:pt idx="204">
                  <c:v>-33.176348463939625</c:v>
                </c:pt>
                <c:pt idx="205">
                  <c:v>-34.459522230103559</c:v>
                </c:pt>
                <c:pt idx="206">
                  <c:v>-35.732275734705851</c:v>
                </c:pt>
                <c:pt idx="207">
                  <c:v>-36.99363909448315</c:v>
                </c:pt>
                <c:pt idx="208">
                  <c:v>-38.242558539797471</c:v>
                </c:pt>
                <c:pt idx="209">
                  <c:v>-39.477887606536221</c:v>
                </c:pt>
                <c:pt idx="210">
                  <c:v>-40.698379142616446</c:v>
                </c:pt>
                <c:pt idx="211">
                  <c:v>-41.902678372794895</c:v>
                </c:pt>
                <c:pt idx="212">
                  <c:v>-43.089317289558807</c:v>
                </c:pt>
                <c:pt idx="213">
                  <c:v>-44.25671065311036</c:v>
                </c:pt>
                <c:pt idx="214">
                  <c:v>-45.403153887555582</c:v>
                </c:pt>
                <c:pt idx="215">
                  <c:v>-46.526823151096757</c:v>
                </c:pt>
                <c:pt idx="216">
                  <c:v>-47.625777833297384</c:v>
                </c:pt>
                <c:pt idx="217">
                  <c:v>-48.697965690882285</c:v>
                </c:pt>
                <c:pt idx="218">
                  <c:v>-49.741230774414589</c:v>
                </c:pt>
                <c:pt idx="219">
                  <c:v>-50.753324222038465</c:v>
                </c:pt>
                <c:pt idx="220">
                  <c:v>-51.731917905092047</c:v>
                </c:pt>
                <c:pt idx="221">
                  <c:v>-52.674620807053785</c:v>
                </c:pt>
                <c:pt idx="222">
                  <c:v>-53.578997906712083</c:v>
                </c:pt>
                <c:pt idx="223">
                  <c:v>-54.442591224662408</c:v>
                </c:pt>
                <c:pt idx="224">
                  <c:v>-55.262942586197084</c:v>
                </c:pt>
                <c:pt idx="225">
                  <c:v>-56.037617560739605</c:v>
                </c:pt>
                <c:pt idx="226">
                  <c:v>-56.764229965340405</c:v>
                </c:pt>
                <c:pt idx="227">
                  <c:v>-57.440466273599569</c:v>
                </c:pt>
                <c:pt idx="228">
                  <c:v>-58.064109256288212</c:v>
                </c:pt>
                <c:pt idx="229">
                  <c:v>-58.633060198267984</c:v>
                </c:pt>
                <c:pt idx="230">
                  <c:v>-59.145359087855262</c:v>
                </c:pt>
                <c:pt idx="231">
                  <c:v>-59.599202256688159</c:v>
                </c:pt>
                <c:pt idx="232">
                  <c:v>-59.992957055132891</c:v>
                </c:pt>
                <c:pt idx="233">
                  <c:v>-60.325173273076174</c:v>
                </c:pt>
                <c:pt idx="234">
                  <c:v>-60.594591150128096</c:v>
                </c:pt>
                <c:pt idx="235">
                  <c:v>-60.800145953957085</c:v>
                </c:pt>
                <c:pt idx="236">
                  <c:v>-60.940969232303956</c:v>
                </c:pt>
                <c:pt idx="237">
                  <c:v>-61.016386955989681</c:v>
                </c:pt>
                <c:pt idx="238">
                  <c:v>-61.025914861512376</c:v>
                </c:pt>
                <c:pt idx="239">
                  <c:v>-60.969251369261414</c:v>
                </c:pt>
              </c:numCache>
            </c:numRef>
          </c:xVal>
          <c:yVal>
            <c:numRef>
              <c:f>CALC60!$CG$6:$CG$581</c:f>
              <c:numCache>
                <c:formatCode>General</c:formatCode>
                <c:ptCount val="576"/>
              </c:numCache>
            </c:numRef>
          </c:yVal>
          <c:smooth val="0"/>
        </c:ser>
        <c:ser>
          <c:idx val="34"/>
          <c:order val="34"/>
          <c:tx>
            <c:strRef>
              <c:f>CALC60!$CH$5</c:f>
              <c:strCache>
                <c:ptCount val="1"/>
                <c:pt idx="0">
                  <c:v>R33</c:v>
                </c:pt>
              </c:strCache>
            </c:strRef>
          </c:tx>
          <c:spPr>
            <a:ln w="28575">
              <a:noFill/>
            </a:ln>
          </c:spPr>
          <c:xVal>
            <c:numRef>
              <c:f>CALC60!$AY$6:$AY$581</c:f>
              <c:numCache>
                <c:formatCode>General</c:formatCode>
                <c:ptCount val="576"/>
                <c:pt idx="0">
                  <c:v>-19.833506546880365</c:v>
                </c:pt>
                <c:pt idx="1">
                  <c:v>-18.245852614565919</c:v>
                </c:pt>
                <c:pt idx="2">
                  <c:v>-16.629666681765414</c:v>
                </c:pt>
                <c:pt idx="3">
                  <c:v>-14.98231154257417</c:v>
                </c:pt>
                <c:pt idx="4">
                  <c:v>-13.301143585556035</c:v>
                </c:pt>
                <c:pt idx="5">
                  <c:v>-11.583569246398675</c:v>
                </c:pt>
                <c:pt idx="6">
                  <c:v>-9.8270793278644781</c:v>
                </c:pt>
                <c:pt idx="7">
                  <c:v>-8.029252658232803</c:v>
                </c:pt>
                <c:pt idx="8">
                  <c:v>-6.1877185053343773</c:v>
                </c:pt>
                <c:pt idx="9">
                  <c:v>-4.3000630515963358</c:v>
                </c:pt>
                <c:pt idx="10">
                  <c:v>-2.3636564525099644</c:v>
                </c:pt>
                <c:pt idx="11">
                  <c:v>-0.37535794962416702</c:v>
                </c:pt>
                <c:pt idx="12">
                  <c:v>-3.0678010204149508</c:v>
                </c:pt>
                <c:pt idx="13">
                  <c:v>5.8156608222448263</c:v>
                </c:pt>
                <c:pt idx="14">
                  <c:v>-8.9906603193697858</c:v>
                </c:pt>
                <c:pt idx="15">
                  <c:v>-19.434156555154736</c:v>
                </c:pt>
                <c:pt idx="16">
                  <c:v>-12</c:v>
                </c:pt>
                <c:pt idx="17">
                  <c:v>-29.167117021908272</c:v>
                </c:pt>
                <c:pt idx="18">
                  <c:v>-14</c:v>
                </c:pt>
                <c:pt idx="19">
                  <c:v>-19.833506546880365</c:v>
                </c:pt>
                <c:pt idx="20">
                  <c:v>1.5130248501190131</c:v>
                </c:pt>
                <c:pt idx="21">
                  <c:v>12</c:v>
                </c:pt>
                <c:pt idx="22">
                  <c:v>-12</c:v>
                </c:pt>
                <c:pt idx="23">
                  <c:v>-28.772550131225248</c:v>
                </c:pt>
                <c:pt idx="24">
                  <c:v>-11.666666666666666</c:v>
                </c:pt>
                <c:pt idx="25">
                  <c:v>-18.245852614565919</c:v>
                </c:pt>
                <c:pt idx="26">
                  <c:v>4.3925078710812571</c:v>
                </c:pt>
                <c:pt idx="27">
                  <c:v>12</c:v>
                </c:pt>
                <c:pt idx="28">
                  <c:v>-12</c:v>
                </c:pt>
                <c:pt idx="29">
                  <c:v>-28.303800039278563</c:v>
                </c:pt>
                <c:pt idx="30">
                  <c:v>-9.3333333333333321</c:v>
                </c:pt>
                <c:pt idx="31">
                  <c:v>-16.629666681765414</c:v>
                </c:pt>
                <c:pt idx="32">
                  <c:v>6.4527131206909987</c:v>
                </c:pt>
                <c:pt idx="33">
                  <c:v>12</c:v>
                </c:pt>
                <c:pt idx="34">
                  <c:v>-12</c:v>
                </c:pt>
                <c:pt idx="35">
                  <c:v>-27.754010010716058</c:v>
                </c:pt>
                <c:pt idx="36">
                  <c:v>-6.9999999999999982</c:v>
                </c:pt>
                <c:pt idx="37">
                  <c:v>-14.98231154257417</c:v>
                </c:pt>
                <c:pt idx="38">
                  <c:v>8.2375052570320868</c:v>
                </c:pt>
                <c:pt idx="39">
                  <c:v>12</c:v>
                </c:pt>
                <c:pt idx="40">
                  <c:v>-12</c:v>
                </c:pt>
                <c:pt idx="41">
                  <c:v>-27.116306655803694</c:v>
                </c:pt>
                <c:pt idx="42">
                  <c:v>-4.6666666666666643</c:v>
                </c:pt>
                <c:pt idx="43">
                  <c:v>-13.301143585556035</c:v>
                </c:pt>
                <c:pt idx="44">
                  <c:v>9.8664661885771885</c:v>
                </c:pt>
                <c:pt idx="45">
                  <c:v>12</c:v>
                </c:pt>
                <c:pt idx="46">
                  <c:v>-12</c:v>
                </c:pt>
                <c:pt idx="47">
                  <c:v>-26.383946707329393</c:v>
                </c:pt>
                <c:pt idx="48">
                  <c:v>-2.3333333333333308</c:v>
                </c:pt>
                <c:pt idx="49">
                  <c:v>-11.583569246398675</c:v>
                </c:pt>
                <c:pt idx="50">
                  <c:v>11.388844623449907</c:v>
                </c:pt>
                <c:pt idx="51">
                  <c:v>12</c:v>
                </c:pt>
                <c:pt idx="52">
                  <c:v>-12</c:v>
                </c:pt>
                <c:pt idx="53">
                  <c:v>-25.550406252475348</c:v>
                </c:pt>
                <c:pt idx="54">
                  <c:v>0</c:v>
                </c:pt>
                <c:pt idx="55">
                  <c:v>-9.8270793278644781</c:v>
                </c:pt>
                <c:pt idx="56">
                  <c:v>12.829698097369761</c:v>
                </c:pt>
                <c:pt idx="57">
                  <c:v>12</c:v>
                </c:pt>
                <c:pt idx="58">
                  <c:v>-12</c:v>
                </c:pt>
                <c:pt idx="59">
                  <c:v>-24.609390244767855</c:v>
                </c:pt>
                <c:pt idx="60">
                  <c:v>2.3333333333333335</c:v>
                </c:pt>
                <c:pt idx="61">
                  <c:v>-8.029252658232803</c:v>
                </c:pt>
                <c:pt idx="62">
                  <c:v>14.203132463376605</c:v>
                </c:pt>
                <c:pt idx="63">
                  <c:v>12</c:v>
                </c:pt>
                <c:pt idx="64">
                  <c:v>-12</c:v>
                </c:pt>
                <c:pt idx="65">
                  <c:v>-23.554734780566797</c:v>
                </c:pt>
                <c:pt idx="66">
                  <c:v>4.666666666666667</c:v>
                </c:pt>
                <c:pt idx="67">
                  <c:v>-6.1877185053343773</c:v>
                </c:pt>
                <c:pt idx="68">
                  <c:v>15.517506829265256</c:v>
                </c:pt>
                <c:pt idx="69">
                  <c:v>12</c:v>
                </c:pt>
                <c:pt idx="70">
                  <c:v>-12</c:v>
                </c:pt>
                <c:pt idx="71">
                  <c:v>-22.380163934182676</c:v>
                </c:pt>
                <c:pt idx="72">
                  <c:v>7</c:v>
                </c:pt>
                <c:pt idx="73">
                  <c:v>-4.3000630515963358</c:v>
                </c:pt>
                <c:pt idx="74">
                  <c:v>16.777941702150098</c:v>
                </c:pt>
                <c:pt idx="75">
                  <c:v>12</c:v>
                </c:pt>
                <c:pt idx="76">
                  <c:v>-12</c:v>
                </c:pt>
                <c:pt idx="77">
                  <c:v>-21.078840109892809</c:v>
                </c:pt>
                <c:pt idx="78">
                  <c:v>9.3333333333333339</c:v>
                </c:pt>
                <c:pt idx="79">
                  <c:v>-2.3636564525099644</c:v>
                </c:pt>
                <c:pt idx="80">
                  <c:v>17.987756355580007</c:v>
                </c:pt>
                <c:pt idx="81">
                  <c:v>12</c:v>
                </c:pt>
                <c:pt idx="82">
                  <c:v>-12</c:v>
                </c:pt>
                <c:pt idx="83">
                  <c:v>-19.642597335724307</c:v>
                </c:pt>
                <c:pt idx="84">
                  <c:v>11.666666666666668</c:v>
                </c:pt>
                <c:pt idx="85">
                  <c:v>-0.37535794962416702</c:v>
                </c:pt>
                <c:pt idx="86">
                  <c:v>19.149459663035739</c:v>
                </c:pt>
                <c:pt idx="87">
                  <c:v>12</c:v>
                </c:pt>
                <c:pt idx="88">
                  <c:v>-12</c:v>
                </c:pt>
                <c:pt idx="89">
                  <c:v>-30.376282653093735</c:v>
                </c:pt>
                <c:pt idx="90">
                  <c:v>14.000000000000002</c:v>
                </c:pt>
                <c:pt idx="91">
                  <c:v>-3.0678010204149508</c:v>
                </c:pt>
                <c:pt idx="92">
                  <c:v>26.896999319700733</c:v>
                </c:pt>
                <c:pt idx="93">
                  <c:v>12</c:v>
                </c:pt>
                <c:pt idx="94">
                  <c:v>-12</c:v>
                </c:pt>
                <c:pt idx="95">
                  <c:v>-24.879281862192261</c:v>
                </c:pt>
                <c:pt idx="96">
                  <c:v>25</c:v>
                </c:pt>
                <c:pt idx="97">
                  <c:v>5.8156608222448263</c:v>
                </c:pt>
                <c:pt idx="98">
                  <c:v>31.34962606454722</c:v>
                </c:pt>
                <c:pt idx="99">
                  <c:v>12</c:v>
                </c:pt>
                <c:pt idx="100">
                  <c:v>-12</c:v>
                </c:pt>
                <c:pt idx="101">
                  <c:v>-23.375716830330454</c:v>
                </c:pt>
                <c:pt idx="102">
                  <c:v>0</c:v>
                </c:pt>
                <c:pt idx="103">
                  <c:v>-8.9906603193697858</c:v>
                </c:pt>
                <c:pt idx="104">
                  <c:v>22.648032351271631</c:v>
                </c:pt>
                <c:pt idx="105">
                  <c:v>12</c:v>
                </c:pt>
                <c:pt idx="106">
                  <c:v>-12</c:v>
                </c:pt>
                <c:pt idx="107">
                  <c:v>-10.52880704336475</c:v>
                </c:pt>
                <c:pt idx="108">
                  <c:v>-25</c:v>
                </c:pt>
                <c:pt idx="109">
                  <c:v>-19.434156555154736</c:v>
                </c:pt>
                <c:pt idx="110">
                  <c:v>20.32293673094285</c:v>
                </c:pt>
                <c:pt idx="111">
                  <c:v>12</c:v>
                </c:pt>
                <c:pt idx="112">
                  <c:v>60</c:v>
                </c:pt>
                <c:pt idx="113">
                  <c:v>59.977621104822219</c:v>
                </c:pt>
                <c:pt idx="114">
                  <c:v>59.910498330815244</c:v>
                </c:pt>
                <c:pt idx="115">
                  <c:v>59.7986734039103</c:v>
                </c:pt>
                <c:pt idx="116">
                  <c:v>59.642215838505066</c:v>
                </c:pt>
                <c:pt idx="117">
                  <c:v>59.441222894251112</c:v>
                </c:pt>
                <c:pt idx="118">
                  <c:v>59.195819515593755</c:v>
                </c:pt>
                <c:pt idx="119">
                  <c:v>58.906158254102053</c:v>
                </c:pt>
                <c:pt idx="120">
                  <c:v>58.572419173637371</c:v>
                </c:pt>
                <c:pt idx="121">
                  <c:v>58.19480973841911</c:v>
                </c:pt>
                <c:pt idx="122">
                  <c:v>57.77356468405749</c:v>
                </c:pt>
                <c:pt idx="123">
                  <c:v>57.308945871633512</c:v>
                </c:pt>
                <c:pt idx="124">
                  <c:v>56.801242124916655</c:v>
                </c:pt>
                <c:pt idx="125">
                  <c:v>56.250769050821617</c:v>
                </c:pt>
                <c:pt idx="126">
                  <c:v>55.657868843215709</c:v>
                </c:pt>
                <c:pt idx="127">
                  <c:v>55.022910070198847</c:v>
                </c:pt>
                <c:pt idx="128">
                  <c:v>54.346287444988349</c:v>
                </c:pt>
                <c:pt idx="129">
                  <c:v>53.628421580551006</c:v>
                </c:pt>
                <c:pt idx="130">
                  <c:v>52.869758728134926</c:v>
                </c:pt>
                <c:pt idx="131">
                  <c:v>52.070770499863713</c:v>
                </c:pt>
                <c:pt idx="132">
                  <c:v>51.231953575565385</c:v>
                </c:pt>
                <c:pt idx="133">
                  <c:v>50.353829394018334</c:v>
                </c:pt>
                <c:pt idx="134">
                  <c:v>49.436943828806236</c:v>
                </c:pt>
                <c:pt idx="135">
                  <c:v>48.481866848983351</c:v>
                </c:pt>
                <c:pt idx="136">
                  <c:v>47.489192164761299</c:v>
                </c:pt>
                <c:pt idx="137">
                  <c:v>46.45953685843741</c:v>
                </c:pt>
                <c:pt idx="138">
                  <c:v>45.39354100079418</c:v>
                </c:pt>
                <c:pt idx="139">
                  <c:v>44.29186725320821</c:v>
                </c:pt>
                <c:pt idx="140">
                  <c:v>43.155200455716098</c:v>
                </c:pt>
                <c:pt idx="141">
                  <c:v>41.984247201293201</c:v>
                </c:pt>
                <c:pt idx="142">
                  <c:v>40.779735396610057</c:v>
                </c:pt>
                <c:pt idx="143">
                  <c:v>39.542413809539362</c:v>
                </c:pt>
                <c:pt idx="144">
                  <c:v>38.27305160369496</c:v>
                </c:pt>
                <c:pt idx="145">
                  <c:v>36.97243786029204</c:v>
                </c:pt>
                <c:pt idx="146">
                  <c:v>35.641381087625909</c:v>
                </c:pt>
                <c:pt idx="147">
                  <c:v>34.280708718474088</c:v>
                </c:pt>
                <c:pt idx="148">
                  <c:v>32.891266595734379</c:v>
                </c:pt>
                <c:pt idx="149">
                  <c:v>31.473918446618441</c:v>
                </c:pt>
                <c:pt idx="150">
                  <c:v>30.029545345727961</c:v>
                </c:pt>
                <c:pt idx="151">
                  <c:v>28.559045167346859</c:v>
                </c:pt>
                <c:pt idx="152">
                  <c:v>27.063332027290457</c:v>
                </c:pt>
                <c:pt idx="153">
                  <c:v>25.54333571465812</c:v>
                </c:pt>
                <c:pt idx="154">
                  <c:v>24.00000111384292</c:v>
                </c:pt>
                <c:pt idx="155">
                  <c:v>22.434287617157558</c:v>
                </c:pt>
                <c:pt idx="156">
                  <c:v>20.847168528441451</c:v>
                </c:pt>
                <c:pt idx="157">
                  <c:v>19.239630458020226</c:v>
                </c:pt>
                <c:pt idx="158">
                  <c:v>17.612672709393095</c:v>
                </c:pt>
                <c:pt idx="159">
                  <c:v>15.967306658029923</c:v>
                </c:pt>
                <c:pt idx="160">
                  <c:v>14.304555122663807</c:v>
                </c:pt>
                <c:pt idx="161">
                  <c:v>12.625451729470267</c:v>
                </c:pt>
                <c:pt idx="162">
                  <c:v>10.931040269527855</c:v>
                </c:pt>
                <c:pt idx="163">
                  <c:v>9.2223740499601874</c:v>
                </c:pt>
                <c:pt idx="164">
                  <c:v>7.50051523916229</c:v>
                </c:pt>
                <c:pt idx="165">
                  <c:v>5.7665342065185783</c:v>
                </c:pt>
                <c:pt idx="166">
                  <c:v>4.0215088570226385</c:v>
                </c:pt>
                <c:pt idx="167">
                  <c:v>2.2665239612127621</c:v>
                </c:pt>
                <c:pt idx="168">
                  <c:v>0.50267048083958699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2.8515696384297637</c:v>
                </c:pt>
                <c:pt idx="177">
                  <c:v>1.9753111994832171</c:v>
                </c:pt>
                <c:pt idx="178">
                  <c:v>0.92563316887902047</c:v>
                </c:pt>
                <c:pt idx="179">
                  <c:v>-0.21601377837397351</c:v>
                </c:pt>
                <c:pt idx="180">
                  <c:v>-1.4157664759720063</c:v>
                </c:pt>
                <c:pt idx="181">
                  <c:v>-2.6556123420946562</c:v>
                </c:pt>
                <c:pt idx="182">
                  <c:v>-3.9245681685754725</c:v>
                </c:pt>
                <c:pt idx="183">
                  <c:v>-5.2153144569239593</c:v>
                </c:pt>
                <c:pt idx="184">
                  <c:v>-6.5226550874579061</c:v>
                </c:pt>
                <c:pt idx="185">
                  <c:v>-7.8427215966531474</c:v>
                </c:pt>
                <c:pt idx="186">
                  <c:v>-9.1725245020797033</c:v>
                </c:pt>
                <c:pt idx="187">
                  <c:v>-10.509682805443534</c:v>
                </c:pt>
                <c:pt idx="188">
                  <c:v>-11.852251962601201</c:v>
                </c:pt>
                <c:pt idx="189">
                  <c:v>-13.198609507350314</c:v>
                </c:pt>
                <c:pt idx="190">
                  <c:v>-14.547376030315508</c:v>
                </c:pt>
                <c:pt idx="191">
                  <c:v>-15.897358663204308</c:v>
                </c:pt>
                <c:pt idx="192">
                  <c:v>-17.247509325359044</c:v>
                </c:pt>
                <c:pt idx="193">
                  <c:v>-18.596892885306229</c:v>
                </c:pt>
                <c:pt idx="194">
                  <c:v>-19.944662101015112</c:v>
                </c:pt>
                <c:pt idx="195">
                  <c:v>-21.290037250525245</c:v>
                </c:pt>
                <c:pt idx="196">
                  <c:v>-22.632289027455251</c:v>
                </c:pt>
                <c:pt idx="197">
                  <c:v>-23.97072370792359</c:v>
                </c:pt>
                <c:pt idx="198">
                  <c:v>-25.30466988534544</c:v>
                </c:pt>
                <c:pt idx="199">
                  <c:v>-26.633466270137497</c:v>
                </c:pt>
                <c:pt idx="200">
                  <c:v>-27.956450194805811</c:v>
                </c:pt>
                <c:pt idx="201">
                  <c:v>-29.272946571435931</c:v>
                </c:pt>
                <c:pt idx="202">
                  <c:v>-30.582257131227855</c:v>
                </c:pt>
                <c:pt idx="203">
                  <c:v>-31.883649842884822</c:v>
                </c:pt>
                <c:pt idx="204">
                  <c:v>-33.176348463939625</c:v>
                </c:pt>
                <c:pt idx="205">
                  <c:v>-34.459522230103559</c:v>
                </c:pt>
                <c:pt idx="206">
                  <c:v>-35.732275734705851</c:v>
                </c:pt>
                <c:pt idx="207">
                  <c:v>-36.99363909448315</c:v>
                </c:pt>
                <c:pt idx="208">
                  <c:v>-38.242558539797471</c:v>
                </c:pt>
                <c:pt idx="209">
                  <c:v>-39.477887606536221</c:v>
                </c:pt>
                <c:pt idx="210">
                  <c:v>-40.698379142616446</c:v>
                </c:pt>
                <c:pt idx="211">
                  <c:v>-41.902678372794895</c:v>
                </c:pt>
                <c:pt idx="212">
                  <c:v>-43.089317289558807</c:v>
                </c:pt>
                <c:pt idx="213">
                  <c:v>-44.25671065311036</c:v>
                </c:pt>
                <c:pt idx="214">
                  <c:v>-45.403153887555582</c:v>
                </c:pt>
                <c:pt idx="215">
                  <c:v>-46.526823151096757</c:v>
                </c:pt>
                <c:pt idx="216">
                  <c:v>-47.625777833297384</c:v>
                </c:pt>
                <c:pt idx="217">
                  <c:v>-48.697965690882285</c:v>
                </c:pt>
                <c:pt idx="218">
                  <c:v>-49.741230774414589</c:v>
                </c:pt>
                <c:pt idx="219">
                  <c:v>-50.753324222038465</c:v>
                </c:pt>
                <c:pt idx="220">
                  <c:v>-51.731917905092047</c:v>
                </c:pt>
                <c:pt idx="221">
                  <c:v>-52.674620807053785</c:v>
                </c:pt>
                <c:pt idx="222">
                  <c:v>-53.578997906712083</c:v>
                </c:pt>
                <c:pt idx="223">
                  <c:v>-54.442591224662408</c:v>
                </c:pt>
                <c:pt idx="224">
                  <c:v>-55.262942586197084</c:v>
                </c:pt>
                <c:pt idx="225">
                  <c:v>-56.037617560739605</c:v>
                </c:pt>
                <c:pt idx="226">
                  <c:v>-56.764229965340405</c:v>
                </c:pt>
                <c:pt idx="227">
                  <c:v>-57.440466273599569</c:v>
                </c:pt>
                <c:pt idx="228">
                  <c:v>-58.064109256288212</c:v>
                </c:pt>
                <c:pt idx="229">
                  <c:v>-58.633060198267984</c:v>
                </c:pt>
                <c:pt idx="230">
                  <c:v>-59.145359087855262</c:v>
                </c:pt>
                <c:pt idx="231">
                  <c:v>-59.599202256688159</c:v>
                </c:pt>
                <c:pt idx="232">
                  <c:v>-59.992957055132891</c:v>
                </c:pt>
                <c:pt idx="233">
                  <c:v>-60.325173273076174</c:v>
                </c:pt>
                <c:pt idx="234">
                  <c:v>-60.594591150128096</c:v>
                </c:pt>
                <c:pt idx="235">
                  <c:v>-60.800145953957085</c:v>
                </c:pt>
                <c:pt idx="236">
                  <c:v>-60.940969232303956</c:v>
                </c:pt>
                <c:pt idx="237">
                  <c:v>-61.016386955989681</c:v>
                </c:pt>
                <c:pt idx="238">
                  <c:v>-61.025914861512376</c:v>
                </c:pt>
                <c:pt idx="239">
                  <c:v>-60.969251369261414</c:v>
                </c:pt>
              </c:numCache>
            </c:numRef>
          </c:xVal>
          <c:yVal>
            <c:numRef>
              <c:f>CALC60!$CH$6:$CH$581</c:f>
              <c:numCache>
                <c:formatCode>General</c:formatCode>
                <c:ptCount val="576"/>
              </c:numCache>
            </c:numRef>
          </c:yVal>
          <c:smooth val="0"/>
        </c:ser>
        <c:ser>
          <c:idx val="35"/>
          <c:order val="35"/>
          <c:tx>
            <c:strRef>
              <c:f>CALC60!$CI$5</c:f>
              <c:strCache>
                <c:ptCount val="1"/>
                <c:pt idx="0">
                  <c:v>R34</c:v>
                </c:pt>
              </c:strCache>
            </c:strRef>
          </c:tx>
          <c:spPr>
            <a:ln w="28575">
              <a:noFill/>
            </a:ln>
          </c:spPr>
          <c:xVal>
            <c:numRef>
              <c:f>CALC60!$AY$6:$AY$581</c:f>
              <c:numCache>
                <c:formatCode>General</c:formatCode>
                <c:ptCount val="576"/>
                <c:pt idx="0">
                  <c:v>-19.833506546880365</c:v>
                </c:pt>
                <c:pt idx="1">
                  <c:v>-18.245852614565919</c:v>
                </c:pt>
                <c:pt idx="2">
                  <c:v>-16.629666681765414</c:v>
                </c:pt>
                <c:pt idx="3">
                  <c:v>-14.98231154257417</c:v>
                </c:pt>
                <c:pt idx="4">
                  <c:v>-13.301143585556035</c:v>
                </c:pt>
                <c:pt idx="5">
                  <c:v>-11.583569246398675</c:v>
                </c:pt>
                <c:pt idx="6">
                  <c:v>-9.8270793278644781</c:v>
                </c:pt>
                <c:pt idx="7">
                  <c:v>-8.029252658232803</c:v>
                </c:pt>
                <c:pt idx="8">
                  <c:v>-6.1877185053343773</c:v>
                </c:pt>
                <c:pt idx="9">
                  <c:v>-4.3000630515963358</c:v>
                </c:pt>
                <c:pt idx="10">
                  <c:v>-2.3636564525099644</c:v>
                </c:pt>
                <c:pt idx="11">
                  <c:v>-0.37535794962416702</c:v>
                </c:pt>
                <c:pt idx="12">
                  <c:v>-3.0678010204149508</c:v>
                </c:pt>
                <c:pt idx="13">
                  <c:v>5.8156608222448263</c:v>
                </c:pt>
                <c:pt idx="14">
                  <c:v>-8.9906603193697858</c:v>
                </c:pt>
                <c:pt idx="15">
                  <c:v>-19.434156555154736</c:v>
                </c:pt>
                <c:pt idx="16">
                  <c:v>-12</c:v>
                </c:pt>
                <c:pt idx="17">
                  <c:v>-29.167117021908272</c:v>
                </c:pt>
                <c:pt idx="18">
                  <c:v>-14</c:v>
                </c:pt>
                <c:pt idx="19">
                  <c:v>-19.833506546880365</c:v>
                </c:pt>
                <c:pt idx="20">
                  <c:v>1.5130248501190131</c:v>
                </c:pt>
                <c:pt idx="21">
                  <c:v>12</c:v>
                </c:pt>
                <c:pt idx="22">
                  <c:v>-12</c:v>
                </c:pt>
                <c:pt idx="23">
                  <c:v>-28.772550131225248</c:v>
                </c:pt>
                <c:pt idx="24">
                  <c:v>-11.666666666666666</c:v>
                </c:pt>
                <c:pt idx="25">
                  <c:v>-18.245852614565919</c:v>
                </c:pt>
                <c:pt idx="26">
                  <c:v>4.3925078710812571</c:v>
                </c:pt>
                <c:pt idx="27">
                  <c:v>12</c:v>
                </c:pt>
                <c:pt idx="28">
                  <c:v>-12</c:v>
                </c:pt>
                <c:pt idx="29">
                  <c:v>-28.303800039278563</c:v>
                </c:pt>
                <c:pt idx="30">
                  <c:v>-9.3333333333333321</c:v>
                </c:pt>
                <c:pt idx="31">
                  <c:v>-16.629666681765414</c:v>
                </c:pt>
                <c:pt idx="32">
                  <c:v>6.4527131206909987</c:v>
                </c:pt>
                <c:pt idx="33">
                  <c:v>12</c:v>
                </c:pt>
                <c:pt idx="34">
                  <c:v>-12</c:v>
                </c:pt>
                <c:pt idx="35">
                  <c:v>-27.754010010716058</c:v>
                </c:pt>
                <c:pt idx="36">
                  <c:v>-6.9999999999999982</c:v>
                </c:pt>
                <c:pt idx="37">
                  <c:v>-14.98231154257417</c:v>
                </c:pt>
                <c:pt idx="38">
                  <c:v>8.2375052570320868</c:v>
                </c:pt>
                <c:pt idx="39">
                  <c:v>12</c:v>
                </c:pt>
                <c:pt idx="40">
                  <c:v>-12</c:v>
                </c:pt>
                <c:pt idx="41">
                  <c:v>-27.116306655803694</c:v>
                </c:pt>
                <c:pt idx="42">
                  <c:v>-4.6666666666666643</c:v>
                </c:pt>
                <c:pt idx="43">
                  <c:v>-13.301143585556035</c:v>
                </c:pt>
                <c:pt idx="44">
                  <c:v>9.8664661885771885</c:v>
                </c:pt>
                <c:pt idx="45">
                  <c:v>12</c:v>
                </c:pt>
                <c:pt idx="46">
                  <c:v>-12</c:v>
                </c:pt>
                <c:pt idx="47">
                  <c:v>-26.383946707329393</c:v>
                </c:pt>
                <c:pt idx="48">
                  <c:v>-2.3333333333333308</c:v>
                </c:pt>
                <c:pt idx="49">
                  <c:v>-11.583569246398675</c:v>
                </c:pt>
                <c:pt idx="50">
                  <c:v>11.388844623449907</c:v>
                </c:pt>
                <c:pt idx="51">
                  <c:v>12</c:v>
                </c:pt>
                <c:pt idx="52">
                  <c:v>-12</c:v>
                </c:pt>
                <c:pt idx="53">
                  <c:v>-25.550406252475348</c:v>
                </c:pt>
                <c:pt idx="54">
                  <c:v>0</c:v>
                </c:pt>
                <c:pt idx="55">
                  <c:v>-9.8270793278644781</c:v>
                </c:pt>
                <c:pt idx="56">
                  <c:v>12.829698097369761</c:v>
                </c:pt>
                <c:pt idx="57">
                  <c:v>12</c:v>
                </c:pt>
                <c:pt idx="58">
                  <c:v>-12</c:v>
                </c:pt>
                <c:pt idx="59">
                  <c:v>-24.609390244767855</c:v>
                </c:pt>
                <c:pt idx="60">
                  <c:v>2.3333333333333335</c:v>
                </c:pt>
                <c:pt idx="61">
                  <c:v>-8.029252658232803</c:v>
                </c:pt>
                <c:pt idx="62">
                  <c:v>14.203132463376605</c:v>
                </c:pt>
                <c:pt idx="63">
                  <c:v>12</c:v>
                </c:pt>
                <c:pt idx="64">
                  <c:v>-12</c:v>
                </c:pt>
                <c:pt idx="65">
                  <c:v>-23.554734780566797</c:v>
                </c:pt>
                <c:pt idx="66">
                  <c:v>4.666666666666667</c:v>
                </c:pt>
                <c:pt idx="67">
                  <c:v>-6.1877185053343773</c:v>
                </c:pt>
                <c:pt idx="68">
                  <c:v>15.517506829265256</c:v>
                </c:pt>
                <c:pt idx="69">
                  <c:v>12</c:v>
                </c:pt>
                <c:pt idx="70">
                  <c:v>-12</c:v>
                </c:pt>
                <c:pt idx="71">
                  <c:v>-22.380163934182676</c:v>
                </c:pt>
                <c:pt idx="72">
                  <c:v>7</c:v>
                </c:pt>
                <c:pt idx="73">
                  <c:v>-4.3000630515963358</c:v>
                </c:pt>
                <c:pt idx="74">
                  <c:v>16.777941702150098</c:v>
                </c:pt>
                <c:pt idx="75">
                  <c:v>12</c:v>
                </c:pt>
                <c:pt idx="76">
                  <c:v>-12</c:v>
                </c:pt>
                <c:pt idx="77">
                  <c:v>-21.078840109892809</c:v>
                </c:pt>
                <c:pt idx="78">
                  <c:v>9.3333333333333339</c:v>
                </c:pt>
                <c:pt idx="79">
                  <c:v>-2.3636564525099644</c:v>
                </c:pt>
                <c:pt idx="80">
                  <c:v>17.987756355580007</c:v>
                </c:pt>
                <c:pt idx="81">
                  <c:v>12</c:v>
                </c:pt>
                <c:pt idx="82">
                  <c:v>-12</c:v>
                </c:pt>
                <c:pt idx="83">
                  <c:v>-19.642597335724307</c:v>
                </c:pt>
                <c:pt idx="84">
                  <c:v>11.666666666666668</c:v>
                </c:pt>
                <c:pt idx="85">
                  <c:v>-0.37535794962416702</c:v>
                </c:pt>
                <c:pt idx="86">
                  <c:v>19.149459663035739</c:v>
                </c:pt>
                <c:pt idx="87">
                  <c:v>12</c:v>
                </c:pt>
                <c:pt idx="88">
                  <c:v>-12</c:v>
                </c:pt>
                <c:pt idx="89">
                  <c:v>-30.376282653093735</c:v>
                </c:pt>
                <c:pt idx="90">
                  <c:v>14.000000000000002</c:v>
                </c:pt>
                <c:pt idx="91">
                  <c:v>-3.0678010204149508</c:v>
                </c:pt>
                <c:pt idx="92">
                  <c:v>26.896999319700733</c:v>
                </c:pt>
                <c:pt idx="93">
                  <c:v>12</c:v>
                </c:pt>
                <c:pt idx="94">
                  <c:v>-12</c:v>
                </c:pt>
                <c:pt idx="95">
                  <c:v>-24.879281862192261</c:v>
                </c:pt>
                <c:pt idx="96">
                  <c:v>25</c:v>
                </c:pt>
                <c:pt idx="97">
                  <c:v>5.8156608222448263</c:v>
                </c:pt>
                <c:pt idx="98">
                  <c:v>31.34962606454722</c:v>
                </c:pt>
                <c:pt idx="99">
                  <c:v>12</c:v>
                </c:pt>
                <c:pt idx="100">
                  <c:v>-12</c:v>
                </c:pt>
                <c:pt idx="101">
                  <c:v>-23.375716830330454</c:v>
                </c:pt>
                <c:pt idx="102">
                  <c:v>0</c:v>
                </c:pt>
                <c:pt idx="103">
                  <c:v>-8.9906603193697858</c:v>
                </c:pt>
                <c:pt idx="104">
                  <c:v>22.648032351271631</c:v>
                </c:pt>
                <c:pt idx="105">
                  <c:v>12</c:v>
                </c:pt>
                <c:pt idx="106">
                  <c:v>-12</c:v>
                </c:pt>
                <c:pt idx="107">
                  <c:v>-10.52880704336475</c:v>
                </c:pt>
                <c:pt idx="108">
                  <c:v>-25</c:v>
                </c:pt>
                <c:pt idx="109">
                  <c:v>-19.434156555154736</c:v>
                </c:pt>
                <c:pt idx="110">
                  <c:v>20.32293673094285</c:v>
                </c:pt>
                <c:pt idx="111">
                  <c:v>12</c:v>
                </c:pt>
                <c:pt idx="112">
                  <c:v>60</c:v>
                </c:pt>
                <c:pt idx="113">
                  <c:v>59.977621104822219</c:v>
                </c:pt>
                <c:pt idx="114">
                  <c:v>59.910498330815244</c:v>
                </c:pt>
                <c:pt idx="115">
                  <c:v>59.7986734039103</c:v>
                </c:pt>
                <c:pt idx="116">
                  <c:v>59.642215838505066</c:v>
                </c:pt>
                <c:pt idx="117">
                  <c:v>59.441222894251112</c:v>
                </c:pt>
                <c:pt idx="118">
                  <c:v>59.195819515593755</c:v>
                </c:pt>
                <c:pt idx="119">
                  <c:v>58.906158254102053</c:v>
                </c:pt>
                <c:pt idx="120">
                  <c:v>58.572419173637371</c:v>
                </c:pt>
                <c:pt idx="121">
                  <c:v>58.19480973841911</c:v>
                </c:pt>
                <c:pt idx="122">
                  <c:v>57.77356468405749</c:v>
                </c:pt>
                <c:pt idx="123">
                  <c:v>57.308945871633512</c:v>
                </c:pt>
                <c:pt idx="124">
                  <c:v>56.801242124916655</c:v>
                </c:pt>
                <c:pt idx="125">
                  <c:v>56.250769050821617</c:v>
                </c:pt>
                <c:pt idx="126">
                  <c:v>55.657868843215709</c:v>
                </c:pt>
                <c:pt idx="127">
                  <c:v>55.022910070198847</c:v>
                </c:pt>
                <c:pt idx="128">
                  <c:v>54.346287444988349</c:v>
                </c:pt>
                <c:pt idx="129">
                  <c:v>53.628421580551006</c:v>
                </c:pt>
                <c:pt idx="130">
                  <c:v>52.869758728134926</c:v>
                </c:pt>
                <c:pt idx="131">
                  <c:v>52.070770499863713</c:v>
                </c:pt>
                <c:pt idx="132">
                  <c:v>51.231953575565385</c:v>
                </c:pt>
                <c:pt idx="133">
                  <c:v>50.353829394018334</c:v>
                </c:pt>
                <c:pt idx="134">
                  <c:v>49.436943828806236</c:v>
                </c:pt>
                <c:pt idx="135">
                  <c:v>48.481866848983351</c:v>
                </c:pt>
                <c:pt idx="136">
                  <c:v>47.489192164761299</c:v>
                </c:pt>
                <c:pt idx="137">
                  <c:v>46.45953685843741</c:v>
                </c:pt>
                <c:pt idx="138">
                  <c:v>45.39354100079418</c:v>
                </c:pt>
                <c:pt idx="139">
                  <c:v>44.29186725320821</c:v>
                </c:pt>
                <c:pt idx="140">
                  <c:v>43.155200455716098</c:v>
                </c:pt>
                <c:pt idx="141">
                  <c:v>41.984247201293201</c:v>
                </c:pt>
                <c:pt idx="142">
                  <c:v>40.779735396610057</c:v>
                </c:pt>
                <c:pt idx="143">
                  <c:v>39.542413809539362</c:v>
                </c:pt>
                <c:pt idx="144">
                  <c:v>38.27305160369496</c:v>
                </c:pt>
                <c:pt idx="145">
                  <c:v>36.97243786029204</c:v>
                </c:pt>
                <c:pt idx="146">
                  <c:v>35.641381087625909</c:v>
                </c:pt>
                <c:pt idx="147">
                  <c:v>34.280708718474088</c:v>
                </c:pt>
                <c:pt idx="148">
                  <c:v>32.891266595734379</c:v>
                </c:pt>
                <c:pt idx="149">
                  <c:v>31.473918446618441</c:v>
                </c:pt>
                <c:pt idx="150">
                  <c:v>30.029545345727961</c:v>
                </c:pt>
                <c:pt idx="151">
                  <c:v>28.559045167346859</c:v>
                </c:pt>
                <c:pt idx="152">
                  <c:v>27.063332027290457</c:v>
                </c:pt>
                <c:pt idx="153">
                  <c:v>25.54333571465812</c:v>
                </c:pt>
                <c:pt idx="154">
                  <c:v>24.00000111384292</c:v>
                </c:pt>
                <c:pt idx="155">
                  <c:v>22.434287617157558</c:v>
                </c:pt>
                <c:pt idx="156">
                  <c:v>20.847168528441451</c:v>
                </c:pt>
                <c:pt idx="157">
                  <c:v>19.239630458020226</c:v>
                </c:pt>
                <c:pt idx="158">
                  <c:v>17.612672709393095</c:v>
                </c:pt>
                <c:pt idx="159">
                  <c:v>15.967306658029923</c:v>
                </c:pt>
                <c:pt idx="160">
                  <c:v>14.304555122663807</c:v>
                </c:pt>
                <c:pt idx="161">
                  <c:v>12.625451729470267</c:v>
                </c:pt>
                <c:pt idx="162">
                  <c:v>10.931040269527855</c:v>
                </c:pt>
                <c:pt idx="163">
                  <c:v>9.2223740499601874</c:v>
                </c:pt>
                <c:pt idx="164">
                  <c:v>7.50051523916229</c:v>
                </c:pt>
                <c:pt idx="165">
                  <c:v>5.7665342065185783</c:v>
                </c:pt>
                <c:pt idx="166">
                  <c:v>4.0215088570226385</c:v>
                </c:pt>
                <c:pt idx="167">
                  <c:v>2.2665239612127621</c:v>
                </c:pt>
                <c:pt idx="168">
                  <c:v>0.50267048083958699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2.8515696384297637</c:v>
                </c:pt>
                <c:pt idx="177">
                  <c:v>1.9753111994832171</c:v>
                </c:pt>
                <c:pt idx="178">
                  <c:v>0.92563316887902047</c:v>
                </c:pt>
                <c:pt idx="179">
                  <c:v>-0.21601377837397351</c:v>
                </c:pt>
                <c:pt idx="180">
                  <c:v>-1.4157664759720063</c:v>
                </c:pt>
                <c:pt idx="181">
                  <c:v>-2.6556123420946562</c:v>
                </c:pt>
                <c:pt idx="182">
                  <c:v>-3.9245681685754725</c:v>
                </c:pt>
                <c:pt idx="183">
                  <c:v>-5.2153144569239593</c:v>
                </c:pt>
                <c:pt idx="184">
                  <c:v>-6.5226550874579061</c:v>
                </c:pt>
                <c:pt idx="185">
                  <c:v>-7.8427215966531474</c:v>
                </c:pt>
                <c:pt idx="186">
                  <c:v>-9.1725245020797033</c:v>
                </c:pt>
                <c:pt idx="187">
                  <c:v>-10.509682805443534</c:v>
                </c:pt>
                <c:pt idx="188">
                  <c:v>-11.852251962601201</c:v>
                </c:pt>
                <c:pt idx="189">
                  <c:v>-13.198609507350314</c:v>
                </c:pt>
                <c:pt idx="190">
                  <c:v>-14.547376030315508</c:v>
                </c:pt>
                <c:pt idx="191">
                  <c:v>-15.897358663204308</c:v>
                </c:pt>
                <c:pt idx="192">
                  <c:v>-17.247509325359044</c:v>
                </c:pt>
                <c:pt idx="193">
                  <c:v>-18.596892885306229</c:v>
                </c:pt>
                <c:pt idx="194">
                  <c:v>-19.944662101015112</c:v>
                </c:pt>
                <c:pt idx="195">
                  <c:v>-21.290037250525245</c:v>
                </c:pt>
                <c:pt idx="196">
                  <c:v>-22.632289027455251</c:v>
                </c:pt>
                <c:pt idx="197">
                  <c:v>-23.97072370792359</c:v>
                </c:pt>
                <c:pt idx="198">
                  <c:v>-25.30466988534544</c:v>
                </c:pt>
                <c:pt idx="199">
                  <c:v>-26.633466270137497</c:v>
                </c:pt>
                <c:pt idx="200">
                  <c:v>-27.956450194805811</c:v>
                </c:pt>
                <c:pt idx="201">
                  <c:v>-29.272946571435931</c:v>
                </c:pt>
                <c:pt idx="202">
                  <c:v>-30.582257131227855</c:v>
                </c:pt>
                <c:pt idx="203">
                  <c:v>-31.883649842884822</c:v>
                </c:pt>
                <c:pt idx="204">
                  <c:v>-33.176348463939625</c:v>
                </c:pt>
                <c:pt idx="205">
                  <c:v>-34.459522230103559</c:v>
                </c:pt>
                <c:pt idx="206">
                  <c:v>-35.732275734705851</c:v>
                </c:pt>
                <c:pt idx="207">
                  <c:v>-36.99363909448315</c:v>
                </c:pt>
                <c:pt idx="208">
                  <c:v>-38.242558539797471</c:v>
                </c:pt>
                <c:pt idx="209">
                  <c:v>-39.477887606536221</c:v>
                </c:pt>
                <c:pt idx="210">
                  <c:v>-40.698379142616446</c:v>
                </c:pt>
                <c:pt idx="211">
                  <c:v>-41.902678372794895</c:v>
                </c:pt>
                <c:pt idx="212">
                  <c:v>-43.089317289558807</c:v>
                </c:pt>
                <c:pt idx="213">
                  <c:v>-44.25671065311036</c:v>
                </c:pt>
                <c:pt idx="214">
                  <c:v>-45.403153887555582</c:v>
                </c:pt>
                <c:pt idx="215">
                  <c:v>-46.526823151096757</c:v>
                </c:pt>
                <c:pt idx="216">
                  <c:v>-47.625777833297384</c:v>
                </c:pt>
                <c:pt idx="217">
                  <c:v>-48.697965690882285</c:v>
                </c:pt>
                <c:pt idx="218">
                  <c:v>-49.741230774414589</c:v>
                </c:pt>
                <c:pt idx="219">
                  <c:v>-50.753324222038465</c:v>
                </c:pt>
                <c:pt idx="220">
                  <c:v>-51.731917905092047</c:v>
                </c:pt>
                <c:pt idx="221">
                  <c:v>-52.674620807053785</c:v>
                </c:pt>
                <c:pt idx="222">
                  <c:v>-53.578997906712083</c:v>
                </c:pt>
                <c:pt idx="223">
                  <c:v>-54.442591224662408</c:v>
                </c:pt>
                <c:pt idx="224">
                  <c:v>-55.262942586197084</c:v>
                </c:pt>
                <c:pt idx="225">
                  <c:v>-56.037617560739605</c:v>
                </c:pt>
                <c:pt idx="226">
                  <c:v>-56.764229965340405</c:v>
                </c:pt>
                <c:pt idx="227">
                  <c:v>-57.440466273599569</c:v>
                </c:pt>
                <c:pt idx="228">
                  <c:v>-58.064109256288212</c:v>
                </c:pt>
                <c:pt idx="229">
                  <c:v>-58.633060198267984</c:v>
                </c:pt>
                <c:pt idx="230">
                  <c:v>-59.145359087855262</c:v>
                </c:pt>
                <c:pt idx="231">
                  <c:v>-59.599202256688159</c:v>
                </c:pt>
                <c:pt idx="232">
                  <c:v>-59.992957055132891</c:v>
                </c:pt>
                <c:pt idx="233">
                  <c:v>-60.325173273076174</c:v>
                </c:pt>
                <c:pt idx="234">
                  <c:v>-60.594591150128096</c:v>
                </c:pt>
                <c:pt idx="235">
                  <c:v>-60.800145953957085</c:v>
                </c:pt>
                <c:pt idx="236">
                  <c:v>-60.940969232303956</c:v>
                </c:pt>
                <c:pt idx="237">
                  <c:v>-61.016386955989681</c:v>
                </c:pt>
                <c:pt idx="238">
                  <c:v>-61.025914861512376</c:v>
                </c:pt>
                <c:pt idx="239">
                  <c:v>-60.969251369261414</c:v>
                </c:pt>
              </c:numCache>
            </c:numRef>
          </c:xVal>
          <c:yVal>
            <c:numRef>
              <c:f>CALC60!$CI$6:$CI$581</c:f>
              <c:numCache>
                <c:formatCode>General</c:formatCode>
                <c:ptCount val="576"/>
              </c:numCache>
            </c:numRef>
          </c:yVal>
          <c:smooth val="0"/>
        </c:ser>
        <c:ser>
          <c:idx val="36"/>
          <c:order val="36"/>
          <c:tx>
            <c:strRef>
              <c:f>CALC60!$CJ$5</c:f>
              <c:strCache>
                <c:ptCount val="1"/>
                <c:pt idx="0">
                  <c:v>R35</c:v>
                </c:pt>
              </c:strCache>
            </c:strRef>
          </c:tx>
          <c:spPr>
            <a:ln w="28575">
              <a:noFill/>
            </a:ln>
          </c:spPr>
          <c:xVal>
            <c:numRef>
              <c:f>CALC60!$AY$6:$AY$581</c:f>
              <c:numCache>
                <c:formatCode>General</c:formatCode>
                <c:ptCount val="576"/>
                <c:pt idx="0">
                  <c:v>-19.833506546880365</c:v>
                </c:pt>
                <c:pt idx="1">
                  <c:v>-18.245852614565919</c:v>
                </c:pt>
                <c:pt idx="2">
                  <c:v>-16.629666681765414</c:v>
                </c:pt>
                <c:pt idx="3">
                  <c:v>-14.98231154257417</c:v>
                </c:pt>
                <c:pt idx="4">
                  <c:v>-13.301143585556035</c:v>
                </c:pt>
                <c:pt idx="5">
                  <c:v>-11.583569246398675</c:v>
                </c:pt>
                <c:pt idx="6">
                  <c:v>-9.8270793278644781</c:v>
                </c:pt>
                <c:pt idx="7">
                  <c:v>-8.029252658232803</c:v>
                </c:pt>
                <c:pt idx="8">
                  <c:v>-6.1877185053343773</c:v>
                </c:pt>
                <c:pt idx="9">
                  <c:v>-4.3000630515963358</c:v>
                </c:pt>
                <c:pt idx="10">
                  <c:v>-2.3636564525099644</c:v>
                </c:pt>
                <c:pt idx="11">
                  <c:v>-0.37535794962416702</c:v>
                </c:pt>
                <c:pt idx="12">
                  <c:v>-3.0678010204149508</c:v>
                </c:pt>
                <c:pt idx="13">
                  <c:v>5.8156608222448263</c:v>
                </c:pt>
                <c:pt idx="14">
                  <c:v>-8.9906603193697858</c:v>
                </c:pt>
                <c:pt idx="15">
                  <c:v>-19.434156555154736</c:v>
                </c:pt>
                <c:pt idx="16">
                  <c:v>-12</c:v>
                </c:pt>
                <c:pt idx="17">
                  <c:v>-29.167117021908272</c:v>
                </c:pt>
                <c:pt idx="18">
                  <c:v>-14</c:v>
                </c:pt>
                <c:pt idx="19">
                  <c:v>-19.833506546880365</c:v>
                </c:pt>
                <c:pt idx="20">
                  <c:v>1.5130248501190131</c:v>
                </c:pt>
                <c:pt idx="21">
                  <c:v>12</c:v>
                </c:pt>
                <c:pt idx="22">
                  <c:v>-12</c:v>
                </c:pt>
                <c:pt idx="23">
                  <c:v>-28.772550131225248</c:v>
                </c:pt>
                <c:pt idx="24">
                  <c:v>-11.666666666666666</c:v>
                </c:pt>
                <c:pt idx="25">
                  <c:v>-18.245852614565919</c:v>
                </c:pt>
                <c:pt idx="26">
                  <c:v>4.3925078710812571</c:v>
                </c:pt>
                <c:pt idx="27">
                  <c:v>12</c:v>
                </c:pt>
                <c:pt idx="28">
                  <c:v>-12</c:v>
                </c:pt>
                <c:pt idx="29">
                  <c:v>-28.303800039278563</c:v>
                </c:pt>
                <c:pt idx="30">
                  <c:v>-9.3333333333333321</c:v>
                </c:pt>
                <c:pt idx="31">
                  <c:v>-16.629666681765414</c:v>
                </c:pt>
                <c:pt idx="32">
                  <c:v>6.4527131206909987</c:v>
                </c:pt>
                <c:pt idx="33">
                  <c:v>12</c:v>
                </c:pt>
                <c:pt idx="34">
                  <c:v>-12</c:v>
                </c:pt>
                <c:pt idx="35">
                  <c:v>-27.754010010716058</c:v>
                </c:pt>
                <c:pt idx="36">
                  <c:v>-6.9999999999999982</c:v>
                </c:pt>
                <c:pt idx="37">
                  <c:v>-14.98231154257417</c:v>
                </c:pt>
                <c:pt idx="38">
                  <c:v>8.2375052570320868</c:v>
                </c:pt>
                <c:pt idx="39">
                  <c:v>12</c:v>
                </c:pt>
                <c:pt idx="40">
                  <c:v>-12</c:v>
                </c:pt>
                <c:pt idx="41">
                  <c:v>-27.116306655803694</c:v>
                </c:pt>
                <c:pt idx="42">
                  <c:v>-4.6666666666666643</c:v>
                </c:pt>
                <c:pt idx="43">
                  <c:v>-13.301143585556035</c:v>
                </c:pt>
                <c:pt idx="44">
                  <c:v>9.8664661885771885</c:v>
                </c:pt>
                <c:pt idx="45">
                  <c:v>12</c:v>
                </c:pt>
                <c:pt idx="46">
                  <c:v>-12</c:v>
                </c:pt>
                <c:pt idx="47">
                  <c:v>-26.383946707329393</c:v>
                </c:pt>
                <c:pt idx="48">
                  <c:v>-2.3333333333333308</c:v>
                </c:pt>
                <c:pt idx="49">
                  <c:v>-11.583569246398675</c:v>
                </c:pt>
                <c:pt idx="50">
                  <c:v>11.388844623449907</c:v>
                </c:pt>
                <c:pt idx="51">
                  <c:v>12</c:v>
                </c:pt>
                <c:pt idx="52">
                  <c:v>-12</c:v>
                </c:pt>
                <c:pt idx="53">
                  <c:v>-25.550406252475348</c:v>
                </c:pt>
                <c:pt idx="54">
                  <c:v>0</c:v>
                </c:pt>
                <c:pt idx="55">
                  <c:v>-9.8270793278644781</c:v>
                </c:pt>
                <c:pt idx="56">
                  <c:v>12.829698097369761</c:v>
                </c:pt>
                <c:pt idx="57">
                  <c:v>12</c:v>
                </c:pt>
                <c:pt idx="58">
                  <c:v>-12</c:v>
                </c:pt>
                <c:pt idx="59">
                  <c:v>-24.609390244767855</c:v>
                </c:pt>
                <c:pt idx="60">
                  <c:v>2.3333333333333335</c:v>
                </c:pt>
                <c:pt idx="61">
                  <c:v>-8.029252658232803</c:v>
                </c:pt>
                <c:pt idx="62">
                  <c:v>14.203132463376605</c:v>
                </c:pt>
                <c:pt idx="63">
                  <c:v>12</c:v>
                </c:pt>
                <c:pt idx="64">
                  <c:v>-12</c:v>
                </c:pt>
                <c:pt idx="65">
                  <c:v>-23.554734780566797</c:v>
                </c:pt>
                <c:pt idx="66">
                  <c:v>4.666666666666667</c:v>
                </c:pt>
                <c:pt idx="67">
                  <c:v>-6.1877185053343773</c:v>
                </c:pt>
                <c:pt idx="68">
                  <c:v>15.517506829265256</c:v>
                </c:pt>
                <c:pt idx="69">
                  <c:v>12</c:v>
                </c:pt>
                <c:pt idx="70">
                  <c:v>-12</c:v>
                </c:pt>
                <c:pt idx="71">
                  <c:v>-22.380163934182676</c:v>
                </c:pt>
                <c:pt idx="72">
                  <c:v>7</c:v>
                </c:pt>
                <c:pt idx="73">
                  <c:v>-4.3000630515963358</c:v>
                </c:pt>
                <c:pt idx="74">
                  <c:v>16.777941702150098</c:v>
                </c:pt>
                <c:pt idx="75">
                  <c:v>12</c:v>
                </c:pt>
                <c:pt idx="76">
                  <c:v>-12</c:v>
                </c:pt>
                <c:pt idx="77">
                  <c:v>-21.078840109892809</c:v>
                </c:pt>
                <c:pt idx="78">
                  <c:v>9.3333333333333339</c:v>
                </c:pt>
                <c:pt idx="79">
                  <c:v>-2.3636564525099644</c:v>
                </c:pt>
                <c:pt idx="80">
                  <c:v>17.987756355580007</c:v>
                </c:pt>
                <c:pt idx="81">
                  <c:v>12</c:v>
                </c:pt>
                <c:pt idx="82">
                  <c:v>-12</c:v>
                </c:pt>
                <c:pt idx="83">
                  <c:v>-19.642597335724307</c:v>
                </c:pt>
                <c:pt idx="84">
                  <c:v>11.666666666666668</c:v>
                </c:pt>
                <c:pt idx="85">
                  <c:v>-0.37535794962416702</c:v>
                </c:pt>
                <c:pt idx="86">
                  <c:v>19.149459663035739</c:v>
                </c:pt>
                <c:pt idx="87">
                  <c:v>12</c:v>
                </c:pt>
                <c:pt idx="88">
                  <c:v>-12</c:v>
                </c:pt>
                <c:pt idx="89">
                  <c:v>-30.376282653093735</c:v>
                </c:pt>
                <c:pt idx="90">
                  <c:v>14.000000000000002</c:v>
                </c:pt>
                <c:pt idx="91">
                  <c:v>-3.0678010204149508</c:v>
                </c:pt>
                <c:pt idx="92">
                  <c:v>26.896999319700733</c:v>
                </c:pt>
                <c:pt idx="93">
                  <c:v>12</c:v>
                </c:pt>
                <c:pt idx="94">
                  <c:v>-12</c:v>
                </c:pt>
                <c:pt idx="95">
                  <c:v>-24.879281862192261</c:v>
                </c:pt>
                <c:pt idx="96">
                  <c:v>25</c:v>
                </c:pt>
                <c:pt idx="97">
                  <c:v>5.8156608222448263</c:v>
                </c:pt>
                <c:pt idx="98">
                  <c:v>31.34962606454722</c:v>
                </c:pt>
                <c:pt idx="99">
                  <c:v>12</c:v>
                </c:pt>
                <c:pt idx="100">
                  <c:v>-12</c:v>
                </c:pt>
                <c:pt idx="101">
                  <c:v>-23.375716830330454</c:v>
                </c:pt>
                <c:pt idx="102">
                  <c:v>0</c:v>
                </c:pt>
                <c:pt idx="103">
                  <c:v>-8.9906603193697858</c:v>
                </c:pt>
                <c:pt idx="104">
                  <c:v>22.648032351271631</c:v>
                </c:pt>
                <c:pt idx="105">
                  <c:v>12</c:v>
                </c:pt>
                <c:pt idx="106">
                  <c:v>-12</c:v>
                </c:pt>
                <c:pt idx="107">
                  <c:v>-10.52880704336475</c:v>
                </c:pt>
                <c:pt idx="108">
                  <c:v>-25</c:v>
                </c:pt>
                <c:pt idx="109">
                  <c:v>-19.434156555154736</c:v>
                </c:pt>
                <c:pt idx="110">
                  <c:v>20.32293673094285</c:v>
                </c:pt>
                <c:pt idx="111">
                  <c:v>12</c:v>
                </c:pt>
                <c:pt idx="112">
                  <c:v>60</c:v>
                </c:pt>
                <c:pt idx="113">
                  <c:v>59.977621104822219</c:v>
                </c:pt>
                <c:pt idx="114">
                  <c:v>59.910498330815244</c:v>
                </c:pt>
                <c:pt idx="115">
                  <c:v>59.7986734039103</c:v>
                </c:pt>
                <c:pt idx="116">
                  <c:v>59.642215838505066</c:v>
                </c:pt>
                <c:pt idx="117">
                  <c:v>59.441222894251112</c:v>
                </c:pt>
                <c:pt idx="118">
                  <c:v>59.195819515593755</c:v>
                </c:pt>
                <c:pt idx="119">
                  <c:v>58.906158254102053</c:v>
                </c:pt>
                <c:pt idx="120">
                  <c:v>58.572419173637371</c:v>
                </c:pt>
                <c:pt idx="121">
                  <c:v>58.19480973841911</c:v>
                </c:pt>
                <c:pt idx="122">
                  <c:v>57.77356468405749</c:v>
                </c:pt>
                <c:pt idx="123">
                  <c:v>57.308945871633512</c:v>
                </c:pt>
                <c:pt idx="124">
                  <c:v>56.801242124916655</c:v>
                </c:pt>
                <c:pt idx="125">
                  <c:v>56.250769050821617</c:v>
                </c:pt>
                <c:pt idx="126">
                  <c:v>55.657868843215709</c:v>
                </c:pt>
                <c:pt idx="127">
                  <c:v>55.022910070198847</c:v>
                </c:pt>
                <c:pt idx="128">
                  <c:v>54.346287444988349</c:v>
                </c:pt>
                <c:pt idx="129">
                  <c:v>53.628421580551006</c:v>
                </c:pt>
                <c:pt idx="130">
                  <c:v>52.869758728134926</c:v>
                </c:pt>
                <c:pt idx="131">
                  <c:v>52.070770499863713</c:v>
                </c:pt>
                <c:pt idx="132">
                  <c:v>51.231953575565385</c:v>
                </c:pt>
                <c:pt idx="133">
                  <c:v>50.353829394018334</c:v>
                </c:pt>
                <c:pt idx="134">
                  <c:v>49.436943828806236</c:v>
                </c:pt>
                <c:pt idx="135">
                  <c:v>48.481866848983351</c:v>
                </c:pt>
                <c:pt idx="136">
                  <c:v>47.489192164761299</c:v>
                </c:pt>
                <c:pt idx="137">
                  <c:v>46.45953685843741</c:v>
                </c:pt>
                <c:pt idx="138">
                  <c:v>45.39354100079418</c:v>
                </c:pt>
                <c:pt idx="139">
                  <c:v>44.29186725320821</c:v>
                </c:pt>
                <c:pt idx="140">
                  <c:v>43.155200455716098</c:v>
                </c:pt>
                <c:pt idx="141">
                  <c:v>41.984247201293201</c:v>
                </c:pt>
                <c:pt idx="142">
                  <c:v>40.779735396610057</c:v>
                </c:pt>
                <c:pt idx="143">
                  <c:v>39.542413809539362</c:v>
                </c:pt>
                <c:pt idx="144">
                  <c:v>38.27305160369496</c:v>
                </c:pt>
                <c:pt idx="145">
                  <c:v>36.97243786029204</c:v>
                </c:pt>
                <c:pt idx="146">
                  <c:v>35.641381087625909</c:v>
                </c:pt>
                <c:pt idx="147">
                  <c:v>34.280708718474088</c:v>
                </c:pt>
                <c:pt idx="148">
                  <c:v>32.891266595734379</c:v>
                </c:pt>
                <c:pt idx="149">
                  <c:v>31.473918446618441</c:v>
                </c:pt>
                <c:pt idx="150">
                  <c:v>30.029545345727961</c:v>
                </c:pt>
                <c:pt idx="151">
                  <c:v>28.559045167346859</c:v>
                </c:pt>
                <c:pt idx="152">
                  <c:v>27.063332027290457</c:v>
                </c:pt>
                <c:pt idx="153">
                  <c:v>25.54333571465812</c:v>
                </c:pt>
                <c:pt idx="154">
                  <c:v>24.00000111384292</c:v>
                </c:pt>
                <c:pt idx="155">
                  <c:v>22.434287617157558</c:v>
                </c:pt>
                <c:pt idx="156">
                  <c:v>20.847168528441451</c:v>
                </c:pt>
                <c:pt idx="157">
                  <c:v>19.239630458020226</c:v>
                </c:pt>
                <c:pt idx="158">
                  <c:v>17.612672709393095</c:v>
                </c:pt>
                <c:pt idx="159">
                  <c:v>15.967306658029923</c:v>
                </c:pt>
                <c:pt idx="160">
                  <c:v>14.304555122663807</c:v>
                </c:pt>
                <c:pt idx="161">
                  <c:v>12.625451729470267</c:v>
                </c:pt>
                <c:pt idx="162">
                  <c:v>10.931040269527855</c:v>
                </c:pt>
                <c:pt idx="163">
                  <c:v>9.2223740499601874</c:v>
                </c:pt>
                <c:pt idx="164">
                  <c:v>7.50051523916229</c:v>
                </c:pt>
                <c:pt idx="165">
                  <c:v>5.7665342065185783</c:v>
                </c:pt>
                <c:pt idx="166">
                  <c:v>4.0215088570226385</c:v>
                </c:pt>
                <c:pt idx="167">
                  <c:v>2.2665239612127621</c:v>
                </c:pt>
                <c:pt idx="168">
                  <c:v>0.50267048083958699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2.8515696384297637</c:v>
                </c:pt>
                <c:pt idx="177">
                  <c:v>1.9753111994832171</c:v>
                </c:pt>
                <c:pt idx="178">
                  <c:v>0.92563316887902047</c:v>
                </c:pt>
                <c:pt idx="179">
                  <c:v>-0.21601377837397351</c:v>
                </c:pt>
                <c:pt idx="180">
                  <c:v>-1.4157664759720063</c:v>
                </c:pt>
                <c:pt idx="181">
                  <c:v>-2.6556123420946562</c:v>
                </c:pt>
                <c:pt idx="182">
                  <c:v>-3.9245681685754725</c:v>
                </c:pt>
                <c:pt idx="183">
                  <c:v>-5.2153144569239593</c:v>
                </c:pt>
                <c:pt idx="184">
                  <c:v>-6.5226550874579061</c:v>
                </c:pt>
                <c:pt idx="185">
                  <c:v>-7.8427215966531474</c:v>
                </c:pt>
                <c:pt idx="186">
                  <c:v>-9.1725245020797033</c:v>
                </c:pt>
                <c:pt idx="187">
                  <c:v>-10.509682805443534</c:v>
                </c:pt>
                <c:pt idx="188">
                  <c:v>-11.852251962601201</c:v>
                </c:pt>
                <c:pt idx="189">
                  <c:v>-13.198609507350314</c:v>
                </c:pt>
                <c:pt idx="190">
                  <c:v>-14.547376030315508</c:v>
                </c:pt>
                <c:pt idx="191">
                  <c:v>-15.897358663204308</c:v>
                </c:pt>
                <c:pt idx="192">
                  <c:v>-17.247509325359044</c:v>
                </c:pt>
                <c:pt idx="193">
                  <c:v>-18.596892885306229</c:v>
                </c:pt>
                <c:pt idx="194">
                  <c:v>-19.944662101015112</c:v>
                </c:pt>
                <c:pt idx="195">
                  <c:v>-21.290037250525245</c:v>
                </c:pt>
                <c:pt idx="196">
                  <c:v>-22.632289027455251</c:v>
                </c:pt>
                <c:pt idx="197">
                  <c:v>-23.97072370792359</c:v>
                </c:pt>
                <c:pt idx="198">
                  <c:v>-25.30466988534544</c:v>
                </c:pt>
                <c:pt idx="199">
                  <c:v>-26.633466270137497</c:v>
                </c:pt>
                <c:pt idx="200">
                  <c:v>-27.956450194805811</c:v>
                </c:pt>
                <c:pt idx="201">
                  <c:v>-29.272946571435931</c:v>
                </c:pt>
                <c:pt idx="202">
                  <c:v>-30.582257131227855</c:v>
                </c:pt>
                <c:pt idx="203">
                  <c:v>-31.883649842884822</c:v>
                </c:pt>
                <c:pt idx="204">
                  <c:v>-33.176348463939625</c:v>
                </c:pt>
                <c:pt idx="205">
                  <c:v>-34.459522230103559</c:v>
                </c:pt>
                <c:pt idx="206">
                  <c:v>-35.732275734705851</c:v>
                </c:pt>
                <c:pt idx="207">
                  <c:v>-36.99363909448315</c:v>
                </c:pt>
                <c:pt idx="208">
                  <c:v>-38.242558539797471</c:v>
                </c:pt>
                <c:pt idx="209">
                  <c:v>-39.477887606536221</c:v>
                </c:pt>
                <c:pt idx="210">
                  <c:v>-40.698379142616446</c:v>
                </c:pt>
                <c:pt idx="211">
                  <c:v>-41.902678372794895</c:v>
                </c:pt>
                <c:pt idx="212">
                  <c:v>-43.089317289558807</c:v>
                </c:pt>
                <c:pt idx="213">
                  <c:v>-44.25671065311036</c:v>
                </c:pt>
                <c:pt idx="214">
                  <c:v>-45.403153887555582</c:v>
                </c:pt>
                <c:pt idx="215">
                  <c:v>-46.526823151096757</c:v>
                </c:pt>
                <c:pt idx="216">
                  <c:v>-47.625777833297384</c:v>
                </c:pt>
                <c:pt idx="217">
                  <c:v>-48.697965690882285</c:v>
                </c:pt>
                <c:pt idx="218">
                  <c:v>-49.741230774414589</c:v>
                </c:pt>
                <c:pt idx="219">
                  <c:v>-50.753324222038465</c:v>
                </c:pt>
                <c:pt idx="220">
                  <c:v>-51.731917905092047</c:v>
                </c:pt>
                <c:pt idx="221">
                  <c:v>-52.674620807053785</c:v>
                </c:pt>
                <c:pt idx="222">
                  <c:v>-53.578997906712083</c:v>
                </c:pt>
                <c:pt idx="223">
                  <c:v>-54.442591224662408</c:v>
                </c:pt>
                <c:pt idx="224">
                  <c:v>-55.262942586197084</c:v>
                </c:pt>
                <c:pt idx="225">
                  <c:v>-56.037617560739605</c:v>
                </c:pt>
                <c:pt idx="226">
                  <c:v>-56.764229965340405</c:v>
                </c:pt>
                <c:pt idx="227">
                  <c:v>-57.440466273599569</c:v>
                </c:pt>
                <c:pt idx="228">
                  <c:v>-58.064109256288212</c:v>
                </c:pt>
                <c:pt idx="229">
                  <c:v>-58.633060198267984</c:v>
                </c:pt>
                <c:pt idx="230">
                  <c:v>-59.145359087855262</c:v>
                </c:pt>
                <c:pt idx="231">
                  <c:v>-59.599202256688159</c:v>
                </c:pt>
                <c:pt idx="232">
                  <c:v>-59.992957055132891</c:v>
                </c:pt>
                <c:pt idx="233">
                  <c:v>-60.325173273076174</c:v>
                </c:pt>
                <c:pt idx="234">
                  <c:v>-60.594591150128096</c:v>
                </c:pt>
                <c:pt idx="235">
                  <c:v>-60.800145953957085</c:v>
                </c:pt>
                <c:pt idx="236">
                  <c:v>-60.940969232303956</c:v>
                </c:pt>
                <c:pt idx="237">
                  <c:v>-61.016386955989681</c:v>
                </c:pt>
                <c:pt idx="238">
                  <c:v>-61.025914861512376</c:v>
                </c:pt>
                <c:pt idx="239">
                  <c:v>-60.969251369261414</c:v>
                </c:pt>
              </c:numCache>
            </c:numRef>
          </c:xVal>
          <c:yVal>
            <c:numRef>
              <c:f>CALC60!$CJ$6:$CJ$581</c:f>
              <c:numCache>
                <c:formatCode>General</c:formatCode>
                <c:ptCount val="576"/>
              </c:numCache>
            </c:numRef>
          </c:yVal>
          <c:smooth val="0"/>
        </c:ser>
        <c:ser>
          <c:idx val="37"/>
          <c:order val="37"/>
          <c:tx>
            <c:strRef>
              <c:f>CALC60!$CK$5</c:f>
              <c:strCache>
                <c:ptCount val="1"/>
                <c:pt idx="0">
                  <c:v>R36</c:v>
                </c:pt>
              </c:strCache>
            </c:strRef>
          </c:tx>
          <c:spPr>
            <a:ln w="28575">
              <a:noFill/>
            </a:ln>
          </c:spPr>
          <c:xVal>
            <c:numRef>
              <c:f>CALC60!$AY$6:$AY$581</c:f>
              <c:numCache>
                <c:formatCode>General</c:formatCode>
                <c:ptCount val="576"/>
                <c:pt idx="0">
                  <c:v>-19.833506546880365</c:v>
                </c:pt>
                <c:pt idx="1">
                  <c:v>-18.245852614565919</c:v>
                </c:pt>
                <c:pt idx="2">
                  <c:v>-16.629666681765414</c:v>
                </c:pt>
                <c:pt idx="3">
                  <c:v>-14.98231154257417</c:v>
                </c:pt>
                <c:pt idx="4">
                  <c:v>-13.301143585556035</c:v>
                </c:pt>
                <c:pt idx="5">
                  <c:v>-11.583569246398675</c:v>
                </c:pt>
                <c:pt idx="6">
                  <c:v>-9.8270793278644781</c:v>
                </c:pt>
                <c:pt idx="7">
                  <c:v>-8.029252658232803</c:v>
                </c:pt>
                <c:pt idx="8">
                  <c:v>-6.1877185053343773</c:v>
                </c:pt>
                <c:pt idx="9">
                  <c:v>-4.3000630515963358</c:v>
                </c:pt>
                <c:pt idx="10">
                  <c:v>-2.3636564525099644</c:v>
                </c:pt>
                <c:pt idx="11">
                  <c:v>-0.37535794962416702</c:v>
                </c:pt>
                <c:pt idx="12">
                  <c:v>-3.0678010204149508</c:v>
                </c:pt>
                <c:pt idx="13">
                  <c:v>5.8156608222448263</c:v>
                </c:pt>
                <c:pt idx="14">
                  <c:v>-8.9906603193697858</c:v>
                </c:pt>
                <c:pt idx="15">
                  <c:v>-19.434156555154736</c:v>
                </c:pt>
                <c:pt idx="16">
                  <c:v>-12</c:v>
                </c:pt>
                <c:pt idx="17">
                  <c:v>-29.167117021908272</c:v>
                </c:pt>
                <c:pt idx="18">
                  <c:v>-14</c:v>
                </c:pt>
                <c:pt idx="19">
                  <c:v>-19.833506546880365</c:v>
                </c:pt>
                <c:pt idx="20">
                  <c:v>1.5130248501190131</c:v>
                </c:pt>
                <c:pt idx="21">
                  <c:v>12</c:v>
                </c:pt>
                <c:pt idx="22">
                  <c:v>-12</c:v>
                </c:pt>
                <c:pt idx="23">
                  <c:v>-28.772550131225248</c:v>
                </c:pt>
                <c:pt idx="24">
                  <c:v>-11.666666666666666</c:v>
                </c:pt>
                <c:pt idx="25">
                  <c:v>-18.245852614565919</c:v>
                </c:pt>
                <c:pt idx="26">
                  <c:v>4.3925078710812571</c:v>
                </c:pt>
                <c:pt idx="27">
                  <c:v>12</c:v>
                </c:pt>
                <c:pt idx="28">
                  <c:v>-12</c:v>
                </c:pt>
                <c:pt idx="29">
                  <c:v>-28.303800039278563</c:v>
                </c:pt>
                <c:pt idx="30">
                  <c:v>-9.3333333333333321</c:v>
                </c:pt>
                <c:pt idx="31">
                  <c:v>-16.629666681765414</c:v>
                </c:pt>
                <c:pt idx="32">
                  <c:v>6.4527131206909987</c:v>
                </c:pt>
                <c:pt idx="33">
                  <c:v>12</c:v>
                </c:pt>
                <c:pt idx="34">
                  <c:v>-12</c:v>
                </c:pt>
                <c:pt idx="35">
                  <c:v>-27.754010010716058</c:v>
                </c:pt>
                <c:pt idx="36">
                  <c:v>-6.9999999999999982</c:v>
                </c:pt>
                <c:pt idx="37">
                  <c:v>-14.98231154257417</c:v>
                </c:pt>
                <c:pt idx="38">
                  <c:v>8.2375052570320868</c:v>
                </c:pt>
                <c:pt idx="39">
                  <c:v>12</c:v>
                </c:pt>
                <c:pt idx="40">
                  <c:v>-12</c:v>
                </c:pt>
                <c:pt idx="41">
                  <c:v>-27.116306655803694</c:v>
                </c:pt>
                <c:pt idx="42">
                  <c:v>-4.6666666666666643</c:v>
                </c:pt>
                <c:pt idx="43">
                  <c:v>-13.301143585556035</c:v>
                </c:pt>
                <c:pt idx="44">
                  <c:v>9.8664661885771885</c:v>
                </c:pt>
                <c:pt idx="45">
                  <c:v>12</c:v>
                </c:pt>
                <c:pt idx="46">
                  <c:v>-12</c:v>
                </c:pt>
                <c:pt idx="47">
                  <c:v>-26.383946707329393</c:v>
                </c:pt>
                <c:pt idx="48">
                  <c:v>-2.3333333333333308</c:v>
                </c:pt>
                <c:pt idx="49">
                  <c:v>-11.583569246398675</c:v>
                </c:pt>
                <c:pt idx="50">
                  <c:v>11.388844623449907</c:v>
                </c:pt>
                <c:pt idx="51">
                  <c:v>12</c:v>
                </c:pt>
                <c:pt idx="52">
                  <c:v>-12</c:v>
                </c:pt>
                <c:pt idx="53">
                  <c:v>-25.550406252475348</c:v>
                </c:pt>
                <c:pt idx="54">
                  <c:v>0</c:v>
                </c:pt>
                <c:pt idx="55">
                  <c:v>-9.8270793278644781</c:v>
                </c:pt>
                <c:pt idx="56">
                  <c:v>12.829698097369761</c:v>
                </c:pt>
                <c:pt idx="57">
                  <c:v>12</c:v>
                </c:pt>
                <c:pt idx="58">
                  <c:v>-12</c:v>
                </c:pt>
                <c:pt idx="59">
                  <c:v>-24.609390244767855</c:v>
                </c:pt>
                <c:pt idx="60">
                  <c:v>2.3333333333333335</c:v>
                </c:pt>
                <c:pt idx="61">
                  <c:v>-8.029252658232803</c:v>
                </c:pt>
                <c:pt idx="62">
                  <c:v>14.203132463376605</c:v>
                </c:pt>
                <c:pt idx="63">
                  <c:v>12</c:v>
                </c:pt>
                <c:pt idx="64">
                  <c:v>-12</c:v>
                </c:pt>
                <c:pt idx="65">
                  <c:v>-23.554734780566797</c:v>
                </c:pt>
                <c:pt idx="66">
                  <c:v>4.666666666666667</c:v>
                </c:pt>
                <c:pt idx="67">
                  <c:v>-6.1877185053343773</c:v>
                </c:pt>
                <c:pt idx="68">
                  <c:v>15.517506829265256</c:v>
                </c:pt>
                <c:pt idx="69">
                  <c:v>12</c:v>
                </c:pt>
                <c:pt idx="70">
                  <c:v>-12</c:v>
                </c:pt>
                <c:pt idx="71">
                  <c:v>-22.380163934182676</c:v>
                </c:pt>
                <c:pt idx="72">
                  <c:v>7</c:v>
                </c:pt>
                <c:pt idx="73">
                  <c:v>-4.3000630515963358</c:v>
                </c:pt>
                <c:pt idx="74">
                  <c:v>16.777941702150098</c:v>
                </c:pt>
                <c:pt idx="75">
                  <c:v>12</c:v>
                </c:pt>
                <c:pt idx="76">
                  <c:v>-12</c:v>
                </c:pt>
                <c:pt idx="77">
                  <c:v>-21.078840109892809</c:v>
                </c:pt>
                <c:pt idx="78">
                  <c:v>9.3333333333333339</c:v>
                </c:pt>
                <c:pt idx="79">
                  <c:v>-2.3636564525099644</c:v>
                </c:pt>
                <c:pt idx="80">
                  <c:v>17.987756355580007</c:v>
                </c:pt>
                <c:pt idx="81">
                  <c:v>12</c:v>
                </c:pt>
                <c:pt idx="82">
                  <c:v>-12</c:v>
                </c:pt>
                <c:pt idx="83">
                  <c:v>-19.642597335724307</c:v>
                </c:pt>
                <c:pt idx="84">
                  <c:v>11.666666666666668</c:v>
                </c:pt>
                <c:pt idx="85">
                  <c:v>-0.37535794962416702</c:v>
                </c:pt>
                <c:pt idx="86">
                  <c:v>19.149459663035739</c:v>
                </c:pt>
                <c:pt idx="87">
                  <c:v>12</c:v>
                </c:pt>
                <c:pt idx="88">
                  <c:v>-12</c:v>
                </c:pt>
                <c:pt idx="89">
                  <c:v>-30.376282653093735</c:v>
                </c:pt>
                <c:pt idx="90">
                  <c:v>14.000000000000002</c:v>
                </c:pt>
                <c:pt idx="91">
                  <c:v>-3.0678010204149508</c:v>
                </c:pt>
                <c:pt idx="92">
                  <c:v>26.896999319700733</c:v>
                </c:pt>
                <c:pt idx="93">
                  <c:v>12</c:v>
                </c:pt>
                <c:pt idx="94">
                  <c:v>-12</c:v>
                </c:pt>
                <c:pt idx="95">
                  <c:v>-24.879281862192261</c:v>
                </c:pt>
                <c:pt idx="96">
                  <c:v>25</c:v>
                </c:pt>
                <c:pt idx="97">
                  <c:v>5.8156608222448263</c:v>
                </c:pt>
                <c:pt idx="98">
                  <c:v>31.34962606454722</c:v>
                </c:pt>
                <c:pt idx="99">
                  <c:v>12</c:v>
                </c:pt>
                <c:pt idx="100">
                  <c:v>-12</c:v>
                </c:pt>
                <c:pt idx="101">
                  <c:v>-23.375716830330454</c:v>
                </c:pt>
                <c:pt idx="102">
                  <c:v>0</c:v>
                </c:pt>
                <c:pt idx="103">
                  <c:v>-8.9906603193697858</c:v>
                </c:pt>
                <c:pt idx="104">
                  <c:v>22.648032351271631</c:v>
                </c:pt>
                <c:pt idx="105">
                  <c:v>12</c:v>
                </c:pt>
                <c:pt idx="106">
                  <c:v>-12</c:v>
                </c:pt>
                <c:pt idx="107">
                  <c:v>-10.52880704336475</c:v>
                </c:pt>
                <c:pt idx="108">
                  <c:v>-25</c:v>
                </c:pt>
                <c:pt idx="109">
                  <c:v>-19.434156555154736</c:v>
                </c:pt>
                <c:pt idx="110">
                  <c:v>20.32293673094285</c:v>
                </c:pt>
                <c:pt idx="111">
                  <c:v>12</c:v>
                </c:pt>
                <c:pt idx="112">
                  <c:v>60</c:v>
                </c:pt>
                <c:pt idx="113">
                  <c:v>59.977621104822219</c:v>
                </c:pt>
                <c:pt idx="114">
                  <c:v>59.910498330815244</c:v>
                </c:pt>
                <c:pt idx="115">
                  <c:v>59.7986734039103</c:v>
                </c:pt>
                <c:pt idx="116">
                  <c:v>59.642215838505066</c:v>
                </c:pt>
                <c:pt idx="117">
                  <c:v>59.441222894251112</c:v>
                </c:pt>
                <c:pt idx="118">
                  <c:v>59.195819515593755</c:v>
                </c:pt>
                <c:pt idx="119">
                  <c:v>58.906158254102053</c:v>
                </c:pt>
                <c:pt idx="120">
                  <c:v>58.572419173637371</c:v>
                </c:pt>
                <c:pt idx="121">
                  <c:v>58.19480973841911</c:v>
                </c:pt>
                <c:pt idx="122">
                  <c:v>57.77356468405749</c:v>
                </c:pt>
                <c:pt idx="123">
                  <c:v>57.308945871633512</c:v>
                </c:pt>
                <c:pt idx="124">
                  <c:v>56.801242124916655</c:v>
                </c:pt>
                <c:pt idx="125">
                  <c:v>56.250769050821617</c:v>
                </c:pt>
                <c:pt idx="126">
                  <c:v>55.657868843215709</c:v>
                </c:pt>
                <c:pt idx="127">
                  <c:v>55.022910070198847</c:v>
                </c:pt>
                <c:pt idx="128">
                  <c:v>54.346287444988349</c:v>
                </c:pt>
                <c:pt idx="129">
                  <c:v>53.628421580551006</c:v>
                </c:pt>
                <c:pt idx="130">
                  <c:v>52.869758728134926</c:v>
                </c:pt>
                <c:pt idx="131">
                  <c:v>52.070770499863713</c:v>
                </c:pt>
                <c:pt idx="132">
                  <c:v>51.231953575565385</c:v>
                </c:pt>
                <c:pt idx="133">
                  <c:v>50.353829394018334</c:v>
                </c:pt>
                <c:pt idx="134">
                  <c:v>49.436943828806236</c:v>
                </c:pt>
                <c:pt idx="135">
                  <c:v>48.481866848983351</c:v>
                </c:pt>
                <c:pt idx="136">
                  <c:v>47.489192164761299</c:v>
                </c:pt>
                <c:pt idx="137">
                  <c:v>46.45953685843741</c:v>
                </c:pt>
                <c:pt idx="138">
                  <c:v>45.39354100079418</c:v>
                </c:pt>
                <c:pt idx="139">
                  <c:v>44.29186725320821</c:v>
                </c:pt>
                <c:pt idx="140">
                  <c:v>43.155200455716098</c:v>
                </c:pt>
                <c:pt idx="141">
                  <c:v>41.984247201293201</c:v>
                </c:pt>
                <c:pt idx="142">
                  <c:v>40.779735396610057</c:v>
                </c:pt>
                <c:pt idx="143">
                  <c:v>39.542413809539362</c:v>
                </c:pt>
                <c:pt idx="144">
                  <c:v>38.27305160369496</c:v>
                </c:pt>
                <c:pt idx="145">
                  <c:v>36.97243786029204</c:v>
                </c:pt>
                <c:pt idx="146">
                  <c:v>35.641381087625909</c:v>
                </c:pt>
                <c:pt idx="147">
                  <c:v>34.280708718474088</c:v>
                </c:pt>
                <c:pt idx="148">
                  <c:v>32.891266595734379</c:v>
                </c:pt>
                <c:pt idx="149">
                  <c:v>31.473918446618441</c:v>
                </c:pt>
                <c:pt idx="150">
                  <c:v>30.029545345727961</c:v>
                </c:pt>
                <c:pt idx="151">
                  <c:v>28.559045167346859</c:v>
                </c:pt>
                <c:pt idx="152">
                  <c:v>27.063332027290457</c:v>
                </c:pt>
                <c:pt idx="153">
                  <c:v>25.54333571465812</c:v>
                </c:pt>
                <c:pt idx="154">
                  <c:v>24.00000111384292</c:v>
                </c:pt>
                <c:pt idx="155">
                  <c:v>22.434287617157558</c:v>
                </c:pt>
                <c:pt idx="156">
                  <c:v>20.847168528441451</c:v>
                </c:pt>
                <c:pt idx="157">
                  <c:v>19.239630458020226</c:v>
                </c:pt>
                <c:pt idx="158">
                  <c:v>17.612672709393095</c:v>
                </c:pt>
                <c:pt idx="159">
                  <c:v>15.967306658029923</c:v>
                </c:pt>
                <c:pt idx="160">
                  <c:v>14.304555122663807</c:v>
                </c:pt>
                <c:pt idx="161">
                  <c:v>12.625451729470267</c:v>
                </c:pt>
                <c:pt idx="162">
                  <c:v>10.931040269527855</c:v>
                </c:pt>
                <c:pt idx="163">
                  <c:v>9.2223740499601874</c:v>
                </c:pt>
                <c:pt idx="164">
                  <c:v>7.50051523916229</c:v>
                </c:pt>
                <c:pt idx="165">
                  <c:v>5.7665342065185783</c:v>
                </c:pt>
                <c:pt idx="166">
                  <c:v>4.0215088570226385</c:v>
                </c:pt>
                <c:pt idx="167">
                  <c:v>2.2665239612127621</c:v>
                </c:pt>
                <c:pt idx="168">
                  <c:v>0.50267048083958699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2.8515696384297637</c:v>
                </c:pt>
                <c:pt idx="177">
                  <c:v>1.9753111994832171</c:v>
                </c:pt>
                <c:pt idx="178">
                  <c:v>0.92563316887902047</c:v>
                </c:pt>
                <c:pt idx="179">
                  <c:v>-0.21601377837397351</c:v>
                </c:pt>
                <c:pt idx="180">
                  <c:v>-1.4157664759720063</c:v>
                </c:pt>
                <c:pt idx="181">
                  <c:v>-2.6556123420946562</c:v>
                </c:pt>
                <c:pt idx="182">
                  <c:v>-3.9245681685754725</c:v>
                </c:pt>
                <c:pt idx="183">
                  <c:v>-5.2153144569239593</c:v>
                </c:pt>
                <c:pt idx="184">
                  <c:v>-6.5226550874579061</c:v>
                </c:pt>
                <c:pt idx="185">
                  <c:v>-7.8427215966531474</c:v>
                </c:pt>
                <c:pt idx="186">
                  <c:v>-9.1725245020797033</c:v>
                </c:pt>
                <c:pt idx="187">
                  <c:v>-10.509682805443534</c:v>
                </c:pt>
                <c:pt idx="188">
                  <c:v>-11.852251962601201</c:v>
                </c:pt>
                <c:pt idx="189">
                  <c:v>-13.198609507350314</c:v>
                </c:pt>
                <c:pt idx="190">
                  <c:v>-14.547376030315508</c:v>
                </c:pt>
                <c:pt idx="191">
                  <c:v>-15.897358663204308</c:v>
                </c:pt>
                <c:pt idx="192">
                  <c:v>-17.247509325359044</c:v>
                </c:pt>
                <c:pt idx="193">
                  <c:v>-18.596892885306229</c:v>
                </c:pt>
                <c:pt idx="194">
                  <c:v>-19.944662101015112</c:v>
                </c:pt>
                <c:pt idx="195">
                  <c:v>-21.290037250525245</c:v>
                </c:pt>
                <c:pt idx="196">
                  <c:v>-22.632289027455251</c:v>
                </c:pt>
                <c:pt idx="197">
                  <c:v>-23.97072370792359</c:v>
                </c:pt>
                <c:pt idx="198">
                  <c:v>-25.30466988534544</c:v>
                </c:pt>
                <c:pt idx="199">
                  <c:v>-26.633466270137497</c:v>
                </c:pt>
                <c:pt idx="200">
                  <c:v>-27.956450194805811</c:v>
                </c:pt>
                <c:pt idx="201">
                  <c:v>-29.272946571435931</c:v>
                </c:pt>
                <c:pt idx="202">
                  <c:v>-30.582257131227855</c:v>
                </c:pt>
                <c:pt idx="203">
                  <c:v>-31.883649842884822</c:v>
                </c:pt>
                <c:pt idx="204">
                  <c:v>-33.176348463939625</c:v>
                </c:pt>
                <c:pt idx="205">
                  <c:v>-34.459522230103559</c:v>
                </c:pt>
                <c:pt idx="206">
                  <c:v>-35.732275734705851</c:v>
                </c:pt>
                <c:pt idx="207">
                  <c:v>-36.99363909448315</c:v>
                </c:pt>
                <c:pt idx="208">
                  <c:v>-38.242558539797471</c:v>
                </c:pt>
                <c:pt idx="209">
                  <c:v>-39.477887606536221</c:v>
                </c:pt>
                <c:pt idx="210">
                  <c:v>-40.698379142616446</c:v>
                </c:pt>
                <c:pt idx="211">
                  <c:v>-41.902678372794895</c:v>
                </c:pt>
                <c:pt idx="212">
                  <c:v>-43.089317289558807</c:v>
                </c:pt>
                <c:pt idx="213">
                  <c:v>-44.25671065311036</c:v>
                </c:pt>
                <c:pt idx="214">
                  <c:v>-45.403153887555582</c:v>
                </c:pt>
                <c:pt idx="215">
                  <c:v>-46.526823151096757</c:v>
                </c:pt>
                <c:pt idx="216">
                  <c:v>-47.625777833297384</c:v>
                </c:pt>
                <c:pt idx="217">
                  <c:v>-48.697965690882285</c:v>
                </c:pt>
                <c:pt idx="218">
                  <c:v>-49.741230774414589</c:v>
                </c:pt>
                <c:pt idx="219">
                  <c:v>-50.753324222038465</c:v>
                </c:pt>
                <c:pt idx="220">
                  <c:v>-51.731917905092047</c:v>
                </c:pt>
                <c:pt idx="221">
                  <c:v>-52.674620807053785</c:v>
                </c:pt>
                <c:pt idx="222">
                  <c:v>-53.578997906712083</c:v>
                </c:pt>
                <c:pt idx="223">
                  <c:v>-54.442591224662408</c:v>
                </c:pt>
                <c:pt idx="224">
                  <c:v>-55.262942586197084</c:v>
                </c:pt>
                <c:pt idx="225">
                  <c:v>-56.037617560739605</c:v>
                </c:pt>
                <c:pt idx="226">
                  <c:v>-56.764229965340405</c:v>
                </c:pt>
                <c:pt idx="227">
                  <c:v>-57.440466273599569</c:v>
                </c:pt>
                <c:pt idx="228">
                  <c:v>-58.064109256288212</c:v>
                </c:pt>
                <c:pt idx="229">
                  <c:v>-58.633060198267984</c:v>
                </c:pt>
                <c:pt idx="230">
                  <c:v>-59.145359087855262</c:v>
                </c:pt>
                <c:pt idx="231">
                  <c:v>-59.599202256688159</c:v>
                </c:pt>
                <c:pt idx="232">
                  <c:v>-59.992957055132891</c:v>
                </c:pt>
                <c:pt idx="233">
                  <c:v>-60.325173273076174</c:v>
                </c:pt>
                <c:pt idx="234">
                  <c:v>-60.594591150128096</c:v>
                </c:pt>
                <c:pt idx="235">
                  <c:v>-60.800145953957085</c:v>
                </c:pt>
                <c:pt idx="236">
                  <c:v>-60.940969232303956</c:v>
                </c:pt>
                <c:pt idx="237">
                  <c:v>-61.016386955989681</c:v>
                </c:pt>
                <c:pt idx="238">
                  <c:v>-61.025914861512376</c:v>
                </c:pt>
                <c:pt idx="239">
                  <c:v>-60.969251369261414</c:v>
                </c:pt>
              </c:numCache>
            </c:numRef>
          </c:xVal>
          <c:yVal>
            <c:numRef>
              <c:f>CALC60!$CK$6:$CK$581</c:f>
              <c:numCache>
                <c:formatCode>General</c:formatCode>
                <c:ptCount val="576"/>
              </c:numCache>
            </c:numRef>
          </c:yVal>
          <c:smooth val="0"/>
        </c:ser>
        <c:ser>
          <c:idx val="38"/>
          <c:order val="38"/>
          <c:tx>
            <c:strRef>
              <c:f>CALC60!$CL$5</c:f>
              <c:strCache>
                <c:ptCount val="1"/>
                <c:pt idx="0">
                  <c:v>R37</c:v>
                </c:pt>
              </c:strCache>
            </c:strRef>
          </c:tx>
          <c:spPr>
            <a:ln w="28575">
              <a:noFill/>
            </a:ln>
          </c:spPr>
          <c:xVal>
            <c:numRef>
              <c:f>CALC60!$AY$6:$AY$581</c:f>
              <c:numCache>
                <c:formatCode>General</c:formatCode>
                <c:ptCount val="576"/>
                <c:pt idx="0">
                  <c:v>-19.833506546880365</c:v>
                </c:pt>
                <c:pt idx="1">
                  <c:v>-18.245852614565919</c:v>
                </c:pt>
                <c:pt idx="2">
                  <c:v>-16.629666681765414</c:v>
                </c:pt>
                <c:pt idx="3">
                  <c:v>-14.98231154257417</c:v>
                </c:pt>
                <c:pt idx="4">
                  <c:v>-13.301143585556035</c:v>
                </c:pt>
                <c:pt idx="5">
                  <c:v>-11.583569246398675</c:v>
                </c:pt>
                <c:pt idx="6">
                  <c:v>-9.8270793278644781</c:v>
                </c:pt>
                <c:pt idx="7">
                  <c:v>-8.029252658232803</c:v>
                </c:pt>
                <c:pt idx="8">
                  <c:v>-6.1877185053343773</c:v>
                </c:pt>
                <c:pt idx="9">
                  <c:v>-4.3000630515963358</c:v>
                </c:pt>
                <c:pt idx="10">
                  <c:v>-2.3636564525099644</c:v>
                </c:pt>
                <c:pt idx="11">
                  <c:v>-0.37535794962416702</c:v>
                </c:pt>
                <c:pt idx="12">
                  <c:v>-3.0678010204149508</c:v>
                </c:pt>
                <c:pt idx="13">
                  <c:v>5.8156608222448263</c:v>
                </c:pt>
                <c:pt idx="14">
                  <c:v>-8.9906603193697858</c:v>
                </c:pt>
                <c:pt idx="15">
                  <c:v>-19.434156555154736</c:v>
                </c:pt>
                <c:pt idx="16">
                  <c:v>-12</c:v>
                </c:pt>
                <c:pt idx="17">
                  <c:v>-29.167117021908272</c:v>
                </c:pt>
                <c:pt idx="18">
                  <c:v>-14</c:v>
                </c:pt>
                <c:pt idx="19">
                  <c:v>-19.833506546880365</c:v>
                </c:pt>
                <c:pt idx="20">
                  <c:v>1.5130248501190131</c:v>
                </c:pt>
                <c:pt idx="21">
                  <c:v>12</c:v>
                </c:pt>
                <c:pt idx="22">
                  <c:v>-12</c:v>
                </c:pt>
                <c:pt idx="23">
                  <c:v>-28.772550131225248</c:v>
                </c:pt>
                <c:pt idx="24">
                  <c:v>-11.666666666666666</c:v>
                </c:pt>
                <c:pt idx="25">
                  <c:v>-18.245852614565919</c:v>
                </c:pt>
                <c:pt idx="26">
                  <c:v>4.3925078710812571</c:v>
                </c:pt>
                <c:pt idx="27">
                  <c:v>12</c:v>
                </c:pt>
                <c:pt idx="28">
                  <c:v>-12</c:v>
                </c:pt>
                <c:pt idx="29">
                  <c:v>-28.303800039278563</c:v>
                </c:pt>
                <c:pt idx="30">
                  <c:v>-9.3333333333333321</c:v>
                </c:pt>
                <c:pt idx="31">
                  <c:v>-16.629666681765414</c:v>
                </c:pt>
                <c:pt idx="32">
                  <c:v>6.4527131206909987</c:v>
                </c:pt>
                <c:pt idx="33">
                  <c:v>12</c:v>
                </c:pt>
                <c:pt idx="34">
                  <c:v>-12</c:v>
                </c:pt>
                <c:pt idx="35">
                  <c:v>-27.754010010716058</c:v>
                </c:pt>
                <c:pt idx="36">
                  <c:v>-6.9999999999999982</c:v>
                </c:pt>
                <c:pt idx="37">
                  <c:v>-14.98231154257417</c:v>
                </c:pt>
                <c:pt idx="38">
                  <c:v>8.2375052570320868</c:v>
                </c:pt>
                <c:pt idx="39">
                  <c:v>12</c:v>
                </c:pt>
                <c:pt idx="40">
                  <c:v>-12</c:v>
                </c:pt>
                <c:pt idx="41">
                  <c:v>-27.116306655803694</c:v>
                </c:pt>
                <c:pt idx="42">
                  <c:v>-4.6666666666666643</c:v>
                </c:pt>
                <c:pt idx="43">
                  <c:v>-13.301143585556035</c:v>
                </c:pt>
                <c:pt idx="44">
                  <c:v>9.8664661885771885</c:v>
                </c:pt>
                <c:pt idx="45">
                  <c:v>12</c:v>
                </c:pt>
                <c:pt idx="46">
                  <c:v>-12</c:v>
                </c:pt>
                <c:pt idx="47">
                  <c:v>-26.383946707329393</c:v>
                </c:pt>
                <c:pt idx="48">
                  <c:v>-2.3333333333333308</c:v>
                </c:pt>
                <c:pt idx="49">
                  <c:v>-11.583569246398675</c:v>
                </c:pt>
                <c:pt idx="50">
                  <c:v>11.388844623449907</c:v>
                </c:pt>
                <c:pt idx="51">
                  <c:v>12</c:v>
                </c:pt>
                <c:pt idx="52">
                  <c:v>-12</c:v>
                </c:pt>
                <c:pt idx="53">
                  <c:v>-25.550406252475348</c:v>
                </c:pt>
                <c:pt idx="54">
                  <c:v>0</c:v>
                </c:pt>
                <c:pt idx="55">
                  <c:v>-9.8270793278644781</c:v>
                </c:pt>
                <c:pt idx="56">
                  <c:v>12.829698097369761</c:v>
                </c:pt>
                <c:pt idx="57">
                  <c:v>12</c:v>
                </c:pt>
                <c:pt idx="58">
                  <c:v>-12</c:v>
                </c:pt>
                <c:pt idx="59">
                  <c:v>-24.609390244767855</c:v>
                </c:pt>
                <c:pt idx="60">
                  <c:v>2.3333333333333335</c:v>
                </c:pt>
                <c:pt idx="61">
                  <c:v>-8.029252658232803</c:v>
                </c:pt>
                <c:pt idx="62">
                  <c:v>14.203132463376605</c:v>
                </c:pt>
                <c:pt idx="63">
                  <c:v>12</c:v>
                </c:pt>
                <c:pt idx="64">
                  <c:v>-12</c:v>
                </c:pt>
                <c:pt idx="65">
                  <c:v>-23.554734780566797</c:v>
                </c:pt>
                <c:pt idx="66">
                  <c:v>4.666666666666667</c:v>
                </c:pt>
                <c:pt idx="67">
                  <c:v>-6.1877185053343773</c:v>
                </c:pt>
                <c:pt idx="68">
                  <c:v>15.517506829265256</c:v>
                </c:pt>
                <c:pt idx="69">
                  <c:v>12</c:v>
                </c:pt>
                <c:pt idx="70">
                  <c:v>-12</c:v>
                </c:pt>
                <c:pt idx="71">
                  <c:v>-22.380163934182676</c:v>
                </c:pt>
                <c:pt idx="72">
                  <c:v>7</c:v>
                </c:pt>
                <c:pt idx="73">
                  <c:v>-4.3000630515963358</c:v>
                </c:pt>
                <c:pt idx="74">
                  <c:v>16.777941702150098</c:v>
                </c:pt>
                <c:pt idx="75">
                  <c:v>12</c:v>
                </c:pt>
                <c:pt idx="76">
                  <c:v>-12</c:v>
                </c:pt>
                <c:pt idx="77">
                  <c:v>-21.078840109892809</c:v>
                </c:pt>
                <c:pt idx="78">
                  <c:v>9.3333333333333339</c:v>
                </c:pt>
                <c:pt idx="79">
                  <c:v>-2.3636564525099644</c:v>
                </c:pt>
                <c:pt idx="80">
                  <c:v>17.987756355580007</c:v>
                </c:pt>
                <c:pt idx="81">
                  <c:v>12</c:v>
                </c:pt>
                <c:pt idx="82">
                  <c:v>-12</c:v>
                </c:pt>
                <c:pt idx="83">
                  <c:v>-19.642597335724307</c:v>
                </c:pt>
                <c:pt idx="84">
                  <c:v>11.666666666666668</c:v>
                </c:pt>
                <c:pt idx="85">
                  <c:v>-0.37535794962416702</c:v>
                </c:pt>
                <c:pt idx="86">
                  <c:v>19.149459663035739</c:v>
                </c:pt>
                <c:pt idx="87">
                  <c:v>12</c:v>
                </c:pt>
                <c:pt idx="88">
                  <c:v>-12</c:v>
                </c:pt>
                <c:pt idx="89">
                  <c:v>-30.376282653093735</c:v>
                </c:pt>
                <c:pt idx="90">
                  <c:v>14.000000000000002</c:v>
                </c:pt>
                <c:pt idx="91">
                  <c:v>-3.0678010204149508</c:v>
                </c:pt>
                <c:pt idx="92">
                  <c:v>26.896999319700733</c:v>
                </c:pt>
                <c:pt idx="93">
                  <c:v>12</c:v>
                </c:pt>
                <c:pt idx="94">
                  <c:v>-12</c:v>
                </c:pt>
                <c:pt idx="95">
                  <c:v>-24.879281862192261</c:v>
                </c:pt>
                <c:pt idx="96">
                  <c:v>25</c:v>
                </c:pt>
                <c:pt idx="97">
                  <c:v>5.8156608222448263</c:v>
                </c:pt>
                <c:pt idx="98">
                  <c:v>31.34962606454722</c:v>
                </c:pt>
                <c:pt idx="99">
                  <c:v>12</c:v>
                </c:pt>
                <c:pt idx="100">
                  <c:v>-12</c:v>
                </c:pt>
                <c:pt idx="101">
                  <c:v>-23.375716830330454</c:v>
                </c:pt>
                <c:pt idx="102">
                  <c:v>0</c:v>
                </c:pt>
                <c:pt idx="103">
                  <c:v>-8.9906603193697858</c:v>
                </c:pt>
                <c:pt idx="104">
                  <c:v>22.648032351271631</c:v>
                </c:pt>
                <c:pt idx="105">
                  <c:v>12</c:v>
                </c:pt>
                <c:pt idx="106">
                  <c:v>-12</c:v>
                </c:pt>
                <c:pt idx="107">
                  <c:v>-10.52880704336475</c:v>
                </c:pt>
                <c:pt idx="108">
                  <c:v>-25</c:v>
                </c:pt>
                <c:pt idx="109">
                  <c:v>-19.434156555154736</c:v>
                </c:pt>
                <c:pt idx="110">
                  <c:v>20.32293673094285</c:v>
                </c:pt>
                <c:pt idx="111">
                  <c:v>12</c:v>
                </c:pt>
                <c:pt idx="112">
                  <c:v>60</c:v>
                </c:pt>
                <c:pt idx="113">
                  <c:v>59.977621104822219</c:v>
                </c:pt>
                <c:pt idx="114">
                  <c:v>59.910498330815244</c:v>
                </c:pt>
                <c:pt idx="115">
                  <c:v>59.7986734039103</c:v>
                </c:pt>
                <c:pt idx="116">
                  <c:v>59.642215838505066</c:v>
                </c:pt>
                <c:pt idx="117">
                  <c:v>59.441222894251112</c:v>
                </c:pt>
                <c:pt idx="118">
                  <c:v>59.195819515593755</c:v>
                </c:pt>
                <c:pt idx="119">
                  <c:v>58.906158254102053</c:v>
                </c:pt>
                <c:pt idx="120">
                  <c:v>58.572419173637371</c:v>
                </c:pt>
                <c:pt idx="121">
                  <c:v>58.19480973841911</c:v>
                </c:pt>
                <c:pt idx="122">
                  <c:v>57.77356468405749</c:v>
                </c:pt>
                <c:pt idx="123">
                  <c:v>57.308945871633512</c:v>
                </c:pt>
                <c:pt idx="124">
                  <c:v>56.801242124916655</c:v>
                </c:pt>
                <c:pt idx="125">
                  <c:v>56.250769050821617</c:v>
                </c:pt>
                <c:pt idx="126">
                  <c:v>55.657868843215709</c:v>
                </c:pt>
                <c:pt idx="127">
                  <c:v>55.022910070198847</c:v>
                </c:pt>
                <c:pt idx="128">
                  <c:v>54.346287444988349</c:v>
                </c:pt>
                <c:pt idx="129">
                  <c:v>53.628421580551006</c:v>
                </c:pt>
                <c:pt idx="130">
                  <c:v>52.869758728134926</c:v>
                </c:pt>
                <c:pt idx="131">
                  <c:v>52.070770499863713</c:v>
                </c:pt>
                <c:pt idx="132">
                  <c:v>51.231953575565385</c:v>
                </c:pt>
                <c:pt idx="133">
                  <c:v>50.353829394018334</c:v>
                </c:pt>
                <c:pt idx="134">
                  <c:v>49.436943828806236</c:v>
                </c:pt>
                <c:pt idx="135">
                  <c:v>48.481866848983351</c:v>
                </c:pt>
                <c:pt idx="136">
                  <c:v>47.489192164761299</c:v>
                </c:pt>
                <c:pt idx="137">
                  <c:v>46.45953685843741</c:v>
                </c:pt>
                <c:pt idx="138">
                  <c:v>45.39354100079418</c:v>
                </c:pt>
                <c:pt idx="139">
                  <c:v>44.29186725320821</c:v>
                </c:pt>
                <c:pt idx="140">
                  <c:v>43.155200455716098</c:v>
                </c:pt>
                <c:pt idx="141">
                  <c:v>41.984247201293201</c:v>
                </c:pt>
                <c:pt idx="142">
                  <c:v>40.779735396610057</c:v>
                </c:pt>
                <c:pt idx="143">
                  <c:v>39.542413809539362</c:v>
                </c:pt>
                <c:pt idx="144">
                  <c:v>38.27305160369496</c:v>
                </c:pt>
                <c:pt idx="145">
                  <c:v>36.97243786029204</c:v>
                </c:pt>
                <c:pt idx="146">
                  <c:v>35.641381087625909</c:v>
                </c:pt>
                <c:pt idx="147">
                  <c:v>34.280708718474088</c:v>
                </c:pt>
                <c:pt idx="148">
                  <c:v>32.891266595734379</c:v>
                </c:pt>
                <c:pt idx="149">
                  <c:v>31.473918446618441</c:v>
                </c:pt>
                <c:pt idx="150">
                  <c:v>30.029545345727961</c:v>
                </c:pt>
                <c:pt idx="151">
                  <c:v>28.559045167346859</c:v>
                </c:pt>
                <c:pt idx="152">
                  <c:v>27.063332027290457</c:v>
                </c:pt>
                <c:pt idx="153">
                  <c:v>25.54333571465812</c:v>
                </c:pt>
                <c:pt idx="154">
                  <c:v>24.00000111384292</c:v>
                </c:pt>
                <c:pt idx="155">
                  <c:v>22.434287617157558</c:v>
                </c:pt>
                <c:pt idx="156">
                  <c:v>20.847168528441451</c:v>
                </c:pt>
                <c:pt idx="157">
                  <c:v>19.239630458020226</c:v>
                </c:pt>
                <c:pt idx="158">
                  <c:v>17.612672709393095</c:v>
                </c:pt>
                <c:pt idx="159">
                  <c:v>15.967306658029923</c:v>
                </c:pt>
                <c:pt idx="160">
                  <c:v>14.304555122663807</c:v>
                </c:pt>
                <c:pt idx="161">
                  <c:v>12.625451729470267</c:v>
                </c:pt>
                <c:pt idx="162">
                  <c:v>10.931040269527855</c:v>
                </c:pt>
                <c:pt idx="163">
                  <c:v>9.2223740499601874</c:v>
                </c:pt>
                <c:pt idx="164">
                  <c:v>7.50051523916229</c:v>
                </c:pt>
                <c:pt idx="165">
                  <c:v>5.7665342065185783</c:v>
                </c:pt>
                <c:pt idx="166">
                  <c:v>4.0215088570226385</c:v>
                </c:pt>
                <c:pt idx="167">
                  <c:v>2.2665239612127621</c:v>
                </c:pt>
                <c:pt idx="168">
                  <c:v>0.50267048083958699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2.8515696384297637</c:v>
                </c:pt>
                <c:pt idx="177">
                  <c:v>1.9753111994832171</c:v>
                </c:pt>
                <c:pt idx="178">
                  <c:v>0.92563316887902047</c:v>
                </c:pt>
                <c:pt idx="179">
                  <c:v>-0.21601377837397351</c:v>
                </c:pt>
                <c:pt idx="180">
                  <c:v>-1.4157664759720063</c:v>
                </c:pt>
                <c:pt idx="181">
                  <c:v>-2.6556123420946562</c:v>
                </c:pt>
                <c:pt idx="182">
                  <c:v>-3.9245681685754725</c:v>
                </c:pt>
                <c:pt idx="183">
                  <c:v>-5.2153144569239593</c:v>
                </c:pt>
                <c:pt idx="184">
                  <c:v>-6.5226550874579061</c:v>
                </c:pt>
                <c:pt idx="185">
                  <c:v>-7.8427215966531474</c:v>
                </c:pt>
                <c:pt idx="186">
                  <c:v>-9.1725245020797033</c:v>
                </c:pt>
                <c:pt idx="187">
                  <c:v>-10.509682805443534</c:v>
                </c:pt>
                <c:pt idx="188">
                  <c:v>-11.852251962601201</c:v>
                </c:pt>
                <c:pt idx="189">
                  <c:v>-13.198609507350314</c:v>
                </c:pt>
                <c:pt idx="190">
                  <c:v>-14.547376030315508</c:v>
                </c:pt>
                <c:pt idx="191">
                  <c:v>-15.897358663204308</c:v>
                </c:pt>
                <c:pt idx="192">
                  <c:v>-17.247509325359044</c:v>
                </c:pt>
                <c:pt idx="193">
                  <c:v>-18.596892885306229</c:v>
                </c:pt>
                <c:pt idx="194">
                  <c:v>-19.944662101015112</c:v>
                </c:pt>
                <c:pt idx="195">
                  <c:v>-21.290037250525245</c:v>
                </c:pt>
                <c:pt idx="196">
                  <c:v>-22.632289027455251</c:v>
                </c:pt>
                <c:pt idx="197">
                  <c:v>-23.97072370792359</c:v>
                </c:pt>
                <c:pt idx="198">
                  <c:v>-25.30466988534544</c:v>
                </c:pt>
                <c:pt idx="199">
                  <c:v>-26.633466270137497</c:v>
                </c:pt>
                <c:pt idx="200">
                  <c:v>-27.956450194805811</c:v>
                </c:pt>
                <c:pt idx="201">
                  <c:v>-29.272946571435931</c:v>
                </c:pt>
                <c:pt idx="202">
                  <c:v>-30.582257131227855</c:v>
                </c:pt>
                <c:pt idx="203">
                  <c:v>-31.883649842884822</c:v>
                </c:pt>
                <c:pt idx="204">
                  <c:v>-33.176348463939625</c:v>
                </c:pt>
                <c:pt idx="205">
                  <c:v>-34.459522230103559</c:v>
                </c:pt>
                <c:pt idx="206">
                  <c:v>-35.732275734705851</c:v>
                </c:pt>
                <c:pt idx="207">
                  <c:v>-36.99363909448315</c:v>
                </c:pt>
                <c:pt idx="208">
                  <c:v>-38.242558539797471</c:v>
                </c:pt>
                <c:pt idx="209">
                  <c:v>-39.477887606536221</c:v>
                </c:pt>
                <c:pt idx="210">
                  <c:v>-40.698379142616446</c:v>
                </c:pt>
                <c:pt idx="211">
                  <c:v>-41.902678372794895</c:v>
                </c:pt>
                <c:pt idx="212">
                  <c:v>-43.089317289558807</c:v>
                </c:pt>
                <c:pt idx="213">
                  <c:v>-44.25671065311036</c:v>
                </c:pt>
                <c:pt idx="214">
                  <c:v>-45.403153887555582</c:v>
                </c:pt>
                <c:pt idx="215">
                  <c:v>-46.526823151096757</c:v>
                </c:pt>
                <c:pt idx="216">
                  <c:v>-47.625777833297384</c:v>
                </c:pt>
                <c:pt idx="217">
                  <c:v>-48.697965690882285</c:v>
                </c:pt>
                <c:pt idx="218">
                  <c:v>-49.741230774414589</c:v>
                </c:pt>
                <c:pt idx="219">
                  <c:v>-50.753324222038465</c:v>
                </c:pt>
                <c:pt idx="220">
                  <c:v>-51.731917905092047</c:v>
                </c:pt>
                <c:pt idx="221">
                  <c:v>-52.674620807053785</c:v>
                </c:pt>
                <c:pt idx="222">
                  <c:v>-53.578997906712083</c:v>
                </c:pt>
                <c:pt idx="223">
                  <c:v>-54.442591224662408</c:v>
                </c:pt>
                <c:pt idx="224">
                  <c:v>-55.262942586197084</c:v>
                </c:pt>
                <c:pt idx="225">
                  <c:v>-56.037617560739605</c:v>
                </c:pt>
                <c:pt idx="226">
                  <c:v>-56.764229965340405</c:v>
                </c:pt>
                <c:pt idx="227">
                  <c:v>-57.440466273599569</c:v>
                </c:pt>
                <c:pt idx="228">
                  <c:v>-58.064109256288212</c:v>
                </c:pt>
                <c:pt idx="229">
                  <c:v>-58.633060198267984</c:v>
                </c:pt>
                <c:pt idx="230">
                  <c:v>-59.145359087855262</c:v>
                </c:pt>
                <c:pt idx="231">
                  <c:v>-59.599202256688159</c:v>
                </c:pt>
                <c:pt idx="232">
                  <c:v>-59.992957055132891</c:v>
                </c:pt>
                <c:pt idx="233">
                  <c:v>-60.325173273076174</c:v>
                </c:pt>
                <c:pt idx="234">
                  <c:v>-60.594591150128096</c:v>
                </c:pt>
                <c:pt idx="235">
                  <c:v>-60.800145953957085</c:v>
                </c:pt>
                <c:pt idx="236">
                  <c:v>-60.940969232303956</c:v>
                </c:pt>
                <c:pt idx="237">
                  <c:v>-61.016386955989681</c:v>
                </c:pt>
                <c:pt idx="238">
                  <c:v>-61.025914861512376</c:v>
                </c:pt>
                <c:pt idx="239">
                  <c:v>-60.969251369261414</c:v>
                </c:pt>
              </c:numCache>
            </c:numRef>
          </c:xVal>
          <c:yVal>
            <c:numRef>
              <c:f>CALC60!$CL$6:$CL$581</c:f>
              <c:numCache>
                <c:formatCode>General</c:formatCode>
                <c:ptCount val="576"/>
              </c:numCache>
            </c:numRef>
          </c:yVal>
          <c:smooth val="0"/>
        </c:ser>
        <c:ser>
          <c:idx val="39"/>
          <c:order val="39"/>
          <c:tx>
            <c:strRef>
              <c:f>CALC60!$CM$5</c:f>
              <c:strCache>
                <c:ptCount val="1"/>
                <c:pt idx="0">
                  <c:v>R38</c:v>
                </c:pt>
              </c:strCache>
            </c:strRef>
          </c:tx>
          <c:spPr>
            <a:ln w="28575">
              <a:noFill/>
            </a:ln>
          </c:spPr>
          <c:xVal>
            <c:numRef>
              <c:f>CALC60!$AY$6:$AY$581</c:f>
              <c:numCache>
                <c:formatCode>General</c:formatCode>
                <c:ptCount val="576"/>
                <c:pt idx="0">
                  <c:v>-19.833506546880365</c:v>
                </c:pt>
                <c:pt idx="1">
                  <c:v>-18.245852614565919</c:v>
                </c:pt>
                <c:pt idx="2">
                  <c:v>-16.629666681765414</c:v>
                </c:pt>
                <c:pt idx="3">
                  <c:v>-14.98231154257417</c:v>
                </c:pt>
                <c:pt idx="4">
                  <c:v>-13.301143585556035</c:v>
                </c:pt>
                <c:pt idx="5">
                  <c:v>-11.583569246398675</c:v>
                </c:pt>
                <c:pt idx="6">
                  <c:v>-9.8270793278644781</c:v>
                </c:pt>
                <c:pt idx="7">
                  <c:v>-8.029252658232803</c:v>
                </c:pt>
                <c:pt idx="8">
                  <c:v>-6.1877185053343773</c:v>
                </c:pt>
                <c:pt idx="9">
                  <c:v>-4.3000630515963358</c:v>
                </c:pt>
                <c:pt idx="10">
                  <c:v>-2.3636564525099644</c:v>
                </c:pt>
                <c:pt idx="11">
                  <c:v>-0.37535794962416702</c:v>
                </c:pt>
                <c:pt idx="12">
                  <c:v>-3.0678010204149508</c:v>
                </c:pt>
                <c:pt idx="13">
                  <c:v>5.8156608222448263</c:v>
                </c:pt>
                <c:pt idx="14">
                  <c:v>-8.9906603193697858</c:v>
                </c:pt>
                <c:pt idx="15">
                  <c:v>-19.434156555154736</c:v>
                </c:pt>
                <c:pt idx="16">
                  <c:v>-12</c:v>
                </c:pt>
                <c:pt idx="17">
                  <c:v>-29.167117021908272</c:v>
                </c:pt>
                <c:pt idx="18">
                  <c:v>-14</c:v>
                </c:pt>
                <c:pt idx="19">
                  <c:v>-19.833506546880365</c:v>
                </c:pt>
                <c:pt idx="20">
                  <c:v>1.5130248501190131</c:v>
                </c:pt>
                <c:pt idx="21">
                  <c:v>12</c:v>
                </c:pt>
                <c:pt idx="22">
                  <c:v>-12</c:v>
                </c:pt>
                <c:pt idx="23">
                  <c:v>-28.772550131225248</c:v>
                </c:pt>
                <c:pt idx="24">
                  <c:v>-11.666666666666666</c:v>
                </c:pt>
                <c:pt idx="25">
                  <c:v>-18.245852614565919</c:v>
                </c:pt>
                <c:pt idx="26">
                  <c:v>4.3925078710812571</c:v>
                </c:pt>
                <c:pt idx="27">
                  <c:v>12</c:v>
                </c:pt>
                <c:pt idx="28">
                  <c:v>-12</c:v>
                </c:pt>
                <c:pt idx="29">
                  <c:v>-28.303800039278563</c:v>
                </c:pt>
                <c:pt idx="30">
                  <c:v>-9.3333333333333321</c:v>
                </c:pt>
                <c:pt idx="31">
                  <c:v>-16.629666681765414</c:v>
                </c:pt>
                <c:pt idx="32">
                  <c:v>6.4527131206909987</c:v>
                </c:pt>
                <c:pt idx="33">
                  <c:v>12</c:v>
                </c:pt>
                <c:pt idx="34">
                  <c:v>-12</c:v>
                </c:pt>
                <c:pt idx="35">
                  <c:v>-27.754010010716058</c:v>
                </c:pt>
                <c:pt idx="36">
                  <c:v>-6.9999999999999982</c:v>
                </c:pt>
                <c:pt idx="37">
                  <c:v>-14.98231154257417</c:v>
                </c:pt>
                <c:pt idx="38">
                  <c:v>8.2375052570320868</c:v>
                </c:pt>
                <c:pt idx="39">
                  <c:v>12</c:v>
                </c:pt>
                <c:pt idx="40">
                  <c:v>-12</c:v>
                </c:pt>
                <c:pt idx="41">
                  <c:v>-27.116306655803694</c:v>
                </c:pt>
                <c:pt idx="42">
                  <c:v>-4.6666666666666643</c:v>
                </c:pt>
                <c:pt idx="43">
                  <c:v>-13.301143585556035</c:v>
                </c:pt>
                <c:pt idx="44">
                  <c:v>9.8664661885771885</c:v>
                </c:pt>
                <c:pt idx="45">
                  <c:v>12</c:v>
                </c:pt>
                <c:pt idx="46">
                  <c:v>-12</c:v>
                </c:pt>
                <c:pt idx="47">
                  <c:v>-26.383946707329393</c:v>
                </c:pt>
                <c:pt idx="48">
                  <c:v>-2.3333333333333308</c:v>
                </c:pt>
                <c:pt idx="49">
                  <c:v>-11.583569246398675</c:v>
                </c:pt>
                <c:pt idx="50">
                  <c:v>11.388844623449907</c:v>
                </c:pt>
                <c:pt idx="51">
                  <c:v>12</c:v>
                </c:pt>
                <c:pt idx="52">
                  <c:v>-12</c:v>
                </c:pt>
                <c:pt idx="53">
                  <c:v>-25.550406252475348</c:v>
                </c:pt>
                <c:pt idx="54">
                  <c:v>0</c:v>
                </c:pt>
                <c:pt idx="55">
                  <c:v>-9.8270793278644781</c:v>
                </c:pt>
                <c:pt idx="56">
                  <c:v>12.829698097369761</c:v>
                </c:pt>
                <c:pt idx="57">
                  <c:v>12</c:v>
                </c:pt>
                <c:pt idx="58">
                  <c:v>-12</c:v>
                </c:pt>
                <c:pt idx="59">
                  <c:v>-24.609390244767855</c:v>
                </c:pt>
                <c:pt idx="60">
                  <c:v>2.3333333333333335</c:v>
                </c:pt>
                <c:pt idx="61">
                  <c:v>-8.029252658232803</c:v>
                </c:pt>
                <c:pt idx="62">
                  <c:v>14.203132463376605</c:v>
                </c:pt>
                <c:pt idx="63">
                  <c:v>12</c:v>
                </c:pt>
                <c:pt idx="64">
                  <c:v>-12</c:v>
                </c:pt>
                <c:pt idx="65">
                  <c:v>-23.554734780566797</c:v>
                </c:pt>
                <c:pt idx="66">
                  <c:v>4.666666666666667</c:v>
                </c:pt>
                <c:pt idx="67">
                  <c:v>-6.1877185053343773</c:v>
                </c:pt>
                <c:pt idx="68">
                  <c:v>15.517506829265256</c:v>
                </c:pt>
                <c:pt idx="69">
                  <c:v>12</c:v>
                </c:pt>
                <c:pt idx="70">
                  <c:v>-12</c:v>
                </c:pt>
                <c:pt idx="71">
                  <c:v>-22.380163934182676</c:v>
                </c:pt>
                <c:pt idx="72">
                  <c:v>7</c:v>
                </c:pt>
                <c:pt idx="73">
                  <c:v>-4.3000630515963358</c:v>
                </c:pt>
                <c:pt idx="74">
                  <c:v>16.777941702150098</c:v>
                </c:pt>
                <c:pt idx="75">
                  <c:v>12</c:v>
                </c:pt>
                <c:pt idx="76">
                  <c:v>-12</c:v>
                </c:pt>
                <c:pt idx="77">
                  <c:v>-21.078840109892809</c:v>
                </c:pt>
                <c:pt idx="78">
                  <c:v>9.3333333333333339</c:v>
                </c:pt>
                <c:pt idx="79">
                  <c:v>-2.3636564525099644</c:v>
                </c:pt>
                <c:pt idx="80">
                  <c:v>17.987756355580007</c:v>
                </c:pt>
                <c:pt idx="81">
                  <c:v>12</c:v>
                </c:pt>
                <c:pt idx="82">
                  <c:v>-12</c:v>
                </c:pt>
                <c:pt idx="83">
                  <c:v>-19.642597335724307</c:v>
                </c:pt>
                <c:pt idx="84">
                  <c:v>11.666666666666668</c:v>
                </c:pt>
                <c:pt idx="85">
                  <c:v>-0.37535794962416702</c:v>
                </c:pt>
                <c:pt idx="86">
                  <c:v>19.149459663035739</c:v>
                </c:pt>
                <c:pt idx="87">
                  <c:v>12</c:v>
                </c:pt>
                <c:pt idx="88">
                  <c:v>-12</c:v>
                </c:pt>
                <c:pt idx="89">
                  <c:v>-30.376282653093735</c:v>
                </c:pt>
                <c:pt idx="90">
                  <c:v>14.000000000000002</c:v>
                </c:pt>
                <c:pt idx="91">
                  <c:v>-3.0678010204149508</c:v>
                </c:pt>
                <c:pt idx="92">
                  <c:v>26.896999319700733</c:v>
                </c:pt>
                <c:pt idx="93">
                  <c:v>12</c:v>
                </c:pt>
                <c:pt idx="94">
                  <c:v>-12</c:v>
                </c:pt>
                <c:pt idx="95">
                  <c:v>-24.879281862192261</c:v>
                </c:pt>
                <c:pt idx="96">
                  <c:v>25</c:v>
                </c:pt>
                <c:pt idx="97">
                  <c:v>5.8156608222448263</c:v>
                </c:pt>
                <c:pt idx="98">
                  <c:v>31.34962606454722</c:v>
                </c:pt>
                <c:pt idx="99">
                  <c:v>12</c:v>
                </c:pt>
                <c:pt idx="100">
                  <c:v>-12</c:v>
                </c:pt>
                <c:pt idx="101">
                  <c:v>-23.375716830330454</c:v>
                </c:pt>
                <c:pt idx="102">
                  <c:v>0</c:v>
                </c:pt>
                <c:pt idx="103">
                  <c:v>-8.9906603193697858</c:v>
                </c:pt>
                <c:pt idx="104">
                  <c:v>22.648032351271631</c:v>
                </c:pt>
                <c:pt idx="105">
                  <c:v>12</c:v>
                </c:pt>
                <c:pt idx="106">
                  <c:v>-12</c:v>
                </c:pt>
                <c:pt idx="107">
                  <c:v>-10.52880704336475</c:v>
                </c:pt>
                <c:pt idx="108">
                  <c:v>-25</c:v>
                </c:pt>
                <c:pt idx="109">
                  <c:v>-19.434156555154736</c:v>
                </c:pt>
                <c:pt idx="110">
                  <c:v>20.32293673094285</c:v>
                </c:pt>
                <c:pt idx="111">
                  <c:v>12</c:v>
                </c:pt>
                <c:pt idx="112">
                  <c:v>60</c:v>
                </c:pt>
                <c:pt idx="113">
                  <c:v>59.977621104822219</c:v>
                </c:pt>
                <c:pt idx="114">
                  <c:v>59.910498330815244</c:v>
                </c:pt>
                <c:pt idx="115">
                  <c:v>59.7986734039103</c:v>
                </c:pt>
                <c:pt idx="116">
                  <c:v>59.642215838505066</c:v>
                </c:pt>
                <c:pt idx="117">
                  <c:v>59.441222894251112</c:v>
                </c:pt>
                <c:pt idx="118">
                  <c:v>59.195819515593755</c:v>
                </c:pt>
                <c:pt idx="119">
                  <c:v>58.906158254102053</c:v>
                </c:pt>
                <c:pt idx="120">
                  <c:v>58.572419173637371</c:v>
                </c:pt>
                <c:pt idx="121">
                  <c:v>58.19480973841911</c:v>
                </c:pt>
                <c:pt idx="122">
                  <c:v>57.77356468405749</c:v>
                </c:pt>
                <c:pt idx="123">
                  <c:v>57.308945871633512</c:v>
                </c:pt>
                <c:pt idx="124">
                  <c:v>56.801242124916655</c:v>
                </c:pt>
                <c:pt idx="125">
                  <c:v>56.250769050821617</c:v>
                </c:pt>
                <c:pt idx="126">
                  <c:v>55.657868843215709</c:v>
                </c:pt>
                <c:pt idx="127">
                  <c:v>55.022910070198847</c:v>
                </c:pt>
                <c:pt idx="128">
                  <c:v>54.346287444988349</c:v>
                </c:pt>
                <c:pt idx="129">
                  <c:v>53.628421580551006</c:v>
                </c:pt>
                <c:pt idx="130">
                  <c:v>52.869758728134926</c:v>
                </c:pt>
                <c:pt idx="131">
                  <c:v>52.070770499863713</c:v>
                </c:pt>
                <c:pt idx="132">
                  <c:v>51.231953575565385</c:v>
                </c:pt>
                <c:pt idx="133">
                  <c:v>50.353829394018334</c:v>
                </c:pt>
                <c:pt idx="134">
                  <c:v>49.436943828806236</c:v>
                </c:pt>
                <c:pt idx="135">
                  <c:v>48.481866848983351</c:v>
                </c:pt>
                <c:pt idx="136">
                  <c:v>47.489192164761299</c:v>
                </c:pt>
                <c:pt idx="137">
                  <c:v>46.45953685843741</c:v>
                </c:pt>
                <c:pt idx="138">
                  <c:v>45.39354100079418</c:v>
                </c:pt>
                <c:pt idx="139">
                  <c:v>44.29186725320821</c:v>
                </c:pt>
                <c:pt idx="140">
                  <c:v>43.155200455716098</c:v>
                </c:pt>
                <c:pt idx="141">
                  <c:v>41.984247201293201</c:v>
                </c:pt>
                <c:pt idx="142">
                  <c:v>40.779735396610057</c:v>
                </c:pt>
                <c:pt idx="143">
                  <c:v>39.542413809539362</c:v>
                </c:pt>
                <c:pt idx="144">
                  <c:v>38.27305160369496</c:v>
                </c:pt>
                <c:pt idx="145">
                  <c:v>36.97243786029204</c:v>
                </c:pt>
                <c:pt idx="146">
                  <c:v>35.641381087625909</c:v>
                </c:pt>
                <c:pt idx="147">
                  <c:v>34.280708718474088</c:v>
                </c:pt>
                <c:pt idx="148">
                  <c:v>32.891266595734379</c:v>
                </c:pt>
                <c:pt idx="149">
                  <c:v>31.473918446618441</c:v>
                </c:pt>
                <c:pt idx="150">
                  <c:v>30.029545345727961</c:v>
                </c:pt>
                <c:pt idx="151">
                  <c:v>28.559045167346859</c:v>
                </c:pt>
                <c:pt idx="152">
                  <c:v>27.063332027290457</c:v>
                </c:pt>
                <c:pt idx="153">
                  <c:v>25.54333571465812</c:v>
                </c:pt>
                <c:pt idx="154">
                  <c:v>24.00000111384292</c:v>
                </c:pt>
                <c:pt idx="155">
                  <c:v>22.434287617157558</c:v>
                </c:pt>
                <c:pt idx="156">
                  <c:v>20.847168528441451</c:v>
                </c:pt>
                <c:pt idx="157">
                  <c:v>19.239630458020226</c:v>
                </c:pt>
                <c:pt idx="158">
                  <c:v>17.612672709393095</c:v>
                </c:pt>
                <c:pt idx="159">
                  <c:v>15.967306658029923</c:v>
                </c:pt>
                <c:pt idx="160">
                  <c:v>14.304555122663807</c:v>
                </c:pt>
                <c:pt idx="161">
                  <c:v>12.625451729470267</c:v>
                </c:pt>
                <c:pt idx="162">
                  <c:v>10.931040269527855</c:v>
                </c:pt>
                <c:pt idx="163">
                  <c:v>9.2223740499601874</c:v>
                </c:pt>
                <c:pt idx="164">
                  <c:v>7.50051523916229</c:v>
                </c:pt>
                <c:pt idx="165">
                  <c:v>5.7665342065185783</c:v>
                </c:pt>
                <c:pt idx="166">
                  <c:v>4.0215088570226385</c:v>
                </c:pt>
                <c:pt idx="167">
                  <c:v>2.2665239612127621</c:v>
                </c:pt>
                <c:pt idx="168">
                  <c:v>0.50267048083958699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2.8515696384297637</c:v>
                </c:pt>
                <c:pt idx="177">
                  <c:v>1.9753111994832171</c:v>
                </c:pt>
                <c:pt idx="178">
                  <c:v>0.92563316887902047</c:v>
                </c:pt>
                <c:pt idx="179">
                  <c:v>-0.21601377837397351</c:v>
                </c:pt>
                <c:pt idx="180">
                  <c:v>-1.4157664759720063</c:v>
                </c:pt>
                <c:pt idx="181">
                  <c:v>-2.6556123420946562</c:v>
                </c:pt>
                <c:pt idx="182">
                  <c:v>-3.9245681685754725</c:v>
                </c:pt>
                <c:pt idx="183">
                  <c:v>-5.2153144569239593</c:v>
                </c:pt>
                <c:pt idx="184">
                  <c:v>-6.5226550874579061</c:v>
                </c:pt>
                <c:pt idx="185">
                  <c:v>-7.8427215966531474</c:v>
                </c:pt>
                <c:pt idx="186">
                  <c:v>-9.1725245020797033</c:v>
                </c:pt>
                <c:pt idx="187">
                  <c:v>-10.509682805443534</c:v>
                </c:pt>
                <c:pt idx="188">
                  <c:v>-11.852251962601201</c:v>
                </c:pt>
                <c:pt idx="189">
                  <c:v>-13.198609507350314</c:v>
                </c:pt>
                <c:pt idx="190">
                  <c:v>-14.547376030315508</c:v>
                </c:pt>
                <c:pt idx="191">
                  <c:v>-15.897358663204308</c:v>
                </c:pt>
                <c:pt idx="192">
                  <c:v>-17.247509325359044</c:v>
                </c:pt>
                <c:pt idx="193">
                  <c:v>-18.596892885306229</c:v>
                </c:pt>
                <c:pt idx="194">
                  <c:v>-19.944662101015112</c:v>
                </c:pt>
                <c:pt idx="195">
                  <c:v>-21.290037250525245</c:v>
                </c:pt>
                <c:pt idx="196">
                  <c:v>-22.632289027455251</c:v>
                </c:pt>
                <c:pt idx="197">
                  <c:v>-23.97072370792359</c:v>
                </c:pt>
                <c:pt idx="198">
                  <c:v>-25.30466988534544</c:v>
                </c:pt>
                <c:pt idx="199">
                  <c:v>-26.633466270137497</c:v>
                </c:pt>
                <c:pt idx="200">
                  <c:v>-27.956450194805811</c:v>
                </c:pt>
                <c:pt idx="201">
                  <c:v>-29.272946571435931</c:v>
                </c:pt>
                <c:pt idx="202">
                  <c:v>-30.582257131227855</c:v>
                </c:pt>
                <c:pt idx="203">
                  <c:v>-31.883649842884822</c:v>
                </c:pt>
                <c:pt idx="204">
                  <c:v>-33.176348463939625</c:v>
                </c:pt>
                <c:pt idx="205">
                  <c:v>-34.459522230103559</c:v>
                </c:pt>
                <c:pt idx="206">
                  <c:v>-35.732275734705851</c:v>
                </c:pt>
                <c:pt idx="207">
                  <c:v>-36.99363909448315</c:v>
                </c:pt>
                <c:pt idx="208">
                  <c:v>-38.242558539797471</c:v>
                </c:pt>
                <c:pt idx="209">
                  <c:v>-39.477887606536221</c:v>
                </c:pt>
                <c:pt idx="210">
                  <c:v>-40.698379142616446</c:v>
                </c:pt>
                <c:pt idx="211">
                  <c:v>-41.902678372794895</c:v>
                </c:pt>
                <c:pt idx="212">
                  <c:v>-43.089317289558807</c:v>
                </c:pt>
                <c:pt idx="213">
                  <c:v>-44.25671065311036</c:v>
                </c:pt>
                <c:pt idx="214">
                  <c:v>-45.403153887555582</c:v>
                </c:pt>
                <c:pt idx="215">
                  <c:v>-46.526823151096757</c:v>
                </c:pt>
                <c:pt idx="216">
                  <c:v>-47.625777833297384</c:v>
                </c:pt>
                <c:pt idx="217">
                  <c:v>-48.697965690882285</c:v>
                </c:pt>
                <c:pt idx="218">
                  <c:v>-49.741230774414589</c:v>
                </c:pt>
                <c:pt idx="219">
                  <c:v>-50.753324222038465</c:v>
                </c:pt>
                <c:pt idx="220">
                  <c:v>-51.731917905092047</c:v>
                </c:pt>
                <c:pt idx="221">
                  <c:v>-52.674620807053785</c:v>
                </c:pt>
                <c:pt idx="222">
                  <c:v>-53.578997906712083</c:v>
                </c:pt>
                <c:pt idx="223">
                  <c:v>-54.442591224662408</c:v>
                </c:pt>
                <c:pt idx="224">
                  <c:v>-55.262942586197084</c:v>
                </c:pt>
                <c:pt idx="225">
                  <c:v>-56.037617560739605</c:v>
                </c:pt>
                <c:pt idx="226">
                  <c:v>-56.764229965340405</c:v>
                </c:pt>
                <c:pt idx="227">
                  <c:v>-57.440466273599569</c:v>
                </c:pt>
                <c:pt idx="228">
                  <c:v>-58.064109256288212</c:v>
                </c:pt>
                <c:pt idx="229">
                  <c:v>-58.633060198267984</c:v>
                </c:pt>
                <c:pt idx="230">
                  <c:v>-59.145359087855262</c:v>
                </c:pt>
                <c:pt idx="231">
                  <c:v>-59.599202256688159</c:v>
                </c:pt>
                <c:pt idx="232">
                  <c:v>-59.992957055132891</c:v>
                </c:pt>
                <c:pt idx="233">
                  <c:v>-60.325173273076174</c:v>
                </c:pt>
                <c:pt idx="234">
                  <c:v>-60.594591150128096</c:v>
                </c:pt>
                <c:pt idx="235">
                  <c:v>-60.800145953957085</c:v>
                </c:pt>
                <c:pt idx="236">
                  <c:v>-60.940969232303956</c:v>
                </c:pt>
                <c:pt idx="237">
                  <c:v>-61.016386955989681</c:v>
                </c:pt>
                <c:pt idx="238">
                  <c:v>-61.025914861512376</c:v>
                </c:pt>
                <c:pt idx="239">
                  <c:v>-60.969251369261414</c:v>
                </c:pt>
              </c:numCache>
            </c:numRef>
          </c:xVal>
          <c:yVal>
            <c:numRef>
              <c:f>CALC60!$CM$6:$CM$581</c:f>
              <c:numCache>
                <c:formatCode>General</c:formatCode>
                <c:ptCount val="576"/>
              </c:numCache>
            </c:numRef>
          </c:yVal>
          <c:smooth val="0"/>
        </c:ser>
        <c:ser>
          <c:idx val="40"/>
          <c:order val="40"/>
          <c:tx>
            <c:strRef>
              <c:f>CALC60!$CN$5</c:f>
              <c:strCache>
                <c:ptCount val="1"/>
                <c:pt idx="0">
                  <c:v>R39</c:v>
                </c:pt>
              </c:strCache>
            </c:strRef>
          </c:tx>
          <c:spPr>
            <a:ln w="28575">
              <a:noFill/>
            </a:ln>
          </c:spPr>
          <c:xVal>
            <c:numRef>
              <c:f>CALC60!$AY$6:$AY$581</c:f>
              <c:numCache>
                <c:formatCode>General</c:formatCode>
                <c:ptCount val="576"/>
                <c:pt idx="0">
                  <c:v>-19.833506546880365</c:v>
                </c:pt>
                <c:pt idx="1">
                  <c:v>-18.245852614565919</c:v>
                </c:pt>
                <c:pt idx="2">
                  <c:v>-16.629666681765414</c:v>
                </c:pt>
                <c:pt idx="3">
                  <c:v>-14.98231154257417</c:v>
                </c:pt>
                <c:pt idx="4">
                  <c:v>-13.301143585556035</c:v>
                </c:pt>
                <c:pt idx="5">
                  <c:v>-11.583569246398675</c:v>
                </c:pt>
                <c:pt idx="6">
                  <c:v>-9.8270793278644781</c:v>
                </c:pt>
                <c:pt idx="7">
                  <c:v>-8.029252658232803</c:v>
                </c:pt>
                <c:pt idx="8">
                  <c:v>-6.1877185053343773</c:v>
                </c:pt>
                <c:pt idx="9">
                  <c:v>-4.3000630515963358</c:v>
                </c:pt>
                <c:pt idx="10">
                  <c:v>-2.3636564525099644</c:v>
                </c:pt>
                <c:pt idx="11">
                  <c:v>-0.37535794962416702</c:v>
                </c:pt>
                <c:pt idx="12">
                  <c:v>-3.0678010204149508</c:v>
                </c:pt>
                <c:pt idx="13">
                  <c:v>5.8156608222448263</c:v>
                </c:pt>
                <c:pt idx="14">
                  <c:v>-8.9906603193697858</c:v>
                </c:pt>
                <c:pt idx="15">
                  <c:v>-19.434156555154736</c:v>
                </c:pt>
                <c:pt idx="16">
                  <c:v>-12</c:v>
                </c:pt>
                <c:pt idx="17">
                  <c:v>-29.167117021908272</c:v>
                </c:pt>
                <c:pt idx="18">
                  <c:v>-14</c:v>
                </c:pt>
                <c:pt idx="19">
                  <c:v>-19.833506546880365</c:v>
                </c:pt>
                <c:pt idx="20">
                  <c:v>1.5130248501190131</c:v>
                </c:pt>
                <c:pt idx="21">
                  <c:v>12</c:v>
                </c:pt>
                <c:pt idx="22">
                  <c:v>-12</c:v>
                </c:pt>
                <c:pt idx="23">
                  <c:v>-28.772550131225248</c:v>
                </c:pt>
                <c:pt idx="24">
                  <c:v>-11.666666666666666</c:v>
                </c:pt>
                <c:pt idx="25">
                  <c:v>-18.245852614565919</c:v>
                </c:pt>
                <c:pt idx="26">
                  <c:v>4.3925078710812571</c:v>
                </c:pt>
                <c:pt idx="27">
                  <c:v>12</c:v>
                </c:pt>
                <c:pt idx="28">
                  <c:v>-12</c:v>
                </c:pt>
                <c:pt idx="29">
                  <c:v>-28.303800039278563</c:v>
                </c:pt>
                <c:pt idx="30">
                  <c:v>-9.3333333333333321</c:v>
                </c:pt>
                <c:pt idx="31">
                  <c:v>-16.629666681765414</c:v>
                </c:pt>
                <c:pt idx="32">
                  <c:v>6.4527131206909987</c:v>
                </c:pt>
                <c:pt idx="33">
                  <c:v>12</c:v>
                </c:pt>
                <c:pt idx="34">
                  <c:v>-12</c:v>
                </c:pt>
                <c:pt idx="35">
                  <c:v>-27.754010010716058</c:v>
                </c:pt>
                <c:pt idx="36">
                  <c:v>-6.9999999999999982</c:v>
                </c:pt>
                <c:pt idx="37">
                  <c:v>-14.98231154257417</c:v>
                </c:pt>
                <c:pt idx="38">
                  <c:v>8.2375052570320868</c:v>
                </c:pt>
                <c:pt idx="39">
                  <c:v>12</c:v>
                </c:pt>
                <c:pt idx="40">
                  <c:v>-12</c:v>
                </c:pt>
                <c:pt idx="41">
                  <c:v>-27.116306655803694</c:v>
                </c:pt>
                <c:pt idx="42">
                  <c:v>-4.6666666666666643</c:v>
                </c:pt>
                <c:pt idx="43">
                  <c:v>-13.301143585556035</c:v>
                </c:pt>
                <c:pt idx="44">
                  <c:v>9.8664661885771885</c:v>
                </c:pt>
                <c:pt idx="45">
                  <c:v>12</c:v>
                </c:pt>
                <c:pt idx="46">
                  <c:v>-12</c:v>
                </c:pt>
                <c:pt idx="47">
                  <c:v>-26.383946707329393</c:v>
                </c:pt>
                <c:pt idx="48">
                  <c:v>-2.3333333333333308</c:v>
                </c:pt>
                <c:pt idx="49">
                  <c:v>-11.583569246398675</c:v>
                </c:pt>
                <c:pt idx="50">
                  <c:v>11.388844623449907</c:v>
                </c:pt>
                <c:pt idx="51">
                  <c:v>12</c:v>
                </c:pt>
                <c:pt idx="52">
                  <c:v>-12</c:v>
                </c:pt>
                <c:pt idx="53">
                  <c:v>-25.550406252475348</c:v>
                </c:pt>
                <c:pt idx="54">
                  <c:v>0</c:v>
                </c:pt>
                <c:pt idx="55">
                  <c:v>-9.8270793278644781</c:v>
                </c:pt>
                <c:pt idx="56">
                  <c:v>12.829698097369761</c:v>
                </c:pt>
                <c:pt idx="57">
                  <c:v>12</c:v>
                </c:pt>
                <c:pt idx="58">
                  <c:v>-12</c:v>
                </c:pt>
                <c:pt idx="59">
                  <c:v>-24.609390244767855</c:v>
                </c:pt>
                <c:pt idx="60">
                  <c:v>2.3333333333333335</c:v>
                </c:pt>
                <c:pt idx="61">
                  <c:v>-8.029252658232803</c:v>
                </c:pt>
                <c:pt idx="62">
                  <c:v>14.203132463376605</c:v>
                </c:pt>
                <c:pt idx="63">
                  <c:v>12</c:v>
                </c:pt>
                <c:pt idx="64">
                  <c:v>-12</c:v>
                </c:pt>
                <c:pt idx="65">
                  <c:v>-23.554734780566797</c:v>
                </c:pt>
                <c:pt idx="66">
                  <c:v>4.666666666666667</c:v>
                </c:pt>
                <c:pt idx="67">
                  <c:v>-6.1877185053343773</c:v>
                </c:pt>
                <c:pt idx="68">
                  <c:v>15.517506829265256</c:v>
                </c:pt>
                <c:pt idx="69">
                  <c:v>12</c:v>
                </c:pt>
                <c:pt idx="70">
                  <c:v>-12</c:v>
                </c:pt>
                <c:pt idx="71">
                  <c:v>-22.380163934182676</c:v>
                </c:pt>
                <c:pt idx="72">
                  <c:v>7</c:v>
                </c:pt>
                <c:pt idx="73">
                  <c:v>-4.3000630515963358</c:v>
                </c:pt>
                <c:pt idx="74">
                  <c:v>16.777941702150098</c:v>
                </c:pt>
                <c:pt idx="75">
                  <c:v>12</c:v>
                </c:pt>
                <c:pt idx="76">
                  <c:v>-12</c:v>
                </c:pt>
                <c:pt idx="77">
                  <c:v>-21.078840109892809</c:v>
                </c:pt>
                <c:pt idx="78">
                  <c:v>9.3333333333333339</c:v>
                </c:pt>
                <c:pt idx="79">
                  <c:v>-2.3636564525099644</c:v>
                </c:pt>
                <c:pt idx="80">
                  <c:v>17.987756355580007</c:v>
                </c:pt>
                <c:pt idx="81">
                  <c:v>12</c:v>
                </c:pt>
                <c:pt idx="82">
                  <c:v>-12</c:v>
                </c:pt>
                <c:pt idx="83">
                  <c:v>-19.642597335724307</c:v>
                </c:pt>
                <c:pt idx="84">
                  <c:v>11.666666666666668</c:v>
                </c:pt>
                <c:pt idx="85">
                  <c:v>-0.37535794962416702</c:v>
                </c:pt>
                <c:pt idx="86">
                  <c:v>19.149459663035739</c:v>
                </c:pt>
                <c:pt idx="87">
                  <c:v>12</c:v>
                </c:pt>
                <c:pt idx="88">
                  <c:v>-12</c:v>
                </c:pt>
                <c:pt idx="89">
                  <c:v>-30.376282653093735</c:v>
                </c:pt>
                <c:pt idx="90">
                  <c:v>14.000000000000002</c:v>
                </c:pt>
                <c:pt idx="91">
                  <c:v>-3.0678010204149508</c:v>
                </c:pt>
                <c:pt idx="92">
                  <c:v>26.896999319700733</c:v>
                </c:pt>
                <c:pt idx="93">
                  <c:v>12</c:v>
                </c:pt>
                <c:pt idx="94">
                  <c:v>-12</c:v>
                </c:pt>
                <c:pt idx="95">
                  <c:v>-24.879281862192261</c:v>
                </c:pt>
                <c:pt idx="96">
                  <c:v>25</c:v>
                </c:pt>
                <c:pt idx="97">
                  <c:v>5.8156608222448263</c:v>
                </c:pt>
                <c:pt idx="98">
                  <c:v>31.34962606454722</c:v>
                </c:pt>
                <c:pt idx="99">
                  <c:v>12</c:v>
                </c:pt>
                <c:pt idx="100">
                  <c:v>-12</c:v>
                </c:pt>
                <c:pt idx="101">
                  <c:v>-23.375716830330454</c:v>
                </c:pt>
                <c:pt idx="102">
                  <c:v>0</c:v>
                </c:pt>
                <c:pt idx="103">
                  <c:v>-8.9906603193697858</c:v>
                </c:pt>
                <c:pt idx="104">
                  <c:v>22.648032351271631</c:v>
                </c:pt>
                <c:pt idx="105">
                  <c:v>12</c:v>
                </c:pt>
                <c:pt idx="106">
                  <c:v>-12</c:v>
                </c:pt>
                <c:pt idx="107">
                  <c:v>-10.52880704336475</c:v>
                </c:pt>
                <c:pt idx="108">
                  <c:v>-25</c:v>
                </c:pt>
                <c:pt idx="109">
                  <c:v>-19.434156555154736</c:v>
                </c:pt>
                <c:pt idx="110">
                  <c:v>20.32293673094285</c:v>
                </c:pt>
                <c:pt idx="111">
                  <c:v>12</c:v>
                </c:pt>
                <c:pt idx="112">
                  <c:v>60</c:v>
                </c:pt>
                <c:pt idx="113">
                  <c:v>59.977621104822219</c:v>
                </c:pt>
                <c:pt idx="114">
                  <c:v>59.910498330815244</c:v>
                </c:pt>
                <c:pt idx="115">
                  <c:v>59.7986734039103</c:v>
                </c:pt>
                <c:pt idx="116">
                  <c:v>59.642215838505066</c:v>
                </c:pt>
                <c:pt idx="117">
                  <c:v>59.441222894251112</c:v>
                </c:pt>
                <c:pt idx="118">
                  <c:v>59.195819515593755</c:v>
                </c:pt>
                <c:pt idx="119">
                  <c:v>58.906158254102053</c:v>
                </c:pt>
                <c:pt idx="120">
                  <c:v>58.572419173637371</c:v>
                </c:pt>
                <c:pt idx="121">
                  <c:v>58.19480973841911</c:v>
                </c:pt>
                <c:pt idx="122">
                  <c:v>57.77356468405749</c:v>
                </c:pt>
                <c:pt idx="123">
                  <c:v>57.308945871633512</c:v>
                </c:pt>
                <c:pt idx="124">
                  <c:v>56.801242124916655</c:v>
                </c:pt>
                <c:pt idx="125">
                  <c:v>56.250769050821617</c:v>
                </c:pt>
                <c:pt idx="126">
                  <c:v>55.657868843215709</c:v>
                </c:pt>
                <c:pt idx="127">
                  <c:v>55.022910070198847</c:v>
                </c:pt>
                <c:pt idx="128">
                  <c:v>54.346287444988349</c:v>
                </c:pt>
                <c:pt idx="129">
                  <c:v>53.628421580551006</c:v>
                </c:pt>
                <c:pt idx="130">
                  <c:v>52.869758728134926</c:v>
                </c:pt>
                <c:pt idx="131">
                  <c:v>52.070770499863713</c:v>
                </c:pt>
                <c:pt idx="132">
                  <c:v>51.231953575565385</c:v>
                </c:pt>
                <c:pt idx="133">
                  <c:v>50.353829394018334</c:v>
                </c:pt>
                <c:pt idx="134">
                  <c:v>49.436943828806236</c:v>
                </c:pt>
                <c:pt idx="135">
                  <c:v>48.481866848983351</c:v>
                </c:pt>
                <c:pt idx="136">
                  <c:v>47.489192164761299</c:v>
                </c:pt>
                <c:pt idx="137">
                  <c:v>46.45953685843741</c:v>
                </c:pt>
                <c:pt idx="138">
                  <c:v>45.39354100079418</c:v>
                </c:pt>
                <c:pt idx="139">
                  <c:v>44.29186725320821</c:v>
                </c:pt>
                <c:pt idx="140">
                  <c:v>43.155200455716098</c:v>
                </c:pt>
                <c:pt idx="141">
                  <c:v>41.984247201293201</c:v>
                </c:pt>
                <c:pt idx="142">
                  <c:v>40.779735396610057</c:v>
                </c:pt>
                <c:pt idx="143">
                  <c:v>39.542413809539362</c:v>
                </c:pt>
                <c:pt idx="144">
                  <c:v>38.27305160369496</c:v>
                </c:pt>
                <c:pt idx="145">
                  <c:v>36.97243786029204</c:v>
                </c:pt>
                <c:pt idx="146">
                  <c:v>35.641381087625909</c:v>
                </c:pt>
                <c:pt idx="147">
                  <c:v>34.280708718474088</c:v>
                </c:pt>
                <c:pt idx="148">
                  <c:v>32.891266595734379</c:v>
                </c:pt>
                <c:pt idx="149">
                  <c:v>31.473918446618441</c:v>
                </c:pt>
                <c:pt idx="150">
                  <c:v>30.029545345727961</c:v>
                </c:pt>
                <c:pt idx="151">
                  <c:v>28.559045167346859</c:v>
                </c:pt>
                <c:pt idx="152">
                  <c:v>27.063332027290457</c:v>
                </c:pt>
                <c:pt idx="153">
                  <c:v>25.54333571465812</c:v>
                </c:pt>
                <c:pt idx="154">
                  <c:v>24.00000111384292</c:v>
                </c:pt>
                <c:pt idx="155">
                  <c:v>22.434287617157558</c:v>
                </c:pt>
                <c:pt idx="156">
                  <c:v>20.847168528441451</c:v>
                </c:pt>
                <c:pt idx="157">
                  <c:v>19.239630458020226</c:v>
                </c:pt>
                <c:pt idx="158">
                  <c:v>17.612672709393095</c:v>
                </c:pt>
                <c:pt idx="159">
                  <c:v>15.967306658029923</c:v>
                </c:pt>
                <c:pt idx="160">
                  <c:v>14.304555122663807</c:v>
                </c:pt>
                <c:pt idx="161">
                  <c:v>12.625451729470267</c:v>
                </c:pt>
                <c:pt idx="162">
                  <c:v>10.931040269527855</c:v>
                </c:pt>
                <c:pt idx="163">
                  <c:v>9.2223740499601874</c:v>
                </c:pt>
                <c:pt idx="164">
                  <c:v>7.50051523916229</c:v>
                </c:pt>
                <c:pt idx="165">
                  <c:v>5.7665342065185783</c:v>
                </c:pt>
                <c:pt idx="166">
                  <c:v>4.0215088570226385</c:v>
                </c:pt>
                <c:pt idx="167">
                  <c:v>2.2665239612127621</c:v>
                </c:pt>
                <c:pt idx="168">
                  <c:v>0.50267048083958699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2.8515696384297637</c:v>
                </c:pt>
                <c:pt idx="177">
                  <c:v>1.9753111994832171</c:v>
                </c:pt>
                <c:pt idx="178">
                  <c:v>0.92563316887902047</c:v>
                </c:pt>
                <c:pt idx="179">
                  <c:v>-0.21601377837397351</c:v>
                </c:pt>
                <c:pt idx="180">
                  <c:v>-1.4157664759720063</c:v>
                </c:pt>
                <c:pt idx="181">
                  <c:v>-2.6556123420946562</c:v>
                </c:pt>
                <c:pt idx="182">
                  <c:v>-3.9245681685754725</c:v>
                </c:pt>
                <c:pt idx="183">
                  <c:v>-5.2153144569239593</c:v>
                </c:pt>
                <c:pt idx="184">
                  <c:v>-6.5226550874579061</c:v>
                </c:pt>
                <c:pt idx="185">
                  <c:v>-7.8427215966531474</c:v>
                </c:pt>
                <c:pt idx="186">
                  <c:v>-9.1725245020797033</c:v>
                </c:pt>
                <c:pt idx="187">
                  <c:v>-10.509682805443534</c:v>
                </c:pt>
                <c:pt idx="188">
                  <c:v>-11.852251962601201</c:v>
                </c:pt>
                <c:pt idx="189">
                  <c:v>-13.198609507350314</c:v>
                </c:pt>
                <c:pt idx="190">
                  <c:v>-14.547376030315508</c:v>
                </c:pt>
                <c:pt idx="191">
                  <c:v>-15.897358663204308</c:v>
                </c:pt>
                <c:pt idx="192">
                  <c:v>-17.247509325359044</c:v>
                </c:pt>
                <c:pt idx="193">
                  <c:v>-18.596892885306229</c:v>
                </c:pt>
                <c:pt idx="194">
                  <c:v>-19.944662101015112</c:v>
                </c:pt>
                <c:pt idx="195">
                  <c:v>-21.290037250525245</c:v>
                </c:pt>
                <c:pt idx="196">
                  <c:v>-22.632289027455251</c:v>
                </c:pt>
                <c:pt idx="197">
                  <c:v>-23.97072370792359</c:v>
                </c:pt>
                <c:pt idx="198">
                  <c:v>-25.30466988534544</c:v>
                </c:pt>
                <c:pt idx="199">
                  <c:v>-26.633466270137497</c:v>
                </c:pt>
                <c:pt idx="200">
                  <c:v>-27.956450194805811</c:v>
                </c:pt>
                <c:pt idx="201">
                  <c:v>-29.272946571435931</c:v>
                </c:pt>
                <c:pt idx="202">
                  <c:v>-30.582257131227855</c:v>
                </c:pt>
                <c:pt idx="203">
                  <c:v>-31.883649842884822</c:v>
                </c:pt>
                <c:pt idx="204">
                  <c:v>-33.176348463939625</c:v>
                </c:pt>
                <c:pt idx="205">
                  <c:v>-34.459522230103559</c:v>
                </c:pt>
                <c:pt idx="206">
                  <c:v>-35.732275734705851</c:v>
                </c:pt>
                <c:pt idx="207">
                  <c:v>-36.99363909448315</c:v>
                </c:pt>
                <c:pt idx="208">
                  <c:v>-38.242558539797471</c:v>
                </c:pt>
                <c:pt idx="209">
                  <c:v>-39.477887606536221</c:v>
                </c:pt>
                <c:pt idx="210">
                  <c:v>-40.698379142616446</c:v>
                </c:pt>
                <c:pt idx="211">
                  <c:v>-41.902678372794895</c:v>
                </c:pt>
                <c:pt idx="212">
                  <c:v>-43.089317289558807</c:v>
                </c:pt>
                <c:pt idx="213">
                  <c:v>-44.25671065311036</c:v>
                </c:pt>
                <c:pt idx="214">
                  <c:v>-45.403153887555582</c:v>
                </c:pt>
                <c:pt idx="215">
                  <c:v>-46.526823151096757</c:v>
                </c:pt>
                <c:pt idx="216">
                  <c:v>-47.625777833297384</c:v>
                </c:pt>
                <c:pt idx="217">
                  <c:v>-48.697965690882285</c:v>
                </c:pt>
                <c:pt idx="218">
                  <c:v>-49.741230774414589</c:v>
                </c:pt>
                <c:pt idx="219">
                  <c:v>-50.753324222038465</c:v>
                </c:pt>
                <c:pt idx="220">
                  <c:v>-51.731917905092047</c:v>
                </c:pt>
                <c:pt idx="221">
                  <c:v>-52.674620807053785</c:v>
                </c:pt>
                <c:pt idx="222">
                  <c:v>-53.578997906712083</c:v>
                </c:pt>
                <c:pt idx="223">
                  <c:v>-54.442591224662408</c:v>
                </c:pt>
                <c:pt idx="224">
                  <c:v>-55.262942586197084</c:v>
                </c:pt>
                <c:pt idx="225">
                  <c:v>-56.037617560739605</c:v>
                </c:pt>
                <c:pt idx="226">
                  <c:v>-56.764229965340405</c:v>
                </c:pt>
                <c:pt idx="227">
                  <c:v>-57.440466273599569</c:v>
                </c:pt>
                <c:pt idx="228">
                  <c:v>-58.064109256288212</c:v>
                </c:pt>
                <c:pt idx="229">
                  <c:v>-58.633060198267984</c:v>
                </c:pt>
                <c:pt idx="230">
                  <c:v>-59.145359087855262</c:v>
                </c:pt>
                <c:pt idx="231">
                  <c:v>-59.599202256688159</c:v>
                </c:pt>
                <c:pt idx="232">
                  <c:v>-59.992957055132891</c:v>
                </c:pt>
                <c:pt idx="233">
                  <c:v>-60.325173273076174</c:v>
                </c:pt>
                <c:pt idx="234">
                  <c:v>-60.594591150128096</c:v>
                </c:pt>
                <c:pt idx="235">
                  <c:v>-60.800145953957085</c:v>
                </c:pt>
                <c:pt idx="236">
                  <c:v>-60.940969232303956</c:v>
                </c:pt>
                <c:pt idx="237">
                  <c:v>-61.016386955989681</c:v>
                </c:pt>
                <c:pt idx="238">
                  <c:v>-61.025914861512376</c:v>
                </c:pt>
                <c:pt idx="239">
                  <c:v>-60.969251369261414</c:v>
                </c:pt>
              </c:numCache>
            </c:numRef>
          </c:xVal>
          <c:yVal>
            <c:numRef>
              <c:f>CALC60!$CN$6:$CN$581</c:f>
              <c:numCache>
                <c:formatCode>General</c:formatCode>
                <c:ptCount val="576"/>
              </c:numCache>
            </c:numRef>
          </c:yVal>
          <c:smooth val="0"/>
        </c:ser>
        <c:ser>
          <c:idx val="41"/>
          <c:order val="41"/>
          <c:tx>
            <c:strRef>
              <c:f>CALC60!$CO$5</c:f>
              <c:strCache>
                <c:ptCount val="1"/>
                <c:pt idx="0">
                  <c:v>R40</c:v>
                </c:pt>
              </c:strCache>
            </c:strRef>
          </c:tx>
          <c:spPr>
            <a:ln w="28575">
              <a:noFill/>
            </a:ln>
          </c:spPr>
          <c:xVal>
            <c:numRef>
              <c:f>CALC60!$AY$6:$AY$581</c:f>
              <c:numCache>
                <c:formatCode>General</c:formatCode>
                <c:ptCount val="576"/>
                <c:pt idx="0">
                  <c:v>-19.833506546880365</c:v>
                </c:pt>
                <c:pt idx="1">
                  <c:v>-18.245852614565919</c:v>
                </c:pt>
                <c:pt idx="2">
                  <c:v>-16.629666681765414</c:v>
                </c:pt>
                <c:pt idx="3">
                  <c:v>-14.98231154257417</c:v>
                </c:pt>
                <c:pt idx="4">
                  <c:v>-13.301143585556035</c:v>
                </c:pt>
                <c:pt idx="5">
                  <c:v>-11.583569246398675</c:v>
                </c:pt>
                <c:pt idx="6">
                  <c:v>-9.8270793278644781</c:v>
                </c:pt>
                <c:pt idx="7">
                  <c:v>-8.029252658232803</c:v>
                </c:pt>
                <c:pt idx="8">
                  <c:v>-6.1877185053343773</c:v>
                </c:pt>
                <c:pt idx="9">
                  <c:v>-4.3000630515963358</c:v>
                </c:pt>
                <c:pt idx="10">
                  <c:v>-2.3636564525099644</c:v>
                </c:pt>
                <c:pt idx="11">
                  <c:v>-0.37535794962416702</c:v>
                </c:pt>
                <c:pt idx="12">
                  <c:v>-3.0678010204149508</c:v>
                </c:pt>
                <c:pt idx="13">
                  <c:v>5.8156608222448263</c:v>
                </c:pt>
                <c:pt idx="14">
                  <c:v>-8.9906603193697858</c:v>
                </c:pt>
                <c:pt idx="15">
                  <c:v>-19.434156555154736</c:v>
                </c:pt>
                <c:pt idx="16">
                  <c:v>-12</c:v>
                </c:pt>
                <c:pt idx="17">
                  <c:v>-29.167117021908272</c:v>
                </c:pt>
                <c:pt idx="18">
                  <c:v>-14</c:v>
                </c:pt>
                <c:pt idx="19">
                  <c:v>-19.833506546880365</c:v>
                </c:pt>
                <c:pt idx="20">
                  <c:v>1.5130248501190131</c:v>
                </c:pt>
                <c:pt idx="21">
                  <c:v>12</c:v>
                </c:pt>
                <c:pt idx="22">
                  <c:v>-12</c:v>
                </c:pt>
                <c:pt idx="23">
                  <c:v>-28.772550131225248</c:v>
                </c:pt>
                <c:pt idx="24">
                  <c:v>-11.666666666666666</c:v>
                </c:pt>
                <c:pt idx="25">
                  <c:v>-18.245852614565919</c:v>
                </c:pt>
                <c:pt idx="26">
                  <c:v>4.3925078710812571</c:v>
                </c:pt>
                <c:pt idx="27">
                  <c:v>12</c:v>
                </c:pt>
                <c:pt idx="28">
                  <c:v>-12</c:v>
                </c:pt>
                <c:pt idx="29">
                  <c:v>-28.303800039278563</c:v>
                </c:pt>
                <c:pt idx="30">
                  <c:v>-9.3333333333333321</c:v>
                </c:pt>
                <c:pt idx="31">
                  <c:v>-16.629666681765414</c:v>
                </c:pt>
                <c:pt idx="32">
                  <c:v>6.4527131206909987</c:v>
                </c:pt>
                <c:pt idx="33">
                  <c:v>12</c:v>
                </c:pt>
                <c:pt idx="34">
                  <c:v>-12</c:v>
                </c:pt>
                <c:pt idx="35">
                  <c:v>-27.754010010716058</c:v>
                </c:pt>
                <c:pt idx="36">
                  <c:v>-6.9999999999999982</c:v>
                </c:pt>
                <c:pt idx="37">
                  <c:v>-14.98231154257417</c:v>
                </c:pt>
                <c:pt idx="38">
                  <c:v>8.2375052570320868</c:v>
                </c:pt>
                <c:pt idx="39">
                  <c:v>12</c:v>
                </c:pt>
                <c:pt idx="40">
                  <c:v>-12</c:v>
                </c:pt>
                <c:pt idx="41">
                  <c:v>-27.116306655803694</c:v>
                </c:pt>
                <c:pt idx="42">
                  <c:v>-4.6666666666666643</c:v>
                </c:pt>
                <c:pt idx="43">
                  <c:v>-13.301143585556035</c:v>
                </c:pt>
                <c:pt idx="44">
                  <c:v>9.8664661885771885</c:v>
                </c:pt>
                <c:pt idx="45">
                  <c:v>12</c:v>
                </c:pt>
                <c:pt idx="46">
                  <c:v>-12</c:v>
                </c:pt>
                <c:pt idx="47">
                  <c:v>-26.383946707329393</c:v>
                </c:pt>
                <c:pt idx="48">
                  <c:v>-2.3333333333333308</c:v>
                </c:pt>
                <c:pt idx="49">
                  <c:v>-11.583569246398675</c:v>
                </c:pt>
                <c:pt idx="50">
                  <c:v>11.388844623449907</c:v>
                </c:pt>
                <c:pt idx="51">
                  <c:v>12</c:v>
                </c:pt>
                <c:pt idx="52">
                  <c:v>-12</c:v>
                </c:pt>
                <c:pt idx="53">
                  <c:v>-25.550406252475348</c:v>
                </c:pt>
                <c:pt idx="54">
                  <c:v>0</c:v>
                </c:pt>
                <c:pt idx="55">
                  <c:v>-9.8270793278644781</c:v>
                </c:pt>
                <c:pt idx="56">
                  <c:v>12.829698097369761</c:v>
                </c:pt>
                <c:pt idx="57">
                  <c:v>12</c:v>
                </c:pt>
                <c:pt idx="58">
                  <c:v>-12</c:v>
                </c:pt>
                <c:pt idx="59">
                  <c:v>-24.609390244767855</c:v>
                </c:pt>
                <c:pt idx="60">
                  <c:v>2.3333333333333335</c:v>
                </c:pt>
                <c:pt idx="61">
                  <c:v>-8.029252658232803</c:v>
                </c:pt>
                <c:pt idx="62">
                  <c:v>14.203132463376605</c:v>
                </c:pt>
                <c:pt idx="63">
                  <c:v>12</c:v>
                </c:pt>
                <c:pt idx="64">
                  <c:v>-12</c:v>
                </c:pt>
                <c:pt idx="65">
                  <c:v>-23.554734780566797</c:v>
                </c:pt>
                <c:pt idx="66">
                  <c:v>4.666666666666667</c:v>
                </c:pt>
                <c:pt idx="67">
                  <c:v>-6.1877185053343773</c:v>
                </c:pt>
                <c:pt idx="68">
                  <c:v>15.517506829265256</c:v>
                </c:pt>
                <c:pt idx="69">
                  <c:v>12</c:v>
                </c:pt>
                <c:pt idx="70">
                  <c:v>-12</c:v>
                </c:pt>
                <c:pt idx="71">
                  <c:v>-22.380163934182676</c:v>
                </c:pt>
                <c:pt idx="72">
                  <c:v>7</c:v>
                </c:pt>
                <c:pt idx="73">
                  <c:v>-4.3000630515963358</c:v>
                </c:pt>
                <c:pt idx="74">
                  <c:v>16.777941702150098</c:v>
                </c:pt>
                <c:pt idx="75">
                  <c:v>12</c:v>
                </c:pt>
                <c:pt idx="76">
                  <c:v>-12</c:v>
                </c:pt>
                <c:pt idx="77">
                  <c:v>-21.078840109892809</c:v>
                </c:pt>
                <c:pt idx="78">
                  <c:v>9.3333333333333339</c:v>
                </c:pt>
                <c:pt idx="79">
                  <c:v>-2.3636564525099644</c:v>
                </c:pt>
                <c:pt idx="80">
                  <c:v>17.987756355580007</c:v>
                </c:pt>
                <c:pt idx="81">
                  <c:v>12</c:v>
                </c:pt>
                <c:pt idx="82">
                  <c:v>-12</c:v>
                </c:pt>
                <c:pt idx="83">
                  <c:v>-19.642597335724307</c:v>
                </c:pt>
                <c:pt idx="84">
                  <c:v>11.666666666666668</c:v>
                </c:pt>
                <c:pt idx="85">
                  <c:v>-0.37535794962416702</c:v>
                </c:pt>
                <c:pt idx="86">
                  <c:v>19.149459663035739</c:v>
                </c:pt>
                <c:pt idx="87">
                  <c:v>12</c:v>
                </c:pt>
                <c:pt idx="88">
                  <c:v>-12</c:v>
                </c:pt>
                <c:pt idx="89">
                  <c:v>-30.376282653093735</c:v>
                </c:pt>
                <c:pt idx="90">
                  <c:v>14.000000000000002</c:v>
                </c:pt>
                <c:pt idx="91">
                  <c:v>-3.0678010204149508</c:v>
                </c:pt>
                <c:pt idx="92">
                  <c:v>26.896999319700733</c:v>
                </c:pt>
                <c:pt idx="93">
                  <c:v>12</c:v>
                </c:pt>
                <c:pt idx="94">
                  <c:v>-12</c:v>
                </c:pt>
                <c:pt idx="95">
                  <c:v>-24.879281862192261</c:v>
                </c:pt>
                <c:pt idx="96">
                  <c:v>25</c:v>
                </c:pt>
                <c:pt idx="97">
                  <c:v>5.8156608222448263</c:v>
                </c:pt>
                <c:pt idx="98">
                  <c:v>31.34962606454722</c:v>
                </c:pt>
                <c:pt idx="99">
                  <c:v>12</c:v>
                </c:pt>
                <c:pt idx="100">
                  <c:v>-12</c:v>
                </c:pt>
                <c:pt idx="101">
                  <c:v>-23.375716830330454</c:v>
                </c:pt>
                <c:pt idx="102">
                  <c:v>0</c:v>
                </c:pt>
                <c:pt idx="103">
                  <c:v>-8.9906603193697858</c:v>
                </c:pt>
                <c:pt idx="104">
                  <c:v>22.648032351271631</c:v>
                </c:pt>
                <c:pt idx="105">
                  <c:v>12</c:v>
                </c:pt>
                <c:pt idx="106">
                  <c:v>-12</c:v>
                </c:pt>
                <c:pt idx="107">
                  <c:v>-10.52880704336475</c:v>
                </c:pt>
                <c:pt idx="108">
                  <c:v>-25</c:v>
                </c:pt>
                <c:pt idx="109">
                  <c:v>-19.434156555154736</c:v>
                </c:pt>
                <c:pt idx="110">
                  <c:v>20.32293673094285</c:v>
                </c:pt>
                <c:pt idx="111">
                  <c:v>12</c:v>
                </c:pt>
                <c:pt idx="112">
                  <c:v>60</c:v>
                </c:pt>
                <c:pt idx="113">
                  <c:v>59.977621104822219</c:v>
                </c:pt>
                <c:pt idx="114">
                  <c:v>59.910498330815244</c:v>
                </c:pt>
                <c:pt idx="115">
                  <c:v>59.7986734039103</c:v>
                </c:pt>
                <c:pt idx="116">
                  <c:v>59.642215838505066</c:v>
                </c:pt>
                <c:pt idx="117">
                  <c:v>59.441222894251112</c:v>
                </c:pt>
                <c:pt idx="118">
                  <c:v>59.195819515593755</c:v>
                </c:pt>
                <c:pt idx="119">
                  <c:v>58.906158254102053</c:v>
                </c:pt>
                <c:pt idx="120">
                  <c:v>58.572419173637371</c:v>
                </c:pt>
                <c:pt idx="121">
                  <c:v>58.19480973841911</c:v>
                </c:pt>
                <c:pt idx="122">
                  <c:v>57.77356468405749</c:v>
                </c:pt>
                <c:pt idx="123">
                  <c:v>57.308945871633512</c:v>
                </c:pt>
                <c:pt idx="124">
                  <c:v>56.801242124916655</c:v>
                </c:pt>
                <c:pt idx="125">
                  <c:v>56.250769050821617</c:v>
                </c:pt>
                <c:pt idx="126">
                  <c:v>55.657868843215709</c:v>
                </c:pt>
                <c:pt idx="127">
                  <c:v>55.022910070198847</c:v>
                </c:pt>
                <c:pt idx="128">
                  <c:v>54.346287444988349</c:v>
                </c:pt>
                <c:pt idx="129">
                  <c:v>53.628421580551006</c:v>
                </c:pt>
                <c:pt idx="130">
                  <c:v>52.869758728134926</c:v>
                </c:pt>
                <c:pt idx="131">
                  <c:v>52.070770499863713</c:v>
                </c:pt>
                <c:pt idx="132">
                  <c:v>51.231953575565385</c:v>
                </c:pt>
                <c:pt idx="133">
                  <c:v>50.353829394018334</c:v>
                </c:pt>
                <c:pt idx="134">
                  <c:v>49.436943828806236</c:v>
                </c:pt>
                <c:pt idx="135">
                  <c:v>48.481866848983351</c:v>
                </c:pt>
                <c:pt idx="136">
                  <c:v>47.489192164761299</c:v>
                </c:pt>
                <c:pt idx="137">
                  <c:v>46.45953685843741</c:v>
                </c:pt>
                <c:pt idx="138">
                  <c:v>45.39354100079418</c:v>
                </c:pt>
                <c:pt idx="139">
                  <c:v>44.29186725320821</c:v>
                </c:pt>
                <c:pt idx="140">
                  <c:v>43.155200455716098</c:v>
                </c:pt>
                <c:pt idx="141">
                  <c:v>41.984247201293201</c:v>
                </c:pt>
                <c:pt idx="142">
                  <c:v>40.779735396610057</c:v>
                </c:pt>
                <c:pt idx="143">
                  <c:v>39.542413809539362</c:v>
                </c:pt>
                <c:pt idx="144">
                  <c:v>38.27305160369496</c:v>
                </c:pt>
                <c:pt idx="145">
                  <c:v>36.97243786029204</c:v>
                </c:pt>
                <c:pt idx="146">
                  <c:v>35.641381087625909</c:v>
                </c:pt>
                <c:pt idx="147">
                  <c:v>34.280708718474088</c:v>
                </c:pt>
                <c:pt idx="148">
                  <c:v>32.891266595734379</c:v>
                </c:pt>
                <c:pt idx="149">
                  <c:v>31.473918446618441</c:v>
                </c:pt>
                <c:pt idx="150">
                  <c:v>30.029545345727961</c:v>
                </c:pt>
                <c:pt idx="151">
                  <c:v>28.559045167346859</c:v>
                </c:pt>
                <c:pt idx="152">
                  <c:v>27.063332027290457</c:v>
                </c:pt>
                <c:pt idx="153">
                  <c:v>25.54333571465812</c:v>
                </c:pt>
                <c:pt idx="154">
                  <c:v>24.00000111384292</c:v>
                </c:pt>
                <c:pt idx="155">
                  <c:v>22.434287617157558</c:v>
                </c:pt>
                <c:pt idx="156">
                  <c:v>20.847168528441451</c:v>
                </c:pt>
                <c:pt idx="157">
                  <c:v>19.239630458020226</c:v>
                </c:pt>
                <c:pt idx="158">
                  <c:v>17.612672709393095</c:v>
                </c:pt>
                <c:pt idx="159">
                  <c:v>15.967306658029923</c:v>
                </c:pt>
                <c:pt idx="160">
                  <c:v>14.304555122663807</c:v>
                </c:pt>
                <c:pt idx="161">
                  <c:v>12.625451729470267</c:v>
                </c:pt>
                <c:pt idx="162">
                  <c:v>10.931040269527855</c:v>
                </c:pt>
                <c:pt idx="163">
                  <c:v>9.2223740499601874</c:v>
                </c:pt>
                <c:pt idx="164">
                  <c:v>7.50051523916229</c:v>
                </c:pt>
                <c:pt idx="165">
                  <c:v>5.7665342065185783</c:v>
                </c:pt>
                <c:pt idx="166">
                  <c:v>4.0215088570226385</c:v>
                </c:pt>
                <c:pt idx="167">
                  <c:v>2.2665239612127621</c:v>
                </c:pt>
                <c:pt idx="168">
                  <c:v>0.50267048083958699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2.8515696384297637</c:v>
                </c:pt>
                <c:pt idx="177">
                  <c:v>1.9753111994832171</c:v>
                </c:pt>
                <c:pt idx="178">
                  <c:v>0.92563316887902047</c:v>
                </c:pt>
                <c:pt idx="179">
                  <c:v>-0.21601377837397351</c:v>
                </c:pt>
                <c:pt idx="180">
                  <c:v>-1.4157664759720063</c:v>
                </c:pt>
                <c:pt idx="181">
                  <c:v>-2.6556123420946562</c:v>
                </c:pt>
                <c:pt idx="182">
                  <c:v>-3.9245681685754725</c:v>
                </c:pt>
                <c:pt idx="183">
                  <c:v>-5.2153144569239593</c:v>
                </c:pt>
                <c:pt idx="184">
                  <c:v>-6.5226550874579061</c:v>
                </c:pt>
                <c:pt idx="185">
                  <c:v>-7.8427215966531474</c:v>
                </c:pt>
                <c:pt idx="186">
                  <c:v>-9.1725245020797033</c:v>
                </c:pt>
                <c:pt idx="187">
                  <c:v>-10.509682805443534</c:v>
                </c:pt>
                <c:pt idx="188">
                  <c:v>-11.852251962601201</c:v>
                </c:pt>
                <c:pt idx="189">
                  <c:v>-13.198609507350314</c:v>
                </c:pt>
                <c:pt idx="190">
                  <c:v>-14.547376030315508</c:v>
                </c:pt>
                <c:pt idx="191">
                  <c:v>-15.897358663204308</c:v>
                </c:pt>
                <c:pt idx="192">
                  <c:v>-17.247509325359044</c:v>
                </c:pt>
                <c:pt idx="193">
                  <c:v>-18.596892885306229</c:v>
                </c:pt>
                <c:pt idx="194">
                  <c:v>-19.944662101015112</c:v>
                </c:pt>
                <c:pt idx="195">
                  <c:v>-21.290037250525245</c:v>
                </c:pt>
                <c:pt idx="196">
                  <c:v>-22.632289027455251</c:v>
                </c:pt>
                <c:pt idx="197">
                  <c:v>-23.97072370792359</c:v>
                </c:pt>
                <c:pt idx="198">
                  <c:v>-25.30466988534544</c:v>
                </c:pt>
                <c:pt idx="199">
                  <c:v>-26.633466270137497</c:v>
                </c:pt>
                <c:pt idx="200">
                  <c:v>-27.956450194805811</c:v>
                </c:pt>
                <c:pt idx="201">
                  <c:v>-29.272946571435931</c:v>
                </c:pt>
                <c:pt idx="202">
                  <c:v>-30.582257131227855</c:v>
                </c:pt>
                <c:pt idx="203">
                  <c:v>-31.883649842884822</c:v>
                </c:pt>
                <c:pt idx="204">
                  <c:v>-33.176348463939625</c:v>
                </c:pt>
                <c:pt idx="205">
                  <c:v>-34.459522230103559</c:v>
                </c:pt>
                <c:pt idx="206">
                  <c:v>-35.732275734705851</c:v>
                </c:pt>
                <c:pt idx="207">
                  <c:v>-36.99363909448315</c:v>
                </c:pt>
                <c:pt idx="208">
                  <c:v>-38.242558539797471</c:v>
                </c:pt>
                <c:pt idx="209">
                  <c:v>-39.477887606536221</c:v>
                </c:pt>
                <c:pt idx="210">
                  <c:v>-40.698379142616446</c:v>
                </c:pt>
                <c:pt idx="211">
                  <c:v>-41.902678372794895</c:v>
                </c:pt>
                <c:pt idx="212">
                  <c:v>-43.089317289558807</c:v>
                </c:pt>
                <c:pt idx="213">
                  <c:v>-44.25671065311036</c:v>
                </c:pt>
                <c:pt idx="214">
                  <c:v>-45.403153887555582</c:v>
                </c:pt>
                <c:pt idx="215">
                  <c:v>-46.526823151096757</c:v>
                </c:pt>
                <c:pt idx="216">
                  <c:v>-47.625777833297384</c:v>
                </c:pt>
                <c:pt idx="217">
                  <c:v>-48.697965690882285</c:v>
                </c:pt>
                <c:pt idx="218">
                  <c:v>-49.741230774414589</c:v>
                </c:pt>
                <c:pt idx="219">
                  <c:v>-50.753324222038465</c:v>
                </c:pt>
                <c:pt idx="220">
                  <c:v>-51.731917905092047</c:v>
                </c:pt>
                <c:pt idx="221">
                  <c:v>-52.674620807053785</c:v>
                </c:pt>
                <c:pt idx="222">
                  <c:v>-53.578997906712083</c:v>
                </c:pt>
                <c:pt idx="223">
                  <c:v>-54.442591224662408</c:v>
                </c:pt>
                <c:pt idx="224">
                  <c:v>-55.262942586197084</c:v>
                </c:pt>
                <c:pt idx="225">
                  <c:v>-56.037617560739605</c:v>
                </c:pt>
                <c:pt idx="226">
                  <c:v>-56.764229965340405</c:v>
                </c:pt>
                <c:pt idx="227">
                  <c:v>-57.440466273599569</c:v>
                </c:pt>
                <c:pt idx="228">
                  <c:v>-58.064109256288212</c:v>
                </c:pt>
                <c:pt idx="229">
                  <c:v>-58.633060198267984</c:v>
                </c:pt>
                <c:pt idx="230">
                  <c:v>-59.145359087855262</c:v>
                </c:pt>
                <c:pt idx="231">
                  <c:v>-59.599202256688159</c:v>
                </c:pt>
                <c:pt idx="232">
                  <c:v>-59.992957055132891</c:v>
                </c:pt>
                <c:pt idx="233">
                  <c:v>-60.325173273076174</c:v>
                </c:pt>
                <c:pt idx="234">
                  <c:v>-60.594591150128096</c:v>
                </c:pt>
                <c:pt idx="235">
                  <c:v>-60.800145953957085</c:v>
                </c:pt>
                <c:pt idx="236">
                  <c:v>-60.940969232303956</c:v>
                </c:pt>
                <c:pt idx="237">
                  <c:v>-61.016386955989681</c:v>
                </c:pt>
                <c:pt idx="238">
                  <c:v>-61.025914861512376</c:v>
                </c:pt>
                <c:pt idx="239">
                  <c:v>-60.969251369261414</c:v>
                </c:pt>
              </c:numCache>
            </c:numRef>
          </c:xVal>
          <c:yVal>
            <c:numRef>
              <c:f>CALC60!$CO$6:$CO$581</c:f>
              <c:numCache>
                <c:formatCode>General</c:formatCode>
                <c:ptCount val="576"/>
              </c:numCache>
            </c:numRef>
          </c:yVal>
          <c:smooth val="0"/>
        </c:ser>
        <c:ser>
          <c:idx val="42"/>
          <c:order val="42"/>
          <c:tx>
            <c:strRef>
              <c:f>CALC60!$CP$5</c:f>
              <c:strCache>
                <c:ptCount val="1"/>
                <c:pt idx="0">
                  <c:v>R41</c:v>
                </c:pt>
              </c:strCache>
            </c:strRef>
          </c:tx>
          <c:spPr>
            <a:ln w="28575">
              <a:noFill/>
            </a:ln>
          </c:spPr>
          <c:xVal>
            <c:numRef>
              <c:f>CALC60!$AY$6:$AY$581</c:f>
              <c:numCache>
                <c:formatCode>General</c:formatCode>
                <c:ptCount val="576"/>
                <c:pt idx="0">
                  <c:v>-19.833506546880365</c:v>
                </c:pt>
                <c:pt idx="1">
                  <c:v>-18.245852614565919</c:v>
                </c:pt>
                <c:pt idx="2">
                  <c:v>-16.629666681765414</c:v>
                </c:pt>
                <c:pt idx="3">
                  <c:v>-14.98231154257417</c:v>
                </c:pt>
                <c:pt idx="4">
                  <c:v>-13.301143585556035</c:v>
                </c:pt>
                <c:pt idx="5">
                  <c:v>-11.583569246398675</c:v>
                </c:pt>
                <c:pt idx="6">
                  <c:v>-9.8270793278644781</c:v>
                </c:pt>
                <c:pt idx="7">
                  <c:v>-8.029252658232803</c:v>
                </c:pt>
                <c:pt idx="8">
                  <c:v>-6.1877185053343773</c:v>
                </c:pt>
                <c:pt idx="9">
                  <c:v>-4.3000630515963358</c:v>
                </c:pt>
                <c:pt idx="10">
                  <c:v>-2.3636564525099644</c:v>
                </c:pt>
                <c:pt idx="11">
                  <c:v>-0.37535794962416702</c:v>
                </c:pt>
                <c:pt idx="12">
                  <c:v>-3.0678010204149508</c:v>
                </c:pt>
                <c:pt idx="13">
                  <c:v>5.8156608222448263</c:v>
                </c:pt>
                <c:pt idx="14">
                  <c:v>-8.9906603193697858</c:v>
                </c:pt>
                <c:pt idx="15">
                  <c:v>-19.434156555154736</c:v>
                </c:pt>
                <c:pt idx="16">
                  <c:v>-12</c:v>
                </c:pt>
                <c:pt idx="17">
                  <c:v>-29.167117021908272</c:v>
                </c:pt>
                <c:pt idx="18">
                  <c:v>-14</c:v>
                </c:pt>
                <c:pt idx="19">
                  <c:v>-19.833506546880365</c:v>
                </c:pt>
                <c:pt idx="20">
                  <c:v>1.5130248501190131</c:v>
                </c:pt>
                <c:pt idx="21">
                  <c:v>12</c:v>
                </c:pt>
                <c:pt idx="22">
                  <c:v>-12</c:v>
                </c:pt>
                <c:pt idx="23">
                  <c:v>-28.772550131225248</c:v>
                </c:pt>
                <c:pt idx="24">
                  <c:v>-11.666666666666666</c:v>
                </c:pt>
                <c:pt idx="25">
                  <c:v>-18.245852614565919</c:v>
                </c:pt>
                <c:pt idx="26">
                  <c:v>4.3925078710812571</c:v>
                </c:pt>
                <c:pt idx="27">
                  <c:v>12</c:v>
                </c:pt>
                <c:pt idx="28">
                  <c:v>-12</c:v>
                </c:pt>
                <c:pt idx="29">
                  <c:v>-28.303800039278563</c:v>
                </c:pt>
                <c:pt idx="30">
                  <c:v>-9.3333333333333321</c:v>
                </c:pt>
                <c:pt idx="31">
                  <c:v>-16.629666681765414</c:v>
                </c:pt>
                <c:pt idx="32">
                  <c:v>6.4527131206909987</c:v>
                </c:pt>
                <c:pt idx="33">
                  <c:v>12</c:v>
                </c:pt>
                <c:pt idx="34">
                  <c:v>-12</c:v>
                </c:pt>
                <c:pt idx="35">
                  <c:v>-27.754010010716058</c:v>
                </c:pt>
                <c:pt idx="36">
                  <c:v>-6.9999999999999982</c:v>
                </c:pt>
                <c:pt idx="37">
                  <c:v>-14.98231154257417</c:v>
                </c:pt>
                <c:pt idx="38">
                  <c:v>8.2375052570320868</c:v>
                </c:pt>
                <c:pt idx="39">
                  <c:v>12</c:v>
                </c:pt>
                <c:pt idx="40">
                  <c:v>-12</c:v>
                </c:pt>
                <c:pt idx="41">
                  <c:v>-27.116306655803694</c:v>
                </c:pt>
                <c:pt idx="42">
                  <c:v>-4.6666666666666643</c:v>
                </c:pt>
                <c:pt idx="43">
                  <c:v>-13.301143585556035</c:v>
                </c:pt>
                <c:pt idx="44">
                  <c:v>9.8664661885771885</c:v>
                </c:pt>
                <c:pt idx="45">
                  <c:v>12</c:v>
                </c:pt>
                <c:pt idx="46">
                  <c:v>-12</c:v>
                </c:pt>
                <c:pt idx="47">
                  <c:v>-26.383946707329393</c:v>
                </c:pt>
                <c:pt idx="48">
                  <c:v>-2.3333333333333308</c:v>
                </c:pt>
                <c:pt idx="49">
                  <c:v>-11.583569246398675</c:v>
                </c:pt>
                <c:pt idx="50">
                  <c:v>11.388844623449907</c:v>
                </c:pt>
                <c:pt idx="51">
                  <c:v>12</c:v>
                </c:pt>
                <c:pt idx="52">
                  <c:v>-12</c:v>
                </c:pt>
                <c:pt idx="53">
                  <c:v>-25.550406252475348</c:v>
                </c:pt>
                <c:pt idx="54">
                  <c:v>0</c:v>
                </c:pt>
                <c:pt idx="55">
                  <c:v>-9.8270793278644781</c:v>
                </c:pt>
                <c:pt idx="56">
                  <c:v>12.829698097369761</c:v>
                </c:pt>
                <c:pt idx="57">
                  <c:v>12</c:v>
                </c:pt>
                <c:pt idx="58">
                  <c:v>-12</c:v>
                </c:pt>
                <c:pt idx="59">
                  <c:v>-24.609390244767855</c:v>
                </c:pt>
                <c:pt idx="60">
                  <c:v>2.3333333333333335</c:v>
                </c:pt>
                <c:pt idx="61">
                  <c:v>-8.029252658232803</c:v>
                </c:pt>
                <c:pt idx="62">
                  <c:v>14.203132463376605</c:v>
                </c:pt>
                <c:pt idx="63">
                  <c:v>12</c:v>
                </c:pt>
                <c:pt idx="64">
                  <c:v>-12</c:v>
                </c:pt>
                <c:pt idx="65">
                  <c:v>-23.554734780566797</c:v>
                </c:pt>
                <c:pt idx="66">
                  <c:v>4.666666666666667</c:v>
                </c:pt>
                <c:pt idx="67">
                  <c:v>-6.1877185053343773</c:v>
                </c:pt>
                <c:pt idx="68">
                  <c:v>15.517506829265256</c:v>
                </c:pt>
                <c:pt idx="69">
                  <c:v>12</c:v>
                </c:pt>
                <c:pt idx="70">
                  <c:v>-12</c:v>
                </c:pt>
                <c:pt idx="71">
                  <c:v>-22.380163934182676</c:v>
                </c:pt>
                <c:pt idx="72">
                  <c:v>7</c:v>
                </c:pt>
                <c:pt idx="73">
                  <c:v>-4.3000630515963358</c:v>
                </c:pt>
                <c:pt idx="74">
                  <c:v>16.777941702150098</c:v>
                </c:pt>
                <c:pt idx="75">
                  <c:v>12</c:v>
                </c:pt>
                <c:pt idx="76">
                  <c:v>-12</c:v>
                </c:pt>
                <c:pt idx="77">
                  <c:v>-21.078840109892809</c:v>
                </c:pt>
                <c:pt idx="78">
                  <c:v>9.3333333333333339</c:v>
                </c:pt>
                <c:pt idx="79">
                  <c:v>-2.3636564525099644</c:v>
                </c:pt>
                <c:pt idx="80">
                  <c:v>17.987756355580007</c:v>
                </c:pt>
                <c:pt idx="81">
                  <c:v>12</c:v>
                </c:pt>
                <c:pt idx="82">
                  <c:v>-12</c:v>
                </c:pt>
                <c:pt idx="83">
                  <c:v>-19.642597335724307</c:v>
                </c:pt>
                <c:pt idx="84">
                  <c:v>11.666666666666668</c:v>
                </c:pt>
                <c:pt idx="85">
                  <c:v>-0.37535794962416702</c:v>
                </c:pt>
                <c:pt idx="86">
                  <c:v>19.149459663035739</c:v>
                </c:pt>
                <c:pt idx="87">
                  <c:v>12</c:v>
                </c:pt>
                <c:pt idx="88">
                  <c:v>-12</c:v>
                </c:pt>
                <c:pt idx="89">
                  <c:v>-30.376282653093735</c:v>
                </c:pt>
                <c:pt idx="90">
                  <c:v>14.000000000000002</c:v>
                </c:pt>
                <c:pt idx="91">
                  <c:v>-3.0678010204149508</c:v>
                </c:pt>
                <c:pt idx="92">
                  <c:v>26.896999319700733</c:v>
                </c:pt>
                <c:pt idx="93">
                  <c:v>12</c:v>
                </c:pt>
                <c:pt idx="94">
                  <c:v>-12</c:v>
                </c:pt>
                <c:pt idx="95">
                  <c:v>-24.879281862192261</c:v>
                </c:pt>
                <c:pt idx="96">
                  <c:v>25</c:v>
                </c:pt>
                <c:pt idx="97">
                  <c:v>5.8156608222448263</c:v>
                </c:pt>
                <c:pt idx="98">
                  <c:v>31.34962606454722</c:v>
                </c:pt>
                <c:pt idx="99">
                  <c:v>12</c:v>
                </c:pt>
                <c:pt idx="100">
                  <c:v>-12</c:v>
                </c:pt>
                <c:pt idx="101">
                  <c:v>-23.375716830330454</c:v>
                </c:pt>
                <c:pt idx="102">
                  <c:v>0</c:v>
                </c:pt>
                <c:pt idx="103">
                  <c:v>-8.9906603193697858</c:v>
                </c:pt>
                <c:pt idx="104">
                  <c:v>22.648032351271631</c:v>
                </c:pt>
                <c:pt idx="105">
                  <c:v>12</c:v>
                </c:pt>
                <c:pt idx="106">
                  <c:v>-12</c:v>
                </c:pt>
                <c:pt idx="107">
                  <c:v>-10.52880704336475</c:v>
                </c:pt>
                <c:pt idx="108">
                  <c:v>-25</c:v>
                </c:pt>
                <c:pt idx="109">
                  <c:v>-19.434156555154736</c:v>
                </c:pt>
                <c:pt idx="110">
                  <c:v>20.32293673094285</c:v>
                </c:pt>
                <c:pt idx="111">
                  <c:v>12</c:v>
                </c:pt>
                <c:pt idx="112">
                  <c:v>60</c:v>
                </c:pt>
                <c:pt idx="113">
                  <c:v>59.977621104822219</c:v>
                </c:pt>
                <c:pt idx="114">
                  <c:v>59.910498330815244</c:v>
                </c:pt>
                <c:pt idx="115">
                  <c:v>59.7986734039103</c:v>
                </c:pt>
                <c:pt idx="116">
                  <c:v>59.642215838505066</c:v>
                </c:pt>
                <c:pt idx="117">
                  <c:v>59.441222894251112</c:v>
                </c:pt>
                <c:pt idx="118">
                  <c:v>59.195819515593755</c:v>
                </c:pt>
                <c:pt idx="119">
                  <c:v>58.906158254102053</c:v>
                </c:pt>
                <c:pt idx="120">
                  <c:v>58.572419173637371</c:v>
                </c:pt>
                <c:pt idx="121">
                  <c:v>58.19480973841911</c:v>
                </c:pt>
                <c:pt idx="122">
                  <c:v>57.77356468405749</c:v>
                </c:pt>
                <c:pt idx="123">
                  <c:v>57.308945871633512</c:v>
                </c:pt>
                <c:pt idx="124">
                  <c:v>56.801242124916655</c:v>
                </c:pt>
                <c:pt idx="125">
                  <c:v>56.250769050821617</c:v>
                </c:pt>
                <c:pt idx="126">
                  <c:v>55.657868843215709</c:v>
                </c:pt>
                <c:pt idx="127">
                  <c:v>55.022910070198847</c:v>
                </c:pt>
                <c:pt idx="128">
                  <c:v>54.346287444988349</c:v>
                </c:pt>
                <c:pt idx="129">
                  <c:v>53.628421580551006</c:v>
                </c:pt>
                <c:pt idx="130">
                  <c:v>52.869758728134926</c:v>
                </c:pt>
                <c:pt idx="131">
                  <c:v>52.070770499863713</c:v>
                </c:pt>
                <c:pt idx="132">
                  <c:v>51.231953575565385</c:v>
                </c:pt>
                <c:pt idx="133">
                  <c:v>50.353829394018334</c:v>
                </c:pt>
                <c:pt idx="134">
                  <c:v>49.436943828806236</c:v>
                </c:pt>
                <c:pt idx="135">
                  <c:v>48.481866848983351</c:v>
                </c:pt>
                <c:pt idx="136">
                  <c:v>47.489192164761299</c:v>
                </c:pt>
                <c:pt idx="137">
                  <c:v>46.45953685843741</c:v>
                </c:pt>
                <c:pt idx="138">
                  <c:v>45.39354100079418</c:v>
                </c:pt>
                <c:pt idx="139">
                  <c:v>44.29186725320821</c:v>
                </c:pt>
                <c:pt idx="140">
                  <c:v>43.155200455716098</c:v>
                </c:pt>
                <c:pt idx="141">
                  <c:v>41.984247201293201</c:v>
                </c:pt>
                <c:pt idx="142">
                  <c:v>40.779735396610057</c:v>
                </c:pt>
                <c:pt idx="143">
                  <c:v>39.542413809539362</c:v>
                </c:pt>
                <c:pt idx="144">
                  <c:v>38.27305160369496</c:v>
                </c:pt>
                <c:pt idx="145">
                  <c:v>36.97243786029204</c:v>
                </c:pt>
                <c:pt idx="146">
                  <c:v>35.641381087625909</c:v>
                </c:pt>
                <c:pt idx="147">
                  <c:v>34.280708718474088</c:v>
                </c:pt>
                <c:pt idx="148">
                  <c:v>32.891266595734379</c:v>
                </c:pt>
                <c:pt idx="149">
                  <c:v>31.473918446618441</c:v>
                </c:pt>
                <c:pt idx="150">
                  <c:v>30.029545345727961</c:v>
                </c:pt>
                <c:pt idx="151">
                  <c:v>28.559045167346859</c:v>
                </c:pt>
                <c:pt idx="152">
                  <c:v>27.063332027290457</c:v>
                </c:pt>
                <c:pt idx="153">
                  <c:v>25.54333571465812</c:v>
                </c:pt>
                <c:pt idx="154">
                  <c:v>24.00000111384292</c:v>
                </c:pt>
                <c:pt idx="155">
                  <c:v>22.434287617157558</c:v>
                </c:pt>
                <c:pt idx="156">
                  <c:v>20.847168528441451</c:v>
                </c:pt>
                <c:pt idx="157">
                  <c:v>19.239630458020226</c:v>
                </c:pt>
                <c:pt idx="158">
                  <c:v>17.612672709393095</c:v>
                </c:pt>
                <c:pt idx="159">
                  <c:v>15.967306658029923</c:v>
                </c:pt>
                <c:pt idx="160">
                  <c:v>14.304555122663807</c:v>
                </c:pt>
                <c:pt idx="161">
                  <c:v>12.625451729470267</c:v>
                </c:pt>
                <c:pt idx="162">
                  <c:v>10.931040269527855</c:v>
                </c:pt>
                <c:pt idx="163">
                  <c:v>9.2223740499601874</c:v>
                </c:pt>
                <c:pt idx="164">
                  <c:v>7.50051523916229</c:v>
                </c:pt>
                <c:pt idx="165">
                  <c:v>5.7665342065185783</c:v>
                </c:pt>
                <c:pt idx="166">
                  <c:v>4.0215088570226385</c:v>
                </c:pt>
                <c:pt idx="167">
                  <c:v>2.2665239612127621</c:v>
                </c:pt>
                <c:pt idx="168">
                  <c:v>0.50267048083958699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2.8515696384297637</c:v>
                </c:pt>
                <c:pt idx="177">
                  <c:v>1.9753111994832171</c:v>
                </c:pt>
                <c:pt idx="178">
                  <c:v>0.92563316887902047</c:v>
                </c:pt>
                <c:pt idx="179">
                  <c:v>-0.21601377837397351</c:v>
                </c:pt>
                <c:pt idx="180">
                  <c:v>-1.4157664759720063</c:v>
                </c:pt>
                <c:pt idx="181">
                  <c:v>-2.6556123420946562</c:v>
                </c:pt>
                <c:pt idx="182">
                  <c:v>-3.9245681685754725</c:v>
                </c:pt>
                <c:pt idx="183">
                  <c:v>-5.2153144569239593</c:v>
                </c:pt>
                <c:pt idx="184">
                  <c:v>-6.5226550874579061</c:v>
                </c:pt>
                <c:pt idx="185">
                  <c:v>-7.8427215966531474</c:v>
                </c:pt>
                <c:pt idx="186">
                  <c:v>-9.1725245020797033</c:v>
                </c:pt>
                <c:pt idx="187">
                  <c:v>-10.509682805443534</c:v>
                </c:pt>
                <c:pt idx="188">
                  <c:v>-11.852251962601201</c:v>
                </c:pt>
                <c:pt idx="189">
                  <c:v>-13.198609507350314</c:v>
                </c:pt>
                <c:pt idx="190">
                  <c:v>-14.547376030315508</c:v>
                </c:pt>
                <c:pt idx="191">
                  <c:v>-15.897358663204308</c:v>
                </c:pt>
                <c:pt idx="192">
                  <c:v>-17.247509325359044</c:v>
                </c:pt>
                <c:pt idx="193">
                  <c:v>-18.596892885306229</c:v>
                </c:pt>
                <c:pt idx="194">
                  <c:v>-19.944662101015112</c:v>
                </c:pt>
                <c:pt idx="195">
                  <c:v>-21.290037250525245</c:v>
                </c:pt>
                <c:pt idx="196">
                  <c:v>-22.632289027455251</c:v>
                </c:pt>
                <c:pt idx="197">
                  <c:v>-23.97072370792359</c:v>
                </c:pt>
                <c:pt idx="198">
                  <c:v>-25.30466988534544</c:v>
                </c:pt>
                <c:pt idx="199">
                  <c:v>-26.633466270137497</c:v>
                </c:pt>
                <c:pt idx="200">
                  <c:v>-27.956450194805811</c:v>
                </c:pt>
                <c:pt idx="201">
                  <c:v>-29.272946571435931</c:v>
                </c:pt>
                <c:pt idx="202">
                  <c:v>-30.582257131227855</c:v>
                </c:pt>
                <c:pt idx="203">
                  <c:v>-31.883649842884822</c:v>
                </c:pt>
                <c:pt idx="204">
                  <c:v>-33.176348463939625</c:v>
                </c:pt>
                <c:pt idx="205">
                  <c:v>-34.459522230103559</c:v>
                </c:pt>
                <c:pt idx="206">
                  <c:v>-35.732275734705851</c:v>
                </c:pt>
                <c:pt idx="207">
                  <c:v>-36.99363909448315</c:v>
                </c:pt>
                <c:pt idx="208">
                  <c:v>-38.242558539797471</c:v>
                </c:pt>
                <c:pt idx="209">
                  <c:v>-39.477887606536221</c:v>
                </c:pt>
                <c:pt idx="210">
                  <c:v>-40.698379142616446</c:v>
                </c:pt>
                <c:pt idx="211">
                  <c:v>-41.902678372794895</c:v>
                </c:pt>
                <c:pt idx="212">
                  <c:v>-43.089317289558807</c:v>
                </c:pt>
                <c:pt idx="213">
                  <c:v>-44.25671065311036</c:v>
                </c:pt>
                <c:pt idx="214">
                  <c:v>-45.403153887555582</c:v>
                </c:pt>
                <c:pt idx="215">
                  <c:v>-46.526823151096757</c:v>
                </c:pt>
                <c:pt idx="216">
                  <c:v>-47.625777833297384</c:v>
                </c:pt>
                <c:pt idx="217">
                  <c:v>-48.697965690882285</c:v>
                </c:pt>
                <c:pt idx="218">
                  <c:v>-49.741230774414589</c:v>
                </c:pt>
                <c:pt idx="219">
                  <c:v>-50.753324222038465</c:v>
                </c:pt>
                <c:pt idx="220">
                  <c:v>-51.731917905092047</c:v>
                </c:pt>
                <c:pt idx="221">
                  <c:v>-52.674620807053785</c:v>
                </c:pt>
                <c:pt idx="222">
                  <c:v>-53.578997906712083</c:v>
                </c:pt>
                <c:pt idx="223">
                  <c:v>-54.442591224662408</c:v>
                </c:pt>
                <c:pt idx="224">
                  <c:v>-55.262942586197084</c:v>
                </c:pt>
                <c:pt idx="225">
                  <c:v>-56.037617560739605</c:v>
                </c:pt>
                <c:pt idx="226">
                  <c:v>-56.764229965340405</c:v>
                </c:pt>
                <c:pt idx="227">
                  <c:v>-57.440466273599569</c:v>
                </c:pt>
                <c:pt idx="228">
                  <c:v>-58.064109256288212</c:v>
                </c:pt>
                <c:pt idx="229">
                  <c:v>-58.633060198267984</c:v>
                </c:pt>
                <c:pt idx="230">
                  <c:v>-59.145359087855262</c:v>
                </c:pt>
                <c:pt idx="231">
                  <c:v>-59.599202256688159</c:v>
                </c:pt>
                <c:pt idx="232">
                  <c:v>-59.992957055132891</c:v>
                </c:pt>
                <c:pt idx="233">
                  <c:v>-60.325173273076174</c:v>
                </c:pt>
                <c:pt idx="234">
                  <c:v>-60.594591150128096</c:v>
                </c:pt>
                <c:pt idx="235">
                  <c:v>-60.800145953957085</c:v>
                </c:pt>
                <c:pt idx="236">
                  <c:v>-60.940969232303956</c:v>
                </c:pt>
                <c:pt idx="237">
                  <c:v>-61.016386955989681</c:v>
                </c:pt>
                <c:pt idx="238">
                  <c:v>-61.025914861512376</c:v>
                </c:pt>
                <c:pt idx="239">
                  <c:v>-60.969251369261414</c:v>
                </c:pt>
              </c:numCache>
            </c:numRef>
          </c:xVal>
          <c:yVal>
            <c:numRef>
              <c:f>CALC60!$CP$6:$CP$581</c:f>
              <c:numCache>
                <c:formatCode>General</c:formatCode>
                <c:ptCount val="576"/>
              </c:numCache>
            </c:numRef>
          </c:yVal>
          <c:smooth val="0"/>
        </c:ser>
        <c:ser>
          <c:idx val="43"/>
          <c:order val="43"/>
          <c:tx>
            <c:strRef>
              <c:f>CALC60!$CQ$5</c:f>
              <c:strCache>
                <c:ptCount val="1"/>
                <c:pt idx="0">
                  <c:v>R42</c:v>
                </c:pt>
              </c:strCache>
            </c:strRef>
          </c:tx>
          <c:spPr>
            <a:ln w="28575">
              <a:noFill/>
            </a:ln>
          </c:spPr>
          <c:xVal>
            <c:numRef>
              <c:f>CALC60!$AY$6:$AY$581</c:f>
              <c:numCache>
                <c:formatCode>General</c:formatCode>
                <c:ptCount val="576"/>
                <c:pt idx="0">
                  <c:v>-19.833506546880365</c:v>
                </c:pt>
                <c:pt idx="1">
                  <c:v>-18.245852614565919</c:v>
                </c:pt>
                <c:pt idx="2">
                  <c:v>-16.629666681765414</c:v>
                </c:pt>
                <c:pt idx="3">
                  <c:v>-14.98231154257417</c:v>
                </c:pt>
                <c:pt idx="4">
                  <c:v>-13.301143585556035</c:v>
                </c:pt>
                <c:pt idx="5">
                  <c:v>-11.583569246398675</c:v>
                </c:pt>
                <c:pt idx="6">
                  <c:v>-9.8270793278644781</c:v>
                </c:pt>
                <c:pt idx="7">
                  <c:v>-8.029252658232803</c:v>
                </c:pt>
                <c:pt idx="8">
                  <c:v>-6.1877185053343773</c:v>
                </c:pt>
                <c:pt idx="9">
                  <c:v>-4.3000630515963358</c:v>
                </c:pt>
                <c:pt idx="10">
                  <c:v>-2.3636564525099644</c:v>
                </c:pt>
                <c:pt idx="11">
                  <c:v>-0.37535794962416702</c:v>
                </c:pt>
                <c:pt idx="12">
                  <c:v>-3.0678010204149508</c:v>
                </c:pt>
                <c:pt idx="13">
                  <c:v>5.8156608222448263</c:v>
                </c:pt>
                <c:pt idx="14">
                  <c:v>-8.9906603193697858</c:v>
                </c:pt>
                <c:pt idx="15">
                  <c:v>-19.434156555154736</c:v>
                </c:pt>
                <c:pt idx="16">
                  <c:v>-12</c:v>
                </c:pt>
                <c:pt idx="17">
                  <c:v>-29.167117021908272</c:v>
                </c:pt>
                <c:pt idx="18">
                  <c:v>-14</c:v>
                </c:pt>
                <c:pt idx="19">
                  <c:v>-19.833506546880365</c:v>
                </c:pt>
                <c:pt idx="20">
                  <c:v>1.5130248501190131</c:v>
                </c:pt>
                <c:pt idx="21">
                  <c:v>12</c:v>
                </c:pt>
                <c:pt idx="22">
                  <c:v>-12</c:v>
                </c:pt>
                <c:pt idx="23">
                  <c:v>-28.772550131225248</c:v>
                </c:pt>
                <c:pt idx="24">
                  <c:v>-11.666666666666666</c:v>
                </c:pt>
                <c:pt idx="25">
                  <c:v>-18.245852614565919</c:v>
                </c:pt>
                <c:pt idx="26">
                  <c:v>4.3925078710812571</c:v>
                </c:pt>
                <c:pt idx="27">
                  <c:v>12</c:v>
                </c:pt>
                <c:pt idx="28">
                  <c:v>-12</c:v>
                </c:pt>
                <c:pt idx="29">
                  <c:v>-28.303800039278563</c:v>
                </c:pt>
                <c:pt idx="30">
                  <c:v>-9.3333333333333321</c:v>
                </c:pt>
                <c:pt idx="31">
                  <c:v>-16.629666681765414</c:v>
                </c:pt>
                <c:pt idx="32">
                  <c:v>6.4527131206909987</c:v>
                </c:pt>
                <c:pt idx="33">
                  <c:v>12</c:v>
                </c:pt>
                <c:pt idx="34">
                  <c:v>-12</c:v>
                </c:pt>
                <c:pt idx="35">
                  <c:v>-27.754010010716058</c:v>
                </c:pt>
                <c:pt idx="36">
                  <c:v>-6.9999999999999982</c:v>
                </c:pt>
                <c:pt idx="37">
                  <c:v>-14.98231154257417</c:v>
                </c:pt>
                <c:pt idx="38">
                  <c:v>8.2375052570320868</c:v>
                </c:pt>
                <c:pt idx="39">
                  <c:v>12</c:v>
                </c:pt>
                <c:pt idx="40">
                  <c:v>-12</c:v>
                </c:pt>
                <c:pt idx="41">
                  <c:v>-27.116306655803694</c:v>
                </c:pt>
                <c:pt idx="42">
                  <c:v>-4.6666666666666643</c:v>
                </c:pt>
                <c:pt idx="43">
                  <c:v>-13.301143585556035</c:v>
                </c:pt>
                <c:pt idx="44">
                  <c:v>9.8664661885771885</c:v>
                </c:pt>
                <c:pt idx="45">
                  <c:v>12</c:v>
                </c:pt>
                <c:pt idx="46">
                  <c:v>-12</c:v>
                </c:pt>
                <c:pt idx="47">
                  <c:v>-26.383946707329393</c:v>
                </c:pt>
                <c:pt idx="48">
                  <c:v>-2.3333333333333308</c:v>
                </c:pt>
                <c:pt idx="49">
                  <c:v>-11.583569246398675</c:v>
                </c:pt>
                <c:pt idx="50">
                  <c:v>11.388844623449907</c:v>
                </c:pt>
                <c:pt idx="51">
                  <c:v>12</c:v>
                </c:pt>
                <c:pt idx="52">
                  <c:v>-12</c:v>
                </c:pt>
                <c:pt idx="53">
                  <c:v>-25.550406252475348</c:v>
                </c:pt>
                <c:pt idx="54">
                  <c:v>0</c:v>
                </c:pt>
                <c:pt idx="55">
                  <c:v>-9.8270793278644781</c:v>
                </c:pt>
                <c:pt idx="56">
                  <c:v>12.829698097369761</c:v>
                </c:pt>
                <c:pt idx="57">
                  <c:v>12</c:v>
                </c:pt>
                <c:pt idx="58">
                  <c:v>-12</c:v>
                </c:pt>
                <c:pt idx="59">
                  <c:v>-24.609390244767855</c:v>
                </c:pt>
                <c:pt idx="60">
                  <c:v>2.3333333333333335</c:v>
                </c:pt>
                <c:pt idx="61">
                  <c:v>-8.029252658232803</c:v>
                </c:pt>
                <c:pt idx="62">
                  <c:v>14.203132463376605</c:v>
                </c:pt>
                <c:pt idx="63">
                  <c:v>12</c:v>
                </c:pt>
                <c:pt idx="64">
                  <c:v>-12</c:v>
                </c:pt>
                <c:pt idx="65">
                  <c:v>-23.554734780566797</c:v>
                </c:pt>
                <c:pt idx="66">
                  <c:v>4.666666666666667</c:v>
                </c:pt>
                <c:pt idx="67">
                  <c:v>-6.1877185053343773</c:v>
                </c:pt>
                <c:pt idx="68">
                  <c:v>15.517506829265256</c:v>
                </c:pt>
                <c:pt idx="69">
                  <c:v>12</c:v>
                </c:pt>
                <c:pt idx="70">
                  <c:v>-12</c:v>
                </c:pt>
                <c:pt idx="71">
                  <c:v>-22.380163934182676</c:v>
                </c:pt>
                <c:pt idx="72">
                  <c:v>7</c:v>
                </c:pt>
                <c:pt idx="73">
                  <c:v>-4.3000630515963358</c:v>
                </c:pt>
                <c:pt idx="74">
                  <c:v>16.777941702150098</c:v>
                </c:pt>
                <c:pt idx="75">
                  <c:v>12</c:v>
                </c:pt>
                <c:pt idx="76">
                  <c:v>-12</c:v>
                </c:pt>
                <c:pt idx="77">
                  <c:v>-21.078840109892809</c:v>
                </c:pt>
                <c:pt idx="78">
                  <c:v>9.3333333333333339</c:v>
                </c:pt>
                <c:pt idx="79">
                  <c:v>-2.3636564525099644</c:v>
                </c:pt>
                <c:pt idx="80">
                  <c:v>17.987756355580007</c:v>
                </c:pt>
                <c:pt idx="81">
                  <c:v>12</c:v>
                </c:pt>
                <c:pt idx="82">
                  <c:v>-12</c:v>
                </c:pt>
                <c:pt idx="83">
                  <c:v>-19.642597335724307</c:v>
                </c:pt>
                <c:pt idx="84">
                  <c:v>11.666666666666668</c:v>
                </c:pt>
                <c:pt idx="85">
                  <c:v>-0.37535794962416702</c:v>
                </c:pt>
                <c:pt idx="86">
                  <c:v>19.149459663035739</c:v>
                </c:pt>
                <c:pt idx="87">
                  <c:v>12</c:v>
                </c:pt>
                <c:pt idx="88">
                  <c:v>-12</c:v>
                </c:pt>
                <c:pt idx="89">
                  <c:v>-30.376282653093735</c:v>
                </c:pt>
                <c:pt idx="90">
                  <c:v>14.000000000000002</c:v>
                </c:pt>
                <c:pt idx="91">
                  <c:v>-3.0678010204149508</c:v>
                </c:pt>
                <c:pt idx="92">
                  <c:v>26.896999319700733</c:v>
                </c:pt>
                <c:pt idx="93">
                  <c:v>12</c:v>
                </c:pt>
                <c:pt idx="94">
                  <c:v>-12</c:v>
                </c:pt>
                <c:pt idx="95">
                  <c:v>-24.879281862192261</c:v>
                </c:pt>
                <c:pt idx="96">
                  <c:v>25</c:v>
                </c:pt>
                <c:pt idx="97">
                  <c:v>5.8156608222448263</c:v>
                </c:pt>
                <c:pt idx="98">
                  <c:v>31.34962606454722</c:v>
                </c:pt>
                <c:pt idx="99">
                  <c:v>12</c:v>
                </c:pt>
                <c:pt idx="100">
                  <c:v>-12</c:v>
                </c:pt>
                <c:pt idx="101">
                  <c:v>-23.375716830330454</c:v>
                </c:pt>
                <c:pt idx="102">
                  <c:v>0</c:v>
                </c:pt>
                <c:pt idx="103">
                  <c:v>-8.9906603193697858</c:v>
                </c:pt>
                <c:pt idx="104">
                  <c:v>22.648032351271631</c:v>
                </c:pt>
                <c:pt idx="105">
                  <c:v>12</c:v>
                </c:pt>
                <c:pt idx="106">
                  <c:v>-12</c:v>
                </c:pt>
                <c:pt idx="107">
                  <c:v>-10.52880704336475</c:v>
                </c:pt>
                <c:pt idx="108">
                  <c:v>-25</c:v>
                </c:pt>
                <c:pt idx="109">
                  <c:v>-19.434156555154736</c:v>
                </c:pt>
                <c:pt idx="110">
                  <c:v>20.32293673094285</c:v>
                </c:pt>
                <c:pt idx="111">
                  <c:v>12</c:v>
                </c:pt>
                <c:pt idx="112">
                  <c:v>60</c:v>
                </c:pt>
                <c:pt idx="113">
                  <c:v>59.977621104822219</c:v>
                </c:pt>
                <c:pt idx="114">
                  <c:v>59.910498330815244</c:v>
                </c:pt>
                <c:pt idx="115">
                  <c:v>59.7986734039103</c:v>
                </c:pt>
                <c:pt idx="116">
                  <c:v>59.642215838505066</c:v>
                </c:pt>
                <c:pt idx="117">
                  <c:v>59.441222894251112</c:v>
                </c:pt>
                <c:pt idx="118">
                  <c:v>59.195819515593755</c:v>
                </c:pt>
                <c:pt idx="119">
                  <c:v>58.906158254102053</c:v>
                </c:pt>
                <c:pt idx="120">
                  <c:v>58.572419173637371</c:v>
                </c:pt>
                <c:pt idx="121">
                  <c:v>58.19480973841911</c:v>
                </c:pt>
                <c:pt idx="122">
                  <c:v>57.77356468405749</c:v>
                </c:pt>
                <c:pt idx="123">
                  <c:v>57.308945871633512</c:v>
                </c:pt>
                <c:pt idx="124">
                  <c:v>56.801242124916655</c:v>
                </c:pt>
                <c:pt idx="125">
                  <c:v>56.250769050821617</c:v>
                </c:pt>
                <c:pt idx="126">
                  <c:v>55.657868843215709</c:v>
                </c:pt>
                <c:pt idx="127">
                  <c:v>55.022910070198847</c:v>
                </c:pt>
                <c:pt idx="128">
                  <c:v>54.346287444988349</c:v>
                </c:pt>
                <c:pt idx="129">
                  <c:v>53.628421580551006</c:v>
                </c:pt>
                <c:pt idx="130">
                  <c:v>52.869758728134926</c:v>
                </c:pt>
                <c:pt idx="131">
                  <c:v>52.070770499863713</c:v>
                </c:pt>
                <c:pt idx="132">
                  <c:v>51.231953575565385</c:v>
                </c:pt>
                <c:pt idx="133">
                  <c:v>50.353829394018334</c:v>
                </c:pt>
                <c:pt idx="134">
                  <c:v>49.436943828806236</c:v>
                </c:pt>
                <c:pt idx="135">
                  <c:v>48.481866848983351</c:v>
                </c:pt>
                <c:pt idx="136">
                  <c:v>47.489192164761299</c:v>
                </c:pt>
                <c:pt idx="137">
                  <c:v>46.45953685843741</c:v>
                </c:pt>
                <c:pt idx="138">
                  <c:v>45.39354100079418</c:v>
                </c:pt>
                <c:pt idx="139">
                  <c:v>44.29186725320821</c:v>
                </c:pt>
                <c:pt idx="140">
                  <c:v>43.155200455716098</c:v>
                </c:pt>
                <c:pt idx="141">
                  <c:v>41.984247201293201</c:v>
                </c:pt>
                <c:pt idx="142">
                  <c:v>40.779735396610057</c:v>
                </c:pt>
                <c:pt idx="143">
                  <c:v>39.542413809539362</c:v>
                </c:pt>
                <c:pt idx="144">
                  <c:v>38.27305160369496</c:v>
                </c:pt>
                <c:pt idx="145">
                  <c:v>36.97243786029204</c:v>
                </c:pt>
                <c:pt idx="146">
                  <c:v>35.641381087625909</c:v>
                </c:pt>
                <c:pt idx="147">
                  <c:v>34.280708718474088</c:v>
                </c:pt>
                <c:pt idx="148">
                  <c:v>32.891266595734379</c:v>
                </c:pt>
                <c:pt idx="149">
                  <c:v>31.473918446618441</c:v>
                </c:pt>
                <c:pt idx="150">
                  <c:v>30.029545345727961</c:v>
                </c:pt>
                <c:pt idx="151">
                  <c:v>28.559045167346859</c:v>
                </c:pt>
                <c:pt idx="152">
                  <c:v>27.063332027290457</c:v>
                </c:pt>
                <c:pt idx="153">
                  <c:v>25.54333571465812</c:v>
                </c:pt>
                <c:pt idx="154">
                  <c:v>24.00000111384292</c:v>
                </c:pt>
                <c:pt idx="155">
                  <c:v>22.434287617157558</c:v>
                </c:pt>
                <c:pt idx="156">
                  <c:v>20.847168528441451</c:v>
                </c:pt>
                <c:pt idx="157">
                  <c:v>19.239630458020226</c:v>
                </c:pt>
                <c:pt idx="158">
                  <c:v>17.612672709393095</c:v>
                </c:pt>
                <c:pt idx="159">
                  <c:v>15.967306658029923</c:v>
                </c:pt>
                <c:pt idx="160">
                  <c:v>14.304555122663807</c:v>
                </c:pt>
                <c:pt idx="161">
                  <c:v>12.625451729470267</c:v>
                </c:pt>
                <c:pt idx="162">
                  <c:v>10.931040269527855</c:v>
                </c:pt>
                <c:pt idx="163">
                  <c:v>9.2223740499601874</c:v>
                </c:pt>
                <c:pt idx="164">
                  <c:v>7.50051523916229</c:v>
                </c:pt>
                <c:pt idx="165">
                  <c:v>5.7665342065185783</c:v>
                </c:pt>
                <c:pt idx="166">
                  <c:v>4.0215088570226385</c:v>
                </c:pt>
                <c:pt idx="167">
                  <c:v>2.2665239612127621</c:v>
                </c:pt>
                <c:pt idx="168">
                  <c:v>0.50267048083958699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2.8515696384297637</c:v>
                </c:pt>
                <c:pt idx="177">
                  <c:v>1.9753111994832171</c:v>
                </c:pt>
                <c:pt idx="178">
                  <c:v>0.92563316887902047</c:v>
                </c:pt>
                <c:pt idx="179">
                  <c:v>-0.21601377837397351</c:v>
                </c:pt>
                <c:pt idx="180">
                  <c:v>-1.4157664759720063</c:v>
                </c:pt>
                <c:pt idx="181">
                  <c:v>-2.6556123420946562</c:v>
                </c:pt>
                <c:pt idx="182">
                  <c:v>-3.9245681685754725</c:v>
                </c:pt>
                <c:pt idx="183">
                  <c:v>-5.2153144569239593</c:v>
                </c:pt>
                <c:pt idx="184">
                  <c:v>-6.5226550874579061</c:v>
                </c:pt>
                <c:pt idx="185">
                  <c:v>-7.8427215966531474</c:v>
                </c:pt>
                <c:pt idx="186">
                  <c:v>-9.1725245020797033</c:v>
                </c:pt>
                <c:pt idx="187">
                  <c:v>-10.509682805443534</c:v>
                </c:pt>
                <c:pt idx="188">
                  <c:v>-11.852251962601201</c:v>
                </c:pt>
                <c:pt idx="189">
                  <c:v>-13.198609507350314</c:v>
                </c:pt>
                <c:pt idx="190">
                  <c:v>-14.547376030315508</c:v>
                </c:pt>
                <c:pt idx="191">
                  <c:v>-15.897358663204308</c:v>
                </c:pt>
                <c:pt idx="192">
                  <c:v>-17.247509325359044</c:v>
                </c:pt>
                <c:pt idx="193">
                  <c:v>-18.596892885306229</c:v>
                </c:pt>
                <c:pt idx="194">
                  <c:v>-19.944662101015112</c:v>
                </c:pt>
                <c:pt idx="195">
                  <c:v>-21.290037250525245</c:v>
                </c:pt>
                <c:pt idx="196">
                  <c:v>-22.632289027455251</c:v>
                </c:pt>
                <c:pt idx="197">
                  <c:v>-23.97072370792359</c:v>
                </c:pt>
                <c:pt idx="198">
                  <c:v>-25.30466988534544</c:v>
                </c:pt>
                <c:pt idx="199">
                  <c:v>-26.633466270137497</c:v>
                </c:pt>
                <c:pt idx="200">
                  <c:v>-27.956450194805811</c:v>
                </c:pt>
                <c:pt idx="201">
                  <c:v>-29.272946571435931</c:v>
                </c:pt>
                <c:pt idx="202">
                  <c:v>-30.582257131227855</c:v>
                </c:pt>
                <c:pt idx="203">
                  <c:v>-31.883649842884822</c:v>
                </c:pt>
                <c:pt idx="204">
                  <c:v>-33.176348463939625</c:v>
                </c:pt>
                <c:pt idx="205">
                  <c:v>-34.459522230103559</c:v>
                </c:pt>
                <c:pt idx="206">
                  <c:v>-35.732275734705851</c:v>
                </c:pt>
                <c:pt idx="207">
                  <c:v>-36.99363909448315</c:v>
                </c:pt>
                <c:pt idx="208">
                  <c:v>-38.242558539797471</c:v>
                </c:pt>
                <c:pt idx="209">
                  <c:v>-39.477887606536221</c:v>
                </c:pt>
                <c:pt idx="210">
                  <c:v>-40.698379142616446</c:v>
                </c:pt>
                <c:pt idx="211">
                  <c:v>-41.902678372794895</c:v>
                </c:pt>
                <c:pt idx="212">
                  <c:v>-43.089317289558807</c:v>
                </c:pt>
                <c:pt idx="213">
                  <c:v>-44.25671065311036</c:v>
                </c:pt>
                <c:pt idx="214">
                  <c:v>-45.403153887555582</c:v>
                </c:pt>
                <c:pt idx="215">
                  <c:v>-46.526823151096757</c:v>
                </c:pt>
                <c:pt idx="216">
                  <c:v>-47.625777833297384</c:v>
                </c:pt>
                <c:pt idx="217">
                  <c:v>-48.697965690882285</c:v>
                </c:pt>
                <c:pt idx="218">
                  <c:v>-49.741230774414589</c:v>
                </c:pt>
                <c:pt idx="219">
                  <c:v>-50.753324222038465</c:v>
                </c:pt>
                <c:pt idx="220">
                  <c:v>-51.731917905092047</c:v>
                </c:pt>
                <c:pt idx="221">
                  <c:v>-52.674620807053785</c:v>
                </c:pt>
                <c:pt idx="222">
                  <c:v>-53.578997906712083</c:v>
                </c:pt>
                <c:pt idx="223">
                  <c:v>-54.442591224662408</c:v>
                </c:pt>
                <c:pt idx="224">
                  <c:v>-55.262942586197084</c:v>
                </c:pt>
                <c:pt idx="225">
                  <c:v>-56.037617560739605</c:v>
                </c:pt>
                <c:pt idx="226">
                  <c:v>-56.764229965340405</c:v>
                </c:pt>
                <c:pt idx="227">
                  <c:v>-57.440466273599569</c:v>
                </c:pt>
                <c:pt idx="228">
                  <c:v>-58.064109256288212</c:v>
                </c:pt>
                <c:pt idx="229">
                  <c:v>-58.633060198267984</c:v>
                </c:pt>
                <c:pt idx="230">
                  <c:v>-59.145359087855262</c:v>
                </c:pt>
                <c:pt idx="231">
                  <c:v>-59.599202256688159</c:v>
                </c:pt>
                <c:pt idx="232">
                  <c:v>-59.992957055132891</c:v>
                </c:pt>
                <c:pt idx="233">
                  <c:v>-60.325173273076174</c:v>
                </c:pt>
                <c:pt idx="234">
                  <c:v>-60.594591150128096</c:v>
                </c:pt>
                <c:pt idx="235">
                  <c:v>-60.800145953957085</c:v>
                </c:pt>
                <c:pt idx="236">
                  <c:v>-60.940969232303956</c:v>
                </c:pt>
                <c:pt idx="237">
                  <c:v>-61.016386955989681</c:v>
                </c:pt>
                <c:pt idx="238">
                  <c:v>-61.025914861512376</c:v>
                </c:pt>
                <c:pt idx="239">
                  <c:v>-60.969251369261414</c:v>
                </c:pt>
              </c:numCache>
            </c:numRef>
          </c:xVal>
          <c:yVal>
            <c:numRef>
              <c:f>CALC60!$CQ$6:$CQ$581</c:f>
              <c:numCache>
                <c:formatCode>General</c:formatCode>
                <c:ptCount val="576"/>
              </c:numCache>
            </c:numRef>
          </c:yVal>
          <c:smooth val="0"/>
        </c:ser>
        <c:ser>
          <c:idx val="44"/>
          <c:order val="44"/>
          <c:tx>
            <c:strRef>
              <c:f>CALC60!$CR$5</c:f>
              <c:strCache>
                <c:ptCount val="1"/>
                <c:pt idx="0">
                  <c:v>R43</c:v>
                </c:pt>
              </c:strCache>
            </c:strRef>
          </c:tx>
          <c:spPr>
            <a:ln w="28575">
              <a:noFill/>
            </a:ln>
          </c:spPr>
          <c:xVal>
            <c:numRef>
              <c:f>CALC60!$AY$6:$AY$581</c:f>
              <c:numCache>
                <c:formatCode>General</c:formatCode>
                <c:ptCount val="576"/>
                <c:pt idx="0">
                  <c:v>-19.833506546880365</c:v>
                </c:pt>
                <c:pt idx="1">
                  <c:v>-18.245852614565919</c:v>
                </c:pt>
                <c:pt idx="2">
                  <c:v>-16.629666681765414</c:v>
                </c:pt>
                <c:pt idx="3">
                  <c:v>-14.98231154257417</c:v>
                </c:pt>
                <c:pt idx="4">
                  <c:v>-13.301143585556035</c:v>
                </c:pt>
                <c:pt idx="5">
                  <c:v>-11.583569246398675</c:v>
                </c:pt>
                <c:pt idx="6">
                  <c:v>-9.8270793278644781</c:v>
                </c:pt>
                <c:pt idx="7">
                  <c:v>-8.029252658232803</c:v>
                </c:pt>
                <c:pt idx="8">
                  <c:v>-6.1877185053343773</c:v>
                </c:pt>
                <c:pt idx="9">
                  <c:v>-4.3000630515963358</c:v>
                </c:pt>
                <c:pt idx="10">
                  <c:v>-2.3636564525099644</c:v>
                </c:pt>
                <c:pt idx="11">
                  <c:v>-0.37535794962416702</c:v>
                </c:pt>
                <c:pt idx="12">
                  <c:v>-3.0678010204149508</c:v>
                </c:pt>
                <c:pt idx="13">
                  <c:v>5.8156608222448263</c:v>
                </c:pt>
                <c:pt idx="14">
                  <c:v>-8.9906603193697858</c:v>
                </c:pt>
                <c:pt idx="15">
                  <c:v>-19.434156555154736</c:v>
                </c:pt>
                <c:pt idx="16">
                  <c:v>-12</c:v>
                </c:pt>
                <c:pt idx="17">
                  <c:v>-29.167117021908272</c:v>
                </c:pt>
                <c:pt idx="18">
                  <c:v>-14</c:v>
                </c:pt>
                <c:pt idx="19">
                  <c:v>-19.833506546880365</c:v>
                </c:pt>
                <c:pt idx="20">
                  <c:v>1.5130248501190131</c:v>
                </c:pt>
                <c:pt idx="21">
                  <c:v>12</c:v>
                </c:pt>
                <c:pt idx="22">
                  <c:v>-12</c:v>
                </c:pt>
                <c:pt idx="23">
                  <c:v>-28.772550131225248</c:v>
                </c:pt>
                <c:pt idx="24">
                  <c:v>-11.666666666666666</c:v>
                </c:pt>
                <c:pt idx="25">
                  <c:v>-18.245852614565919</c:v>
                </c:pt>
                <c:pt idx="26">
                  <c:v>4.3925078710812571</c:v>
                </c:pt>
                <c:pt idx="27">
                  <c:v>12</c:v>
                </c:pt>
                <c:pt idx="28">
                  <c:v>-12</c:v>
                </c:pt>
                <c:pt idx="29">
                  <c:v>-28.303800039278563</c:v>
                </c:pt>
                <c:pt idx="30">
                  <c:v>-9.3333333333333321</c:v>
                </c:pt>
                <c:pt idx="31">
                  <c:v>-16.629666681765414</c:v>
                </c:pt>
                <c:pt idx="32">
                  <c:v>6.4527131206909987</c:v>
                </c:pt>
                <c:pt idx="33">
                  <c:v>12</c:v>
                </c:pt>
                <c:pt idx="34">
                  <c:v>-12</c:v>
                </c:pt>
                <c:pt idx="35">
                  <c:v>-27.754010010716058</c:v>
                </c:pt>
                <c:pt idx="36">
                  <c:v>-6.9999999999999982</c:v>
                </c:pt>
                <c:pt idx="37">
                  <c:v>-14.98231154257417</c:v>
                </c:pt>
                <c:pt idx="38">
                  <c:v>8.2375052570320868</c:v>
                </c:pt>
                <c:pt idx="39">
                  <c:v>12</c:v>
                </c:pt>
                <c:pt idx="40">
                  <c:v>-12</c:v>
                </c:pt>
                <c:pt idx="41">
                  <c:v>-27.116306655803694</c:v>
                </c:pt>
                <c:pt idx="42">
                  <c:v>-4.6666666666666643</c:v>
                </c:pt>
                <c:pt idx="43">
                  <c:v>-13.301143585556035</c:v>
                </c:pt>
                <c:pt idx="44">
                  <c:v>9.8664661885771885</c:v>
                </c:pt>
                <c:pt idx="45">
                  <c:v>12</c:v>
                </c:pt>
                <c:pt idx="46">
                  <c:v>-12</c:v>
                </c:pt>
                <c:pt idx="47">
                  <c:v>-26.383946707329393</c:v>
                </c:pt>
                <c:pt idx="48">
                  <c:v>-2.3333333333333308</c:v>
                </c:pt>
                <c:pt idx="49">
                  <c:v>-11.583569246398675</c:v>
                </c:pt>
                <c:pt idx="50">
                  <c:v>11.388844623449907</c:v>
                </c:pt>
                <c:pt idx="51">
                  <c:v>12</c:v>
                </c:pt>
                <c:pt idx="52">
                  <c:v>-12</c:v>
                </c:pt>
                <c:pt idx="53">
                  <c:v>-25.550406252475348</c:v>
                </c:pt>
                <c:pt idx="54">
                  <c:v>0</c:v>
                </c:pt>
                <c:pt idx="55">
                  <c:v>-9.8270793278644781</c:v>
                </c:pt>
                <c:pt idx="56">
                  <c:v>12.829698097369761</c:v>
                </c:pt>
                <c:pt idx="57">
                  <c:v>12</c:v>
                </c:pt>
                <c:pt idx="58">
                  <c:v>-12</c:v>
                </c:pt>
                <c:pt idx="59">
                  <c:v>-24.609390244767855</c:v>
                </c:pt>
                <c:pt idx="60">
                  <c:v>2.3333333333333335</c:v>
                </c:pt>
                <c:pt idx="61">
                  <c:v>-8.029252658232803</c:v>
                </c:pt>
                <c:pt idx="62">
                  <c:v>14.203132463376605</c:v>
                </c:pt>
                <c:pt idx="63">
                  <c:v>12</c:v>
                </c:pt>
                <c:pt idx="64">
                  <c:v>-12</c:v>
                </c:pt>
                <c:pt idx="65">
                  <c:v>-23.554734780566797</c:v>
                </c:pt>
                <c:pt idx="66">
                  <c:v>4.666666666666667</c:v>
                </c:pt>
                <c:pt idx="67">
                  <c:v>-6.1877185053343773</c:v>
                </c:pt>
                <c:pt idx="68">
                  <c:v>15.517506829265256</c:v>
                </c:pt>
                <c:pt idx="69">
                  <c:v>12</c:v>
                </c:pt>
                <c:pt idx="70">
                  <c:v>-12</c:v>
                </c:pt>
                <c:pt idx="71">
                  <c:v>-22.380163934182676</c:v>
                </c:pt>
                <c:pt idx="72">
                  <c:v>7</c:v>
                </c:pt>
                <c:pt idx="73">
                  <c:v>-4.3000630515963358</c:v>
                </c:pt>
                <c:pt idx="74">
                  <c:v>16.777941702150098</c:v>
                </c:pt>
                <c:pt idx="75">
                  <c:v>12</c:v>
                </c:pt>
                <c:pt idx="76">
                  <c:v>-12</c:v>
                </c:pt>
                <c:pt idx="77">
                  <c:v>-21.078840109892809</c:v>
                </c:pt>
                <c:pt idx="78">
                  <c:v>9.3333333333333339</c:v>
                </c:pt>
                <c:pt idx="79">
                  <c:v>-2.3636564525099644</c:v>
                </c:pt>
                <c:pt idx="80">
                  <c:v>17.987756355580007</c:v>
                </c:pt>
                <c:pt idx="81">
                  <c:v>12</c:v>
                </c:pt>
                <c:pt idx="82">
                  <c:v>-12</c:v>
                </c:pt>
                <c:pt idx="83">
                  <c:v>-19.642597335724307</c:v>
                </c:pt>
                <c:pt idx="84">
                  <c:v>11.666666666666668</c:v>
                </c:pt>
                <c:pt idx="85">
                  <c:v>-0.37535794962416702</c:v>
                </c:pt>
                <c:pt idx="86">
                  <c:v>19.149459663035739</c:v>
                </c:pt>
                <c:pt idx="87">
                  <c:v>12</c:v>
                </c:pt>
                <c:pt idx="88">
                  <c:v>-12</c:v>
                </c:pt>
                <c:pt idx="89">
                  <c:v>-30.376282653093735</c:v>
                </c:pt>
                <c:pt idx="90">
                  <c:v>14.000000000000002</c:v>
                </c:pt>
                <c:pt idx="91">
                  <c:v>-3.0678010204149508</c:v>
                </c:pt>
                <c:pt idx="92">
                  <c:v>26.896999319700733</c:v>
                </c:pt>
                <c:pt idx="93">
                  <c:v>12</c:v>
                </c:pt>
                <c:pt idx="94">
                  <c:v>-12</c:v>
                </c:pt>
                <c:pt idx="95">
                  <c:v>-24.879281862192261</c:v>
                </c:pt>
                <c:pt idx="96">
                  <c:v>25</c:v>
                </c:pt>
                <c:pt idx="97">
                  <c:v>5.8156608222448263</c:v>
                </c:pt>
                <c:pt idx="98">
                  <c:v>31.34962606454722</c:v>
                </c:pt>
                <c:pt idx="99">
                  <c:v>12</c:v>
                </c:pt>
                <c:pt idx="100">
                  <c:v>-12</c:v>
                </c:pt>
                <c:pt idx="101">
                  <c:v>-23.375716830330454</c:v>
                </c:pt>
                <c:pt idx="102">
                  <c:v>0</c:v>
                </c:pt>
                <c:pt idx="103">
                  <c:v>-8.9906603193697858</c:v>
                </c:pt>
                <c:pt idx="104">
                  <c:v>22.648032351271631</c:v>
                </c:pt>
                <c:pt idx="105">
                  <c:v>12</c:v>
                </c:pt>
                <c:pt idx="106">
                  <c:v>-12</c:v>
                </c:pt>
                <c:pt idx="107">
                  <c:v>-10.52880704336475</c:v>
                </c:pt>
                <c:pt idx="108">
                  <c:v>-25</c:v>
                </c:pt>
                <c:pt idx="109">
                  <c:v>-19.434156555154736</c:v>
                </c:pt>
                <c:pt idx="110">
                  <c:v>20.32293673094285</c:v>
                </c:pt>
                <c:pt idx="111">
                  <c:v>12</c:v>
                </c:pt>
                <c:pt idx="112">
                  <c:v>60</c:v>
                </c:pt>
                <c:pt idx="113">
                  <c:v>59.977621104822219</c:v>
                </c:pt>
                <c:pt idx="114">
                  <c:v>59.910498330815244</c:v>
                </c:pt>
                <c:pt idx="115">
                  <c:v>59.7986734039103</c:v>
                </c:pt>
                <c:pt idx="116">
                  <c:v>59.642215838505066</c:v>
                </c:pt>
                <c:pt idx="117">
                  <c:v>59.441222894251112</c:v>
                </c:pt>
                <c:pt idx="118">
                  <c:v>59.195819515593755</c:v>
                </c:pt>
                <c:pt idx="119">
                  <c:v>58.906158254102053</c:v>
                </c:pt>
                <c:pt idx="120">
                  <c:v>58.572419173637371</c:v>
                </c:pt>
                <c:pt idx="121">
                  <c:v>58.19480973841911</c:v>
                </c:pt>
                <c:pt idx="122">
                  <c:v>57.77356468405749</c:v>
                </c:pt>
                <c:pt idx="123">
                  <c:v>57.308945871633512</c:v>
                </c:pt>
                <c:pt idx="124">
                  <c:v>56.801242124916655</c:v>
                </c:pt>
                <c:pt idx="125">
                  <c:v>56.250769050821617</c:v>
                </c:pt>
                <c:pt idx="126">
                  <c:v>55.657868843215709</c:v>
                </c:pt>
                <c:pt idx="127">
                  <c:v>55.022910070198847</c:v>
                </c:pt>
                <c:pt idx="128">
                  <c:v>54.346287444988349</c:v>
                </c:pt>
                <c:pt idx="129">
                  <c:v>53.628421580551006</c:v>
                </c:pt>
                <c:pt idx="130">
                  <c:v>52.869758728134926</c:v>
                </c:pt>
                <c:pt idx="131">
                  <c:v>52.070770499863713</c:v>
                </c:pt>
                <c:pt idx="132">
                  <c:v>51.231953575565385</c:v>
                </c:pt>
                <c:pt idx="133">
                  <c:v>50.353829394018334</c:v>
                </c:pt>
                <c:pt idx="134">
                  <c:v>49.436943828806236</c:v>
                </c:pt>
                <c:pt idx="135">
                  <c:v>48.481866848983351</c:v>
                </c:pt>
                <c:pt idx="136">
                  <c:v>47.489192164761299</c:v>
                </c:pt>
                <c:pt idx="137">
                  <c:v>46.45953685843741</c:v>
                </c:pt>
                <c:pt idx="138">
                  <c:v>45.39354100079418</c:v>
                </c:pt>
                <c:pt idx="139">
                  <c:v>44.29186725320821</c:v>
                </c:pt>
                <c:pt idx="140">
                  <c:v>43.155200455716098</c:v>
                </c:pt>
                <c:pt idx="141">
                  <c:v>41.984247201293201</c:v>
                </c:pt>
                <c:pt idx="142">
                  <c:v>40.779735396610057</c:v>
                </c:pt>
                <c:pt idx="143">
                  <c:v>39.542413809539362</c:v>
                </c:pt>
                <c:pt idx="144">
                  <c:v>38.27305160369496</c:v>
                </c:pt>
                <c:pt idx="145">
                  <c:v>36.97243786029204</c:v>
                </c:pt>
                <c:pt idx="146">
                  <c:v>35.641381087625909</c:v>
                </c:pt>
                <c:pt idx="147">
                  <c:v>34.280708718474088</c:v>
                </c:pt>
                <c:pt idx="148">
                  <c:v>32.891266595734379</c:v>
                </c:pt>
                <c:pt idx="149">
                  <c:v>31.473918446618441</c:v>
                </c:pt>
                <c:pt idx="150">
                  <c:v>30.029545345727961</c:v>
                </c:pt>
                <c:pt idx="151">
                  <c:v>28.559045167346859</c:v>
                </c:pt>
                <c:pt idx="152">
                  <c:v>27.063332027290457</c:v>
                </c:pt>
                <c:pt idx="153">
                  <c:v>25.54333571465812</c:v>
                </c:pt>
                <c:pt idx="154">
                  <c:v>24.00000111384292</c:v>
                </c:pt>
                <c:pt idx="155">
                  <c:v>22.434287617157558</c:v>
                </c:pt>
                <c:pt idx="156">
                  <c:v>20.847168528441451</c:v>
                </c:pt>
                <c:pt idx="157">
                  <c:v>19.239630458020226</c:v>
                </c:pt>
                <c:pt idx="158">
                  <c:v>17.612672709393095</c:v>
                </c:pt>
                <c:pt idx="159">
                  <c:v>15.967306658029923</c:v>
                </c:pt>
                <c:pt idx="160">
                  <c:v>14.304555122663807</c:v>
                </c:pt>
                <c:pt idx="161">
                  <c:v>12.625451729470267</c:v>
                </c:pt>
                <c:pt idx="162">
                  <c:v>10.931040269527855</c:v>
                </c:pt>
                <c:pt idx="163">
                  <c:v>9.2223740499601874</c:v>
                </c:pt>
                <c:pt idx="164">
                  <c:v>7.50051523916229</c:v>
                </c:pt>
                <c:pt idx="165">
                  <c:v>5.7665342065185783</c:v>
                </c:pt>
                <c:pt idx="166">
                  <c:v>4.0215088570226385</c:v>
                </c:pt>
                <c:pt idx="167">
                  <c:v>2.2665239612127621</c:v>
                </c:pt>
                <c:pt idx="168">
                  <c:v>0.50267048083958699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2.8515696384297637</c:v>
                </c:pt>
                <c:pt idx="177">
                  <c:v>1.9753111994832171</c:v>
                </c:pt>
                <c:pt idx="178">
                  <c:v>0.92563316887902047</c:v>
                </c:pt>
                <c:pt idx="179">
                  <c:v>-0.21601377837397351</c:v>
                </c:pt>
                <c:pt idx="180">
                  <c:v>-1.4157664759720063</c:v>
                </c:pt>
                <c:pt idx="181">
                  <c:v>-2.6556123420946562</c:v>
                </c:pt>
                <c:pt idx="182">
                  <c:v>-3.9245681685754725</c:v>
                </c:pt>
                <c:pt idx="183">
                  <c:v>-5.2153144569239593</c:v>
                </c:pt>
                <c:pt idx="184">
                  <c:v>-6.5226550874579061</c:v>
                </c:pt>
                <c:pt idx="185">
                  <c:v>-7.8427215966531474</c:v>
                </c:pt>
                <c:pt idx="186">
                  <c:v>-9.1725245020797033</c:v>
                </c:pt>
                <c:pt idx="187">
                  <c:v>-10.509682805443534</c:v>
                </c:pt>
                <c:pt idx="188">
                  <c:v>-11.852251962601201</c:v>
                </c:pt>
                <c:pt idx="189">
                  <c:v>-13.198609507350314</c:v>
                </c:pt>
                <c:pt idx="190">
                  <c:v>-14.547376030315508</c:v>
                </c:pt>
                <c:pt idx="191">
                  <c:v>-15.897358663204308</c:v>
                </c:pt>
                <c:pt idx="192">
                  <c:v>-17.247509325359044</c:v>
                </c:pt>
                <c:pt idx="193">
                  <c:v>-18.596892885306229</c:v>
                </c:pt>
                <c:pt idx="194">
                  <c:v>-19.944662101015112</c:v>
                </c:pt>
                <c:pt idx="195">
                  <c:v>-21.290037250525245</c:v>
                </c:pt>
                <c:pt idx="196">
                  <c:v>-22.632289027455251</c:v>
                </c:pt>
                <c:pt idx="197">
                  <c:v>-23.97072370792359</c:v>
                </c:pt>
                <c:pt idx="198">
                  <c:v>-25.30466988534544</c:v>
                </c:pt>
                <c:pt idx="199">
                  <c:v>-26.633466270137497</c:v>
                </c:pt>
                <c:pt idx="200">
                  <c:v>-27.956450194805811</c:v>
                </c:pt>
                <c:pt idx="201">
                  <c:v>-29.272946571435931</c:v>
                </c:pt>
                <c:pt idx="202">
                  <c:v>-30.582257131227855</c:v>
                </c:pt>
                <c:pt idx="203">
                  <c:v>-31.883649842884822</c:v>
                </c:pt>
                <c:pt idx="204">
                  <c:v>-33.176348463939625</c:v>
                </c:pt>
                <c:pt idx="205">
                  <c:v>-34.459522230103559</c:v>
                </c:pt>
                <c:pt idx="206">
                  <c:v>-35.732275734705851</c:v>
                </c:pt>
                <c:pt idx="207">
                  <c:v>-36.99363909448315</c:v>
                </c:pt>
                <c:pt idx="208">
                  <c:v>-38.242558539797471</c:v>
                </c:pt>
                <c:pt idx="209">
                  <c:v>-39.477887606536221</c:v>
                </c:pt>
                <c:pt idx="210">
                  <c:v>-40.698379142616446</c:v>
                </c:pt>
                <c:pt idx="211">
                  <c:v>-41.902678372794895</c:v>
                </c:pt>
                <c:pt idx="212">
                  <c:v>-43.089317289558807</c:v>
                </c:pt>
                <c:pt idx="213">
                  <c:v>-44.25671065311036</c:v>
                </c:pt>
                <c:pt idx="214">
                  <c:v>-45.403153887555582</c:v>
                </c:pt>
                <c:pt idx="215">
                  <c:v>-46.526823151096757</c:v>
                </c:pt>
                <c:pt idx="216">
                  <c:v>-47.625777833297384</c:v>
                </c:pt>
                <c:pt idx="217">
                  <c:v>-48.697965690882285</c:v>
                </c:pt>
                <c:pt idx="218">
                  <c:v>-49.741230774414589</c:v>
                </c:pt>
                <c:pt idx="219">
                  <c:v>-50.753324222038465</c:v>
                </c:pt>
                <c:pt idx="220">
                  <c:v>-51.731917905092047</c:v>
                </c:pt>
                <c:pt idx="221">
                  <c:v>-52.674620807053785</c:v>
                </c:pt>
                <c:pt idx="222">
                  <c:v>-53.578997906712083</c:v>
                </c:pt>
                <c:pt idx="223">
                  <c:v>-54.442591224662408</c:v>
                </c:pt>
                <c:pt idx="224">
                  <c:v>-55.262942586197084</c:v>
                </c:pt>
                <c:pt idx="225">
                  <c:v>-56.037617560739605</c:v>
                </c:pt>
                <c:pt idx="226">
                  <c:v>-56.764229965340405</c:v>
                </c:pt>
                <c:pt idx="227">
                  <c:v>-57.440466273599569</c:v>
                </c:pt>
                <c:pt idx="228">
                  <c:v>-58.064109256288212</c:v>
                </c:pt>
                <c:pt idx="229">
                  <c:v>-58.633060198267984</c:v>
                </c:pt>
                <c:pt idx="230">
                  <c:v>-59.145359087855262</c:v>
                </c:pt>
                <c:pt idx="231">
                  <c:v>-59.599202256688159</c:v>
                </c:pt>
                <c:pt idx="232">
                  <c:v>-59.992957055132891</c:v>
                </c:pt>
                <c:pt idx="233">
                  <c:v>-60.325173273076174</c:v>
                </c:pt>
                <c:pt idx="234">
                  <c:v>-60.594591150128096</c:v>
                </c:pt>
                <c:pt idx="235">
                  <c:v>-60.800145953957085</c:v>
                </c:pt>
                <c:pt idx="236">
                  <c:v>-60.940969232303956</c:v>
                </c:pt>
                <c:pt idx="237">
                  <c:v>-61.016386955989681</c:v>
                </c:pt>
                <c:pt idx="238">
                  <c:v>-61.025914861512376</c:v>
                </c:pt>
                <c:pt idx="239">
                  <c:v>-60.969251369261414</c:v>
                </c:pt>
              </c:numCache>
            </c:numRef>
          </c:xVal>
          <c:yVal>
            <c:numRef>
              <c:f>CALC60!$CR$6:$CR$581</c:f>
              <c:numCache>
                <c:formatCode>General</c:formatCode>
                <c:ptCount val="576"/>
              </c:numCache>
            </c:numRef>
          </c:yVal>
          <c:smooth val="0"/>
        </c:ser>
        <c:ser>
          <c:idx val="45"/>
          <c:order val="45"/>
          <c:tx>
            <c:strRef>
              <c:f>CALC60!$CS$5</c:f>
              <c:strCache>
                <c:ptCount val="1"/>
                <c:pt idx="0">
                  <c:v>R44</c:v>
                </c:pt>
              </c:strCache>
            </c:strRef>
          </c:tx>
          <c:spPr>
            <a:ln w="28575">
              <a:noFill/>
            </a:ln>
          </c:spPr>
          <c:xVal>
            <c:numRef>
              <c:f>CALC60!$AY$6:$AY$581</c:f>
              <c:numCache>
                <c:formatCode>General</c:formatCode>
                <c:ptCount val="576"/>
                <c:pt idx="0">
                  <c:v>-19.833506546880365</c:v>
                </c:pt>
                <c:pt idx="1">
                  <c:v>-18.245852614565919</c:v>
                </c:pt>
                <c:pt idx="2">
                  <c:v>-16.629666681765414</c:v>
                </c:pt>
                <c:pt idx="3">
                  <c:v>-14.98231154257417</c:v>
                </c:pt>
                <c:pt idx="4">
                  <c:v>-13.301143585556035</c:v>
                </c:pt>
                <c:pt idx="5">
                  <c:v>-11.583569246398675</c:v>
                </c:pt>
                <c:pt idx="6">
                  <c:v>-9.8270793278644781</c:v>
                </c:pt>
                <c:pt idx="7">
                  <c:v>-8.029252658232803</c:v>
                </c:pt>
                <c:pt idx="8">
                  <c:v>-6.1877185053343773</c:v>
                </c:pt>
                <c:pt idx="9">
                  <c:v>-4.3000630515963358</c:v>
                </c:pt>
                <c:pt idx="10">
                  <c:v>-2.3636564525099644</c:v>
                </c:pt>
                <c:pt idx="11">
                  <c:v>-0.37535794962416702</c:v>
                </c:pt>
                <c:pt idx="12">
                  <c:v>-3.0678010204149508</c:v>
                </c:pt>
                <c:pt idx="13">
                  <c:v>5.8156608222448263</c:v>
                </c:pt>
                <c:pt idx="14">
                  <c:v>-8.9906603193697858</c:v>
                </c:pt>
                <c:pt idx="15">
                  <c:v>-19.434156555154736</c:v>
                </c:pt>
                <c:pt idx="16">
                  <c:v>-12</c:v>
                </c:pt>
                <c:pt idx="17">
                  <c:v>-29.167117021908272</c:v>
                </c:pt>
                <c:pt idx="18">
                  <c:v>-14</c:v>
                </c:pt>
                <c:pt idx="19">
                  <c:v>-19.833506546880365</c:v>
                </c:pt>
                <c:pt idx="20">
                  <c:v>1.5130248501190131</c:v>
                </c:pt>
                <c:pt idx="21">
                  <c:v>12</c:v>
                </c:pt>
                <c:pt idx="22">
                  <c:v>-12</c:v>
                </c:pt>
                <c:pt idx="23">
                  <c:v>-28.772550131225248</c:v>
                </c:pt>
                <c:pt idx="24">
                  <c:v>-11.666666666666666</c:v>
                </c:pt>
                <c:pt idx="25">
                  <c:v>-18.245852614565919</c:v>
                </c:pt>
                <c:pt idx="26">
                  <c:v>4.3925078710812571</c:v>
                </c:pt>
                <c:pt idx="27">
                  <c:v>12</c:v>
                </c:pt>
                <c:pt idx="28">
                  <c:v>-12</c:v>
                </c:pt>
                <c:pt idx="29">
                  <c:v>-28.303800039278563</c:v>
                </c:pt>
                <c:pt idx="30">
                  <c:v>-9.3333333333333321</c:v>
                </c:pt>
                <c:pt idx="31">
                  <c:v>-16.629666681765414</c:v>
                </c:pt>
                <c:pt idx="32">
                  <c:v>6.4527131206909987</c:v>
                </c:pt>
                <c:pt idx="33">
                  <c:v>12</c:v>
                </c:pt>
                <c:pt idx="34">
                  <c:v>-12</c:v>
                </c:pt>
                <c:pt idx="35">
                  <c:v>-27.754010010716058</c:v>
                </c:pt>
                <c:pt idx="36">
                  <c:v>-6.9999999999999982</c:v>
                </c:pt>
                <c:pt idx="37">
                  <c:v>-14.98231154257417</c:v>
                </c:pt>
                <c:pt idx="38">
                  <c:v>8.2375052570320868</c:v>
                </c:pt>
                <c:pt idx="39">
                  <c:v>12</c:v>
                </c:pt>
                <c:pt idx="40">
                  <c:v>-12</c:v>
                </c:pt>
                <c:pt idx="41">
                  <c:v>-27.116306655803694</c:v>
                </c:pt>
                <c:pt idx="42">
                  <c:v>-4.6666666666666643</c:v>
                </c:pt>
                <c:pt idx="43">
                  <c:v>-13.301143585556035</c:v>
                </c:pt>
                <c:pt idx="44">
                  <c:v>9.8664661885771885</c:v>
                </c:pt>
                <c:pt idx="45">
                  <c:v>12</c:v>
                </c:pt>
                <c:pt idx="46">
                  <c:v>-12</c:v>
                </c:pt>
                <c:pt idx="47">
                  <c:v>-26.383946707329393</c:v>
                </c:pt>
                <c:pt idx="48">
                  <c:v>-2.3333333333333308</c:v>
                </c:pt>
                <c:pt idx="49">
                  <c:v>-11.583569246398675</c:v>
                </c:pt>
                <c:pt idx="50">
                  <c:v>11.388844623449907</c:v>
                </c:pt>
                <c:pt idx="51">
                  <c:v>12</c:v>
                </c:pt>
                <c:pt idx="52">
                  <c:v>-12</c:v>
                </c:pt>
                <c:pt idx="53">
                  <c:v>-25.550406252475348</c:v>
                </c:pt>
                <c:pt idx="54">
                  <c:v>0</c:v>
                </c:pt>
                <c:pt idx="55">
                  <c:v>-9.8270793278644781</c:v>
                </c:pt>
                <c:pt idx="56">
                  <c:v>12.829698097369761</c:v>
                </c:pt>
                <c:pt idx="57">
                  <c:v>12</c:v>
                </c:pt>
                <c:pt idx="58">
                  <c:v>-12</c:v>
                </c:pt>
                <c:pt idx="59">
                  <c:v>-24.609390244767855</c:v>
                </c:pt>
                <c:pt idx="60">
                  <c:v>2.3333333333333335</c:v>
                </c:pt>
                <c:pt idx="61">
                  <c:v>-8.029252658232803</c:v>
                </c:pt>
                <c:pt idx="62">
                  <c:v>14.203132463376605</c:v>
                </c:pt>
                <c:pt idx="63">
                  <c:v>12</c:v>
                </c:pt>
                <c:pt idx="64">
                  <c:v>-12</c:v>
                </c:pt>
                <c:pt idx="65">
                  <c:v>-23.554734780566797</c:v>
                </c:pt>
                <c:pt idx="66">
                  <c:v>4.666666666666667</c:v>
                </c:pt>
                <c:pt idx="67">
                  <c:v>-6.1877185053343773</c:v>
                </c:pt>
                <c:pt idx="68">
                  <c:v>15.517506829265256</c:v>
                </c:pt>
                <c:pt idx="69">
                  <c:v>12</c:v>
                </c:pt>
                <c:pt idx="70">
                  <c:v>-12</c:v>
                </c:pt>
                <c:pt idx="71">
                  <c:v>-22.380163934182676</c:v>
                </c:pt>
                <c:pt idx="72">
                  <c:v>7</c:v>
                </c:pt>
                <c:pt idx="73">
                  <c:v>-4.3000630515963358</c:v>
                </c:pt>
                <c:pt idx="74">
                  <c:v>16.777941702150098</c:v>
                </c:pt>
                <c:pt idx="75">
                  <c:v>12</c:v>
                </c:pt>
                <c:pt idx="76">
                  <c:v>-12</c:v>
                </c:pt>
                <c:pt idx="77">
                  <c:v>-21.078840109892809</c:v>
                </c:pt>
                <c:pt idx="78">
                  <c:v>9.3333333333333339</c:v>
                </c:pt>
                <c:pt idx="79">
                  <c:v>-2.3636564525099644</c:v>
                </c:pt>
                <c:pt idx="80">
                  <c:v>17.987756355580007</c:v>
                </c:pt>
                <c:pt idx="81">
                  <c:v>12</c:v>
                </c:pt>
                <c:pt idx="82">
                  <c:v>-12</c:v>
                </c:pt>
                <c:pt idx="83">
                  <c:v>-19.642597335724307</c:v>
                </c:pt>
                <c:pt idx="84">
                  <c:v>11.666666666666668</c:v>
                </c:pt>
                <c:pt idx="85">
                  <c:v>-0.37535794962416702</c:v>
                </c:pt>
                <c:pt idx="86">
                  <c:v>19.149459663035739</c:v>
                </c:pt>
                <c:pt idx="87">
                  <c:v>12</c:v>
                </c:pt>
                <c:pt idx="88">
                  <c:v>-12</c:v>
                </c:pt>
                <c:pt idx="89">
                  <c:v>-30.376282653093735</c:v>
                </c:pt>
                <c:pt idx="90">
                  <c:v>14.000000000000002</c:v>
                </c:pt>
                <c:pt idx="91">
                  <c:v>-3.0678010204149508</c:v>
                </c:pt>
                <c:pt idx="92">
                  <c:v>26.896999319700733</c:v>
                </c:pt>
                <c:pt idx="93">
                  <c:v>12</c:v>
                </c:pt>
                <c:pt idx="94">
                  <c:v>-12</c:v>
                </c:pt>
                <c:pt idx="95">
                  <c:v>-24.879281862192261</c:v>
                </c:pt>
                <c:pt idx="96">
                  <c:v>25</c:v>
                </c:pt>
                <c:pt idx="97">
                  <c:v>5.8156608222448263</c:v>
                </c:pt>
                <c:pt idx="98">
                  <c:v>31.34962606454722</c:v>
                </c:pt>
                <c:pt idx="99">
                  <c:v>12</c:v>
                </c:pt>
                <c:pt idx="100">
                  <c:v>-12</c:v>
                </c:pt>
                <c:pt idx="101">
                  <c:v>-23.375716830330454</c:v>
                </c:pt>
                <c:pt idx="102">
                  <c:v>0</c:v>
                </c:pt>
                <c:pt idx="103">
                  <c:v>-8.9906603193697858</c:v>
                </c:pt>
                <c:pt idx="104">
                  <c:v>22.648032351271631</c:v>
                </c:pt>
                <c:pt idx="105">
                  <c:v>12</c:v>
                </c:pt>
                <c:pt idx="106">
                  <c:v>-12</c:v>
                </c:pt>
                <c:pt idx="107">
                  <c:v>-10.52880704336475</c:v>
                </c:pt>
                <c:pt idx="108">
                  <c:v>-25</c:v>
                </c:pt>
                <c:pt idx="109">
                  <c:v>-19.434156555154736</c:v>
                </c:pt>
                <c:pt idx="110">
                  <c:v>20.32293673094285</c:v>
                </c:pt>
                <c:pt idx="111">
                  <c:v>12</c:v>
                </c:pt>
                <c:pt idx="112">
                  <c:v>60</c:v>
                </c:pt>
                <c:pt idx="113">
                  <c:v>59.977621104822219</c:v>
                </c:pt>
                <c:pt idx="114">
                  <c:v>59.910498330815244</c:v>
                </c:pt>
                <c:pt idx="115">
                  <c:v>59.7986734039103</c:v>
                </c:pt>
                <c:pt idx="116">
                  <c:v>59.642215838505066</c:v>
                </c:pt>
                <c:pt idx="117">
                  <c:v>59.441222894251112</c:v>
                </c:pt>
                <c:pt idx="118">
                  <c:v>59.195819515593755</c:v>
                </c:pt>
                <c:pt idx="119">
                  <c:v>58.906158254102053</c:v>
                </c:pt>
                <c:pt idx="120">
                  <c:v>58.572419173637371</c:v>
                </c:pt>
                <c:pt idx="121">
                  <c:v>58.19480973841911</c:v>
                </c:pt>
                <c:pt idx="122">
                  <c:v>57.77356468405749</c:v>
                </c:pt>
                <c:pt idx="123">
                  <c:v>57.308945871633512</c:v>
                </c:pt>
                <c:pt idx="124">
                  <c:v>56.801242124916655</c:v>
                </c:pt>
                <c:pt idx="125">
                  <c:v>56.250769050821617</c:v>
                </c:pt>
                <c:pt idx="126">
                  <c:v>55.657868843215709</c:v>
                </c:pt>
                <c:pt idx="127">
                  <c:v>55.022910070198847</c:v>
                </c:pt>
                <c:pt idx="128">
                  <c:v>54.346287444988349</c:v>
                </c:pt>
                <c:pt idx="129">
                  <c:v>53.628421580551006</c:v>
                </c:pt>
                <c:pt idx="130">
                  <c:v>52.869758728134926</c:v>
                </c:pt>
                <c:pt idx="131">
                  <c:v>52.070770499863713</c:v>
                </c:pt>
                <c:pt idx="132">
                  <c:v>51.231953575565385</c:v>
                </c:pt>
                <c:pt idx="133">
                  <c:v>50.353829394018334</c:v>
                </c:pt>
                <c:pt idx="134">
                  <c:v>49.436943828806236</c:v>
                </c:pt>
                <c:pt idx="135">
                  <c:v>48.481866848983351</c:v>
                </c:pt>
                <c:pt idx="136">
                  <c:v>47.489192164761299</c:v>
                </c:pt>
                <c:pt idx="137">
                  <c:v>46.45953685843741</c:v>
                </c:pt>
                <c:pt idx="138">
                  <c:v>45.39354100079418</c:v>
                </c:pt>
                <c:pt idx="139">
                  <c:v>44.29186725320821</c:v>
                </c:pt>
                <c:pt idx="140">
                  <c:v>43.155200455716098</c:v>
                </c:pt>
                <c:pt idx="141">
                  <c:v>41.984247201293201</c:v>
                </c:pt>
                <c:pt idx="142">
                  <c:v>40.779735396610057</c:v>
                </c:pt>
                <c:pt idx="143">
                  <c:v>39.542413809539362</c:v>
                </c:pt>
                <c:pt idx="144">
                  <c:v>38.27305160369496</c:v>
                </c:pt>
                <c:pt idx="145">
                  <c:v>36.97243786029204</c:v>
                </c:pt>
                <c:pt idx="146">
                  <c:v>35.641381087625909</c:v>
                </c:pt>
                <c:pt idx="147">
                  <c:v>34.280708718474088</c:v>
                </c:pt>
                <c:pt idx="148">
                  <c:v>32.891266595734379</c:v>
                </c:pt>
                <c:pt idx="149">
                  <c:v>31.473918446618441</c:v>
                </c:pt>
                <c:pt idx="150">
                  <c:v>30.029545345727961</c:v>
                </c:pt>
                <c:pt idx="151">
                  <c:v>28.559045167346859</c:v>
                </c:pt>
                <c:pt idx="152">
                  <c:v>27.063332027290457</c:v>
                </c:pt>
                <c:pt idx="153">
                  <c:v>25.54333571465812</c:v>
                </c:pt>
                <c:pt idx="154">
                  <c:v>24.00000111384292</c:v>
                </c:pt>
                <c:pt idx="155">
                  <c:v>22.434287617157558</c:v>
                </c:pt>
                <c:pt idx="156">
                  <c:v>20.847168528441451</c:v>
                </c:pt>
                <c:pt idx="157">
                  <c:v>19.239630458020226</c:v>
                </c:pt>
                <c:pt idx="158">
                  <c:v>17.612672709393095</c:v>
                </c:pt>
                <c:pt idx="159">
                  <c:v>15.967306658029923</c:v>
                </c:pt>
                <c:pt idx="160">
                  <c:v>14.304555122663807</c:v>
                </c:pt>
                <c:pt idx="161">
                  <c:v>12.625451729470267</c:v>
                </c:pt>
                <c:pt idx="162">
                  <c:v>10.931040269527855</c:v>
                </c:pt>
                <c:pt idx="163">
                  <c:v>9.2223740499601874</c:v>
                </c:pt>
                <c:pt idx="164">
                  <c:v>7.50051523916229</c:v>
                </c:pt>
                <c:pt idx="165">
                  <c:v>5.7665342065185783</c:v>
                </c:pt>
                <c:pt idx="166">
                  <c:v>4.0215088570226385</c:v>
                </c:pt>
                <c:pt idx="167">
                  <c:v>2.2665239612127621</c:v>
                </c:pt>
                <c:pt idx="168">
                  <c:v>0.50267048083958699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2.8515696384297637</c:v>
                </c:pt>
                <c:pt idx="177">
                  <c:v>1.9753111994832171</c:v>
                </c:pt>
                <c:pt idx="178">
                  <c:v>0.92563316887902047</c:v>
                </c:pt>
                <c:pt idx="179">
                  <c:v>-0.21601377837397351</c:v>
                </c:pt>
                <c:pt idx="180">
                  <c:v>-1.4157664759720063</c:v>
                </c:pt>
                <c:pt idx="181">
                  <c:v>-2.6556123420946562</c:v>
                </c:pt>
                <c:pt idx="182">
                  <c:v>-3.9245681685754725</c:v>
                </c:pt>
                <c:pt idx="183">
                  <c:v>-5.2153144569239593</c:v>
                </c:pt>
                <c:pt idx="184">
                  <c:v>-6.5226550874579061</c:v>
                </c:pt>
                <c:pt idx="185">
                  <c:v>-7.8427215966531474</c:v>
                </c:pt>
                <c:pt idx="186">
                  <c:v>-9.1725245020797033</c:v>
                </c:pt>
                <c:pt idx="187">
                  <c:v>-10.509682805443534</c:v>
                </c:pt>
                <c:pt idx="188">
                  <c:v>-11.852251962601201</c:v>
                </c:pt>
                <c:pt idx="189">
                  <c:v>-13.198609507350314</c:v>
                </c:pt>
                <c:pt idx="190">
                  <c:v>-14.547376030315508</c:v>
                </c:pt>
                <c:pt idx="191">
                  <c:v>-15.897358663204308</c:v>
                </c:pt>
                <c:pt idx="192">
                  <c:v>-17.247509325359044</c:v>
                </c:pt>
                <c:pt idx="193">
                  <c:v>-18.596892885306229</c:v>
                </c:pt>
                <c:pt idx="194">
                  <c:v>-19.944662101015112</c:v>
                </c:pt>
                <c:pt idx="195">
                  <c:v>-21.290037250525245</c:v>
                </c:pt>
                <c:pt idx="196">
                  <c:v>-22.632289027455251</c:v>
                </c:pt>
                <c:pt idx="197">
                  <c:v>-23.97072370792359</c:v>
                </c:pt>
                <c:pt idx="198">
                  <c:v>-25.30466988534544</c:v>
                </c:pt>
                <c:pt idx="199">
                  <c:v>-26.633466270137497</c:v>
                </c:pt>
                <c:pt idx="200">
                  <c:v>-27.956450194805811</c:v>
                </c:pt>
                <c:pt idx="201">
                  <c:v>-29.272946571435931</c:v>
                </c:pt>
                <c:pt idx="202">
                  <c:v>-30.582257131227855</c:v>
                </c:pt>
                <c:pt idx="203">
                  <c:v>-31.883649842884822</c:v>
                </c:pt>
                <c:pt idx="204">
                  <c:v>-33.176348463939625</c:v>
                </c:pt>
                <c:pt idx="205">
                  <c:v>-34.459522230103559</c:v>
                </c:pt>
                <c:pt idx="206">
                  <c:v>-35.732275734705851</c:v>
                </c:pt>
                <c:pt idx="207">
                  <c:v>-36.99363909448315</c:v>
                </c:pt>
                <c:pt idx="208">
                  <c:v>-38.242558539797471</c:v>
                </c:pt>
                <c:pt idx="209">
                  <c:v>-39.477887606536221</c:v>
                </c:pt>
                <c:pt idx="210">
                  <c:v>-40.698379142616446</c:v>
                </c:pt>
                <c:pt idx="211">
                  <c:v>-41.902678372794895</c:v>
                </c:pt>
                <c:pt idx="212">
                  <c:v>-43.089317289558807</c:v>
                </c:pt>
                <c:pt idx="213">
                  <c:v>-44.25671065311036</c:v>
                </c:pt>
                <c:pt idx="214">
                  <c:v>-45.403153887555582</c:v>
                </c:pt>
                <c:pt idx="215">
                  <c:v>-46.526823151096757</c:v>
                </c:pt>
                <c:pt idx="216">
                  <c:v>-47.625777833297384</c:v>
                </c:pt>
                <c:pt idx="217">
                  <c:v>-48.697965690882285</c:v>
                </c:pt>
                <c:pt idx="218">
                  <c:v>-49.741230774414589</c:v>
                </c:pt>
                <c:pt idx="219">
                  <c:v>-50.753324222038465</c:v>
                </c:pt>
                <c:pt idx="220">
                  <c:v>-51.731917905092047</c:v>
                </c:pt>
                <c:pt idx="221">
                  <c:v>-52.674620807053785</c:v>
                </c:pt>
                <c:pt idx="222">
                  <c:v>-53.578997906712083</c:v>
                </c:pt>
                <c:pt idx="223">
                  <c:v>-54.442591224662408</c:v>
                </c:pt>
                <c:pt idx="224">
                  <c:v>-55.262942586197084</c:v>
                </c:pt>
                <c:pt idx="225">
                  <c:v>-56.037617560739605</c:v>
                </c:pt>
                <c:pt idx="226">
                  <c:v>-56.764229965340405</c:v>
                </c:pt>
                <c:pt idx="227">
                  <c:v>-57.440466273599569</c:v>
                </c:pt>
                <c:pt idx="228">
                  <c:v>-58.064109256288212</c:v>
                </c:pt>
                <c:pt idx="229">
                  <c:v>-58.633060198267984</c:v>
                </c:pt>
                <c:pt idx="230">
                  <c:v>-59.145359087855262</c:v>
                </c:pt>
                <c:pt idx="231">
                  <c:v>-59.599202256688159</c:v>
                </c:pt>
                <c:pt idx="232">
                  <c:v>-59.992957055132891</c:v>
                </c:pt>
                <c:pt idx="233">
                  <c:v>-60.325173273076174</c:v>
                </c:pt>
                <c:pt idx="234">
                  <c:v>-60.594591150128096</c:v>
                </c:pt>
                <c:pt idx="235">
                  <c:v>-60.800145953957085</c:v>
                </c:pt>
                <c:pt idx="236">
                  <c:v>-60.940969232303956</c:v>
                </c:pt>
                <c:pt idx="237">
                  <c:v>-61.016386955989681</c:v>
                </c:pt>
                <c:pt idx="238">
                  <c:v>-61.025914861512376</c:v>
                </c:pt>
                <c:pt idx="239">
                  <c:v>-60.969251369261414</c:v>
                </c:pt>
              </c:numCache>
            </c:numRef>
          </c:xVal>
          <c:yVal>
            <c:numRef>
              <c:f>CALC60!$CS$6:$CS$581</c:f>
              <c:numCache>
                <c:formatCode>General</c:formatCode>
                <c:ptCount val="576"/>
              </c:numCache>
            </c:numRef>
          </c:yVal>
          <c:smooth val="0"/>
        </c:ser>
        <c:ser>
          <c:idx val="46"/>
          <c:order val="46"/>
          <c:tx>
            <c:strRef>
              <c:f>CALC60!$CT$5</c:f>
              <c:strCache>
                <c:ptCount val="1"/>
                <c:pt idx="0">
                  <c:v>R45</c:v>
                </c:pt>
              </c:strCache>
            </c:strRef>
          </c:tx>
          <c:spPr>
            <a:ln w="28575">
              <a:noFill/>
            </a:ln>
          </c:spPr>
          <c:xVal>
            <c:numRef>
              <c:f>CALC60!$AY$6:$AY$581</c:f>
              <c:numCache>
                <c:formatCode>General</c:formatCode>
                <c:ptCount val="576"/>
                <c:pt idx="0">
                  <c:v>-19.833506546880365</c:v>
                </c:pt>
                <c:pt idx="1">
                  <c:v>-18.245852614565919</c:v>
                </c:pt>
                <c:pt idx="2">
                  <c:v>-16.629666681765414</c:v>
                </c:pt>
                <c:pt idx="3">
                  <c:v>-14.98231154257417</c:v>
                </c:pt>
                <c:pt idx="4">
                  <c:v>-13.301143585556035</c:v>
                </c:pt>
                <c:pt idx="5">
                  <c:v>-11.583569246398675</c:v>
                </c:pt>
                <c:pt idx="6">
                  <c:v>-9.8270793278644781</c:v>
                </c:pt>
                <c:pt idx="7">
                  <c:v>-8.029252658232803</c:v>
                </c:pt>
                <c:pt idx="8">
                  <c:v>-6.1877185053343773</c:v>
                </c:pt>
                <c:pt idx="9">
                  <c:v>-4.3000630515963358</c:v>
                </c:pt>
                <c:pt idx="10">
                  <c:v>-2.3636564525099644</c:v>
                </c:pt>
                <c:pt idx="11">
                  <c:v>-0.37535794962416702</c:v>
                </c:pt>
                <c:pt idx="12">
                  <c:v>-3.0678010204149508</c:v>
                </c:pt>
                <c:pt idx="13">
                  <c:v>5.8156608222448263</c:v>
                </c:pt>
                <c:pt idx="14">
                  <c:v>-8.9906603193697858</c:v>
                </c:pt>
                <c:pt idx="15">
                  <c:v>-19.434156555154736</c:v>
                </c:pt>
                <c:pt idx="16">
                  <c:v>-12</c:v>
                </c:pt>
                <c:pt idx="17">
                  <c:v>-29.167117021908272</c:v>
                </c:pt>
                <c:pt idx="18">
                  <c:v>-14</c:v>
                </c:pt>
                <c:pt idx="19">
                  <c:v>-19.833506546880365</c:v>
                </c:pt>
                <c:pt idx="20">
                  <c:v>1.5130248501190131</c:v>
                </c:pt>
                <c:pt idx="21">
                  <c:v>12</c:v>
                </c:pt>
                <c:pt idx="22">
                  <c:v>-12</c:v>
                </c:pt>
                <c:pt idx="23">
                  <c:v>-28.772550131225248</c:v>
                </c:pt>
                <c:pt idx="24">
                  <c:v>-11.666666666666666</c:v>
                </c:pt>
                <c:pt idx="25">
                  <c:v>-18.245852614565919</c:v>
                </c:pt>
                <c:pt idx="26">
                  <c:v>4.3925078710812571</c:v>
                </c:pt>
                <c:pt idx="27">
                  <c:v>12</c:v>
                </c:pt>
                <c:pt idx="28">
                  <c:v>-12</c:v>
                </c:pt>
                <c:pt idx="29">
                  <c:v>-28.303800039278563</c:v>
                </c:pt>
                <c:pt idx="30">
                  <c:v>-9.3333333333333321</c:v>
                </c:pt>
                <c:pt idx="31">
                  <c:v>-16.629666681765414</c:v>
                </c:pt>
                <c:pt idx="32">
                  <c:v>6.4527131206909987</c:v>
                </c:pt>
                <c:pt idx="33">
                  <c:v>12</c:v>
                </c:pt>
                <c:pt idx="34">
                  <c:v>-12</c:v>
                </c:pt>
                <c:pt idx="35">
                  <c:v>-27.754010010716058</c:v>
                </c:pt>
                <c:pt idx="36">
                  <c:v>-6.9999999999999982</c:v>
                </c:pt>
                <c:pt idx="37">
                  <c:v>-14.98231154257417</c:v>
                </c:pt>
                <c:pt idx="38">
                  <c:v>8.2375052570320868</c:v>
                </c:pt>
                <c:pt idx="39">
                  <c:v>12</c:v>
                </c:pt>
                <c:pt idx="40">
                  <c:v>-12</c:v>
                </c:pt>
                <c:pt idx="41">
                  <c:v>-27.116306655803694</c:v>
                </c:pt>
                <c:pt idx="42">
                  <c:v>-4.6666666666666643</c:v>
                </c:pt>
                <c:pt idx="43">
                  <c:v>-13.301143585556035</c:v>
                </c:pt>
                <c:pt idx="44">
                  <c:v>9.8664661885771885</c:v>
                </c:pt>
                <c:pt idx="45">
                  <c:v>12</c:v>
                </c:pt>
                <c:pt idx="46">
                  <c:v>-12</c:v>
                </c:pt>
                <c:pt idx="47">
                  <c:v>-26.383946707329393</c:v>
                </c:pt>
                <c:pt idx="48">
                  <c:v>-2.3333333333333308</c:v>
                </c:pt>
                <c:pt idx="49">
                  <c:v>-11.583569246398675</c:v>
                </c:pt>
                <c:pt idx="50">
                  <c:v>11.388844623449907</c:v>
                </c:pt>
                <c:pt idx="51">
                  <c:v>12</c:v>
                </c:pt>
                <c:pt idx="52">
                  <c:v>-12</c:v>
                </c:pt>
                <c:pt idx="53">
                  <c:v>-25.550406252475348</c:v>
                </c:pt>
                <c:pt idx="54">
                  <c:v>0</c:v>
                </c:pt>
                <c:pt idx="55">
                  <c:v>-9.8270793278644781</c:v>
                </c:pt>
                <c:pt idx="56">
                  <c:v>12.829698097369761</c:v>
                </c:pt>
                <c:pt idx="57">
                  <c:v>12</c:v>
                </c:pt>
                <c:pt idx="58">
                  <c:v>-12</c:v>
                </c:pt>
                <c:pt idx="59">
                  <c:v>-24.609390244767855</c:v>
                </c:pt>
                <c:pt idx="60">
                  <c:v>2.3333333333333335</c:v>
                </c:pt>
                <c:pt idx="61">
                  <c:v>-8.029252658232803</c:v>
                </c:pt>
                <c:pt idx="62">
                  <c:v>14.203132463376605</c:v>
                </c:pt>
                <c:pt idx="63">
                  <c:v>12</c:v>
                </c:pt>
                <c:pt idx="64">
                  <c:v>-12</c:v>
                </c:pt>
                <c:pt idx="65">
                  <c:v>-23.554734780566797</c:v>
                </c:pt>
                <c:pt idx="66">
                  <c:v>4.666666666666667</c:v>
                </c:pt>
                <c:pt idx="67">
                  <c:v>-6.1877185053343773</c:v>
                </c:pt>
                <c:pt idx="68">
                  <c:v>15.517506829265256</c:v>
                </c:pt>
                <c:pt idx="69">
                  <c:v>12</c:v>
                </c:pt>
                <c:pt idx="70">
                  <c:v>-12</c:v>
                </c:pt>
                <c:pt idx="71">
                  <c:v>-22.380163934182676</c:v>
                </c:pt>
                <c:pt idx="72">
                  <c:v>7</c:v>
                </c:pt>
                <c:pt idx="73">
                  <c:v>-4.3000630515963358</c:v>
                </c:pt>
                <c:pt idx="74">
                  <c:v>16.777941702150098</c:v>
                </c:pt>
                <c:pt idx="75">
                  <c:v>12</c:v>
                </c:pt>
                <c:pt idx="76">
                  <c:v>-12</c:v>
                </c:pt>
                <c:pt idx="77">
                  <c:v>-21.078840109892809</c:v>
                </c:pt>
                <c:pt idx="78">
                  <c:v>9.3333333333333339</c:v>
                </c:pt>
                <c:pt idx="79">
                  <c:v>-2.3636564525099644</c:v>
                </c:pt>
                <c:pt idx="80">
                  <c:v>17.987756355580007</c:v>
                </c:pt>
                <c:pt idx="81">
                  <c:v>12</c:v>
                </c:pt>
                <c:pt idx="82">
                  <c:v>-12</c:v>
                </c:pt>
                <c:pt idx="83">
                  <c:v>-19.642597335724307</c:v>
                </c:pt>
                <c:pt idx="84">
                  <c:v>11.666666666666668</c:v>
                </c:pt>
                <c:pt idx="85">
                  <c:v>-0.37535794962416702</c:v>
                </c:pt>
                <c:pt idx="86">
                  <c:v>19.149459663035739</c:v>
                </c:pt>
                <c:pt idx="87">
                  <c:v>12</c:v>
                </c:pt>
                <c:pt idx="88">
                  <c:v>-12</c:v>
                </c:pt>
                <c:pt idx="89">
                  <c:v>-30.376282653093735</c:v>
                </c:pt>
                <c:pt idx="90">
                  <c:v>14.000000000000002</c:v>
                </c:pt>
                <c:pt idx="91">
                  <c:v>-3.0678010204149508</c:v>
                </c:pt>
                <c:pt idx="92">
                  <c:v>26.896999319700733</c:v>
                </c:pt>
                <c:pt idx="93">
                  <c:v>12</c:v>
                </c:pt>
                <c:pt idx="94">
                  <c:v>-12</c:v>
                </c:pt>
                <c:pt idx="95">
                  <c:v>-24.879281862192261</c:v>
                </c:pt>
                <c:pt idx="96">
                  <c:v>25</c:v>
                </c:pt>
                <c:pt idx="97">
                  <c:v>5.8156608222448263</c:v>
                </c:pt>
                <c:pt idx="98">
                  <c:v>31.34962606454722</c:v>
                </c:pt>
                <c:pt idx="99">
                  <c:v>12</c:v>
                </c:pt>
                <c:pt idx="100">
                  <c:v>-12</c:v>
                </c:pt>
                <c:pt idx="101">
                  <c:v>-23.375716830330454</c:v>
                </c:pt>
                <c:pt idx="102">
                  <c:v>0</c:v>
                </c:pt>
                <c:pt idx="103">
                  <c:v>-8.9906603193697858</c:v>
                </c:pt>
                <c:pt idx="104">
                  <c:v>22.648032351271631</c:v>
                </c:pt>
                <c:pt idx="105">
                  <c:v>12</c:v>
                </c:pt>
                <c:pt idx="106">
                  <c:v>-12</c:v>
                </c:pt>
                <c:pt idx="107">
                  <c:v>-10.52880704336475</c:v>
                </c:pt>
                <c:pt idx="108">
                  <c:v>-25</c:v>
                </c:pt>
                <c:pt idx="109">
                  <c:v>-19.434156555154736</c:v>
                </c:pt>
                <c:pt idx="110">
                  <c:v>20.32293673094285</c:v>
                </c:pt>
                <c:pt idx="111">
                  <c:v>12</c:v>
                </c:pt>
                <c:pt idx="112">
                  <c:v>60</c:v>
                </c:pt>
                <c:pt idx="113">
                  <c:v>59.977621104822219</c:v>
                </c:pt>
                <c:pt idx="114">
                  <c:v>59.910498330815244</c:v>
                </c:pt>
                <c:pt idx="115">
                  <c:v>59.7986734039103</c:v>
                </c:pt>
                <c:pt idx="116">
                  <c:v>59.642215838505066</c:v>
                </c:pt>
                <c:pt idx="117">
                  <c:v>59.441222894251112</c:v>
                </c:pt>
                <c:pt idx="118">
                  <c:v>59.195819515593755</c:v>
                </c:pt>
                <c:pt idx="119">
                  <c:v>58.906158254102053</c:v>
                </c:pt>
                <c:pt idx="120">
                  <c:v>58.572419173637371</c:v>
                </c:pt>
                <c:pt idx="121">
                  <c:v>58.19480973841911</c:v>
                </c:pt>
                <c:pt idx="122">
                  <c:v>57.77356468405749</c:v>
                </c:pt>
                <c:pt idx="123">
                  <c:v>57.308945871633512</c:v>
                </c:pt>
                <c:pt idx="124">
                  <c:v>56.801242124916655</c:v>
                </c:pt>
                <c:pt idx="125">
                  <c:v>56.250769050821617</c:v>
                </c:pt>
                <c:pt idx="126">
                  <c:v>55.657868843215709</c:v>
                </c:pt>
                <c:pt idx="127">
                  <c:v>55.022910070198847</c:v>
                </c:pt>
                <c:pt idx="128">
                  <c:v>54.346287444988349</c:v>
                </c:pt>
                <c:pt idx="129">
                  <c:v>53.628421580551006</c:v>
                </c:pt>
                <c:pt idx="130">
                  <c:v>52.869758728134926</c:v>
                </c:pt>
                <c:pt idx="131">
                  <c:v>52.070770499863713</c:v>
                </c:pt>
                <c:pt idx="132">
                  <c:v>51.231953575565385</c:v>
                </c:pt>
                <c:pt idx="133">
                  <c:v>50.353829394018334</c:v>
                </c:pt>
                <c:pt idx="134">
                  <c:v>49.436943828806236</c:v>
                </c:pt>
                <c:pt idx="135">
                  <c:v>48.481866848983351</c:v>
                </c:pt>
                <c:pt idx="136">
                  <c:v>47.489192164761299</c:v>
                </c:pt>
                <c:pt idx="137">
                  <c:v>46.45953685843741</c:v>
                </c:pt>
                <c:pt idx="138">
                  <c:v>45.39354100079418</c:v>
                </c:pt>
                <c:pt idx="139">
                  <c:v>44.29186725320821</c:v>
                </c:pt>
                <c:pt idx="140">
                  <c:v>43.155200455716098</c:v>
                </c:pt>
                <c:pt idx="141">
                  <c:v>41.984247201293201</c:v>
                </c:pt>
                <c:pt idx="142">
                  <c:v>40.779735396610057</c:v>
                </c:pt>
                <c:pt idx="143">
                  <c:v>39.542413809539362</c:v>
                </c:pt>
                <c:pt idx="144">
                  <c:v>38.27305160369496</c:v>
                </c:pt>
                <c:pt idx="145">
                  <c:v>36.97243786029204</c:v>
                </c:pt>
                <c:pt idx="146">
                  <c:v>35.641381087625909</c:v>
                </c:pt>
                <c:pt idx="147">
                  <c:v>34.280708718474088</c:v>
                </c:pt>
                <c:pt idx="148">
                  <c:v>32.891266595734379</c:v>
                </c:pt>
                <c:pt idx="149">
                  <c:v>31.473918446618441</c:v>
                </c:pt>
                <c:pt idx="150">
                  <c:v>30.029545345727961</c:v>
                </c:pt>
                <c:pt idx="151">
                  <c:v>28.559045167346859</c:v>
                </c:pt>
                <c:pt idx="152">
                  <c:v>27.063332027290457</c:v>
                </c:pt>
                <c:pt idx="153">
                  <c:v>25.54333571465812</c:v>
                </c:pt>
                <c:pt idx="154">
                  <c:v>24.00000111384292</c:v>
                </c:pt>
                <c:pt idx="155">
                  <c:v>22.434287617157558</c:v>
                </c:pt>
                <c:pt idx="156">
                  <c:v>20.847168528441451</c:v>
                </c:pt>
                <c:pt idx="157">
                  <c:v>19.239630458020226</c:v>
                </c:pt>
                <c:pt idx="158">
                  <c:v>17.612672709393095</c:v>
                </c:pt>
                <c:pt idx="159">
                  <c:v>15.967306658029923</c:v>
                </c:pt>
                <c:pt idx="160">
                  <c:v>14.304555122663807</c:v>
                </c:pt>
                <c:pt idx="161">
                  <c:v>12.625451729470267</c:v>
                </c:pt>
                <c:pt idx="162">
                  <c:v>10.931040269527855</c:v>
                </c:pt>
                <c:pt idx="163">
                  <c:v>9.2223740499601874</c:v>
                </c:pt>
                <c:pt idx="164">
                  <c:v>7.50051523916229</c:v>
                </c:pt>
                <c:pt idx="165">
                  <c:v>5.7665342065185783</c:v>
                </c:pt>
                <c:pt idx="166">
                  <c:v>4.0215088570226385</c:v>
                </c:pt>
                <c:pt idx="167">
                  <c:v>2.2665239612127621</c:v>
                </c:pt>
                <c:pt idx="168">
                  <c:v>0.50267048083958699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2.8515696384297637</c:v>
                </c:pt>
                <c:pt idx="177">
                  <c:v>1.9753111994832171</c:v>
                </c:pt>
                <c:pt idx="178">
                  <c:v>0.92563316887902047</c:v>
                </c:pt>
                <c:pt idx="179">
                  <c:v>-0.21601377837397351</c:v>
                </c:pt>
                <c:pt idx="180">
                  <c:v>-1.4157664759720063</c:v>
                </c:pt>
                <c:pt idx="181">
                  <c:v>-2.6556123420946562</c:v>
                </c:pt>
                <c:pt idx="182">
                  <c:v>-3.9245681685754725</c:v>
                </c:pt>
                <c:pt idx="183">
                  <c:v>-5.2153144569239593</c:v>
                </c:pt>
                <c:pt idx="184">
                  <c:v>-6.5226550874579061</c:v>
                </c:pt>
                <c:pt idx="185">
                  <c:v>-7.8427215966531474</c:v>
                </c:pt>
                <c:pt idx="186">
                  <c:v>-9.1725245020797033</c:v>
                </c:pt>
                <c:pt idx="187">
                  <c:v>-10.509682805443534</c:v>
                </c:pt>
                <c:pt idx="188">
                  <c:v>-11.852251962601201</c:v>
                </c:pt>
                <c:pt idx="189">
                  <c:v>-13.198609507350314</c:v>
                </c:pt>
                <c:pt idx="190">
                  <c:v>-14.547376030315508</c:v>
                </c:pt>
                <c:pt idx="191">
                  <c:v>-15.897358663204308</c:v>
                </c:pt>
                <c:pt idx="192">
                  <c:v>-17.247509325359044</c:v>
                </c:pt>
                <c:pt idx="193">
                  <c:v>-18.596892885306229</c:v>
                </c:pt>
                <c:pt idx="194">
                  <c:v>-19.944662101015112</c:v>
                </c:pt>
                <c:pt idx="195">
                  <c:v>-21.290037250525245</c:v>
                </c:pt>
                <c:pt idx="196">
                  <c:v>-22.632289027455251</c:v>
                </c:pt>
                <c:pt idx="197">
                  <c:v>-23.97072370792359</c:v>
                </c:pt>
                <c:pt idx="198">
                  <c:v>-25.30466988534544</c:v>
                </c:pt>
                <c:pt idx="199">
                  <c:v>-26.633466270137497</c:v>
                </c:pt>
                <c:pt idx="200">
                  <c:v>-27.956450194805811</c:v>
                </c:pt>
                <c:pt idx="201">
                  <c:v>-29.272946571435931</c:v>
                </c:pt>
                <c:pt idx="202">
                  <c:v>-30.582257131227855</c:v>
                </c:pt>
                <c:pt idx="203">
                  <c:v>-31.883649842884822</c:v>
                </c:pt>
                <c:pt idx="204">
                  <c:v>-33.176348463939625</c:v>
                </c:pt>
                <c:pt idx="205">
                  <c:v>-34.459522230103559</c:v>
                </c:pt>
                <c:pt idx="206">
                  <c:v>-35.732275734705851</c:v>
                </c:pt>
                <c:pt idx="207">
                  <c:v>-36.99363909448315</c:v>
                </c:pt>
                <c:pt idx="208">
                  <c:v>-38.242558539797471</c:v>
                </c:pt>
                <c:pt idx="209">
                  <c:v>-39.477887606536221</c:v>
                </c:pt>
                <c:pt idx="210">
                  <c:v>-40.698379142616446</c:v>
                </c:pt>
                <c:pt idx="211">
                  <c:v>-41.902678372794895</c:v>
                </c:pt>
                <c:pt idx="212">
                  <c:v>-43.089317289558807</c:v>
                </c:pt>
                <c:pt idx="213">
                  <c:v>-44.25671065311036</c:v>
                </c:pt>
                <c:pt idx="214">
                  <c:v>-45.403153887555582</c:v>
                </c:pt>
                <c:pt idx="215">
                  <c:v>-46.526823151096757</c:v>
                </c:pt>
                <c:pt idx="216">
                  <c:v>-47.625777833297384</c:v>
                </c:pt>
                <c:pt idx="217">
                  <c:v>-48.697965690882285</c:v>
                </c:pt>
                <c:pt idx="218">
                  <c:v>-49.741230774414589</c:v>
                </c:pt>
                <c:pt idx="219">
                  <c:v>-50.753324222038465</c:v>
                </c:pt>
                <c:pt idx="220">
                  <c:v>-51.731917905092047</c:v>
                </c:pt>
                <c:pt idx="221">
                  <c:v>-52.674620807053785</c:v>
                </c:pt>
                <c:pt idx="222">
                  <c:v>-53.578997906712083</c:v>
                </c:pt>
                <c:pt idx="223">
                  <c:v>-54.442591224662408</c:v>
                </c:pt>
                <c:pt idx="224">
                  <c:v>-55.262942586197084</c:v>
                </c:pt>
                <c:pt idx="225">
                  <c:v>-56.037617560739605</c:v>
                </c:pt>
                <c:pt idx="226">
                  <c:v>-56.764229965340405</c:v>
                </c:pt>
                <c:pt idx="227">
                  <c:v>-57.440466273599569</c:v>
                </c:pt>
                <c:pt idx="228">
                  <c:v>-58.064109256288212</c:v>
                </c:pt>
                <c:pt idx="229">
                  <c:v>-58.633060198267984</c:v>
                </c:pt>
                <c:pt idx="230">
                  <c:v>-59.145359087855262</c:v>
                </c:pt>
                <c:pt idx="231">
                  <c:v>-59.599202256688159</c:v>
                </c:pt>
                <c:pt idx="232">
                  <c:v>-59.992957055132891</c:v>
                </c:pt>
                <c:pt idx="233">
                  <c:v>-60.325173273076174</c:v>
                </c:pt>
                <c:pt idx="234">
                  <c:v>-60.594591150128096</c:v>
                </c:pt>
                <c:pt idx="235">
                  <c:v>-60.800145953957085</c:v>
                </c:pt>
                <c:pt idx="236">
                  <c:v>-60.940969232303956</c:v>
                </c:pt>
                <c:pt idx="237">
                  <c:v>-61.016386955989681</c:v>
                </c:pt>
                <c:pt idx="238">
                  <c:v>-61.025914861512376</c:v>
                </c:pt>
                <c:pt idx="239">
                  <c:v>-60.969251369261414</c:v>
                </c:pt>
              </c:numCache>
            </c:numRef>
          </c:xVal>
          <c:yVal>
            <c:numRef>
              <c:f>CALC60!$CT$6:$CT$581</c:f>
              <c:numCache>
                <c:formatCode>General</c:formatCode>
                <c:ptCount val="576"/>
              </c:numCache>
            </c:numRef>
          </c:yVal>
          <c:smooth val="0"/>
        </c:ser>
        <c:ser>
          <c:idx val="47"/>
          <c:order val="47"/>
          <c:tx>
            <c:strRef>
              <c:f>CALC60!$CU$5</c:f>
              <c:strCache>
                <c:ptCount val="1"/>
                <c:pt idx="0">
                  <c:v>R46</c:v>
                </c:pt>
              </c:strCache>
            </c:strRef>
          </c:tx>
          <c:spPr>
            <a:ln w="28575">
              <a:noFill/>
            </a:ln>
          </c:spPr>
          <c:xVal>
            <c:numRef>
              <c:f>CALC60!$AY$6:$AY$581</c:f>
              <c:numCache>
                <c:formatCode>General</c:formatCode>
                <c:ptCount val="576"/>
                <c:pt idx="0">
                  <c:v>-19.833506546880365</c:v>
                </c:pt>
                <c:pt idx="1">
                  <c:v>-18.245852614565919</c:v>
                </c:pt>
                <c:pt idx="2">
                  <c:v>-16.629666681765414</c:v>
                </c:pt>
                <c:pt idx="3">
                  <c:v>-14.98231154257417</c:v>
                </c:pt>
                <c:pt idx="4">
                  <c:v>-13.301143585556035</c:v>
                </c:pt>
                <c:pt idx="5">
                  <c:v>-11.583569246398675</c:v>
                </c:pt>
                <c:pt idx="6">
                  <c:v>-9.8270793278644781</c:v>
                </c:pt>
                <c:pt idx="7">
                  <c:v>-8.029252658232803</c:v>
                </c:pt>
                <c:pt idx="8">
                  <c:v>-6.1877185053343773</c:v>
                </c:pt>
                <c:pt idx="9">
                  <c:v>-4.3000630515963358</c:v>
                </c:pt>
                <c:pt idx="10">
                  <c:v>-2.3636564525099644</c:v>
                </c:pt>
                <c:pt idx="11">
                  <c:v>-0.37535794962416702</c:v>
                </c:pt>
                <c:pt idx="12">
                  <c:v>-3.0678010204149508</c:v>
                </c:pt>
                <c:pt idx="13">
                  <c:v>5.8156608222448263</c:v>
                </c:pt>
                <c:pt idx="14">
                  <c:v>-8.9906603193697858</c:v>
                </c:pt>
                <c:pt idx="15">
                  <c:v>-19.434156555154736</c:v>
                </c:pt>
                <c:pt idx="16">
                  <c:v>-12</c:v>
                </c:pt>
                <c:pt idx="17">
                  <c:v>-29.167117021908272</c:v>
                </c:pt>
                <c:pt idx="18">
                  <c:v>-14</c:v>
                </c:pt>
                <c:pt idx="19">
                  <c:v>-19.833506546880365</c:v>
                </c:pt>
                <c:pt idx="20">
                  <c:v>1.5130248501190131</c:v>
                </c:pt>
                <c:pt idx="21">
                  <c:v>12</c:v>
                </c:pt>
                <c:pt idx="22">
                  <c:v>-12</c:v>
                </c:pt>
                <c:pt idx="23">
                  <c:v>-28.772550131225248</c:v>
                </c:pt>
                <c:pt idx="24">
                  <c:v>-11.666666666666666</c:v>
                </c:pt>
                <c:pt idx="25">
                  <c:v>-18.245852614565919</c:v>
                </c:pt>
                <c:pt idx="26">
                  <c:v>4.3925078710812571</c:v>
                </c:pt>
                <c:pt idx="27">
                  <c:v>12</c:v>
                </c:pt>
                <c:pt idx="28">
                  <c:v>-12</c:v>
                </c:pt>
                <c:pt idx="29">
                  <c:v>-28.303800039278563</c:v>
                </c:pt>
                <c:pt idx="30">
                  <c:v>-9.3333333333333321</c:v>
                </c:pt>
                <c:pt idx="31">
                  <c:v>-16.629666681765414</c:v>
                </c:pt>
                <c:pt idx="32">
                  <c:v>6.4527131206909987</c:v>
                </c:pt>
                <c:pt idx="33">
                  <c:v>12</c:v>
                </c:pt>
                <c:pt idx="34">
                  <c:v>-12</c:v>
                </c:pt>
                <c:pt idx="35">
                  <c:v>-27.754010010716058</c:v>
                </c:pt>
                <c:pt idx="36">
                  <c:v>-6.9999999999999982</c:v>
                </c:pt>
                <c:pt idx="37">
                  <c:v>-14.98231154257417</c:v>
                </c:pt>
                <c:pt idx="38">
                  <c:v>8.2375052570320868</c:v>
                </c:pt>
                <c:pt idx="39">
                  <c:v>12</c:v>
                </c:pt>
                <c:pt idx="40">
                  <c:v>-12</c:v>
                </c:pt>
                <c:pt idx="41">
                  <c:v>-27.116306655803694</c:v>
                </c:pt>
                <c:pt idx="42">
                  <c:v>-4.6666666666666643</c:v>
                </c:pt>
                <c:pt idx="43">
                  <c:v>-13.301143585556035</c:v>
                </c:pt>
                <c:pt idx="44">
                  <c:v>9.8664661885771885</c:v>
                </c:pt>
                <c:pt idx="45">
                  <c:v>12</c:v>
                </c:pt>
                <c:pt idx="46">
                  <c:v>-12</c:v>
                </c:pt>
                <c:pt idx="47">
                  <c:v>-26.383946707329393</c:v>
                </c:pt>
                <c:pt idx="48">
                  <c:v>-2.3333333333333308</c:v>
                </c:pt>
                <c:pt idx="49">
                  <c:v>-11.583569246398675</c:v>
                </c:pt>
                <c:pt idx="50">
                  <c:v>11.388844623449907</c:v>
                </c:pt>
                <c:pt idx="51">
                  <c:v>12</c:v>
                </c:pt>
                <c:pt idx="52">
                  <c:v>-12</c:v>
                </c:pt>
                <c:pt idx="53">
                  <c:v>-25.550406252475348</c:v>
                </c:pt>
                <c:pt idx="54">
                  <c:v>0</c:v>
                </c:pt>
                <c:pt idx="55">
                  <c:v>-9.8270793278644781</c:v>
                </c:pt>
                <c:pt idx="56">
                  <c:v>12.829698097369761</c:v>
                </c:pt>
                <c:pt idx="57">
                  <c:v>12</c:v>
                </c:pt>
                <c:pt idx="58">
                  <c:v>-12</c:v>
                </c:pt>
                <c:pt idx="59">
                  <c:v>-24.609390244767855</c:v>
                </c:pt>
                <c:pt idx="60">
                  <c:v>2.3333333333333335</c:v>
                </c:pt>
                <c:pt idx="61">
                  <c:v>-8.029252658232803</c:v>
                </c:pt>
                <c:pt idx="62">
                  <c:v>14.203132463376605</c:v>
                </c:pt>
                <c:pt idx="63">
                  <c:v>12</c:v>
                </c:pt>
                <c:pt idx="64">
                  <c:v>-12</c:v>
                </c:pt>
                <c:pt idx="65">
                  <c:v>-23.554734780566797</c:v>
                </c:pt>
                <c:pt idx="66">
                  <c:v>4.666666666666667</c:v>
                </c:pt>
                <c:pt idx="67">
                  <c:v>-6.1877185053343773</c:v>
                </c:pt>
                <c:pt idx="68">
                  <c:v>15.517506829265256</c:v>
                </c:pt>
                <c:pt idx="69">
                  <c:v>12</c:v>
                </c:pt>
                <c:pt idx="70">
                  <c:v>-12</c:v>
                </c:pt>
                <c:pt idx="71">
                  <c:v>-22.380163934182676</c:v>
                </c:pt>
                <c:pt idx="72">
                  <c:v>7</c:v>
                </c:pt>
                <c:pt idx="73">
                  <c:v>-4.3000630515963358</c:v>
                </c:pt>
                <c:pt idx="74">
                  <c:v>16.777941702150098</c:v>
                </c:pt>
                <c:pt idx="75">
                  <c:v>12</c:v>
                </c:pt>
                <c:pt idx="76">
                  <c:v>-12</c:v>
                </c:pt>
                <c:pt idx="77">
                  <c:v>-21.078840109892809</c:v>
                </c:pt>
                <c:pt idx="78">
                  <c:v>9.3333333333333339</c:v>
                </c:pt>
                <c:pt idx="79">
                  <c:v>-2.3636564525099644</c:v>
                </c:pt>
                <c:pt idx="80">
                  <c:v>17.987756355580007</c:v>
                </c:pt>
                <c:pt idx="81">
                  <c:v>12</c:v>
                </c:pt>
                <c:pt idx="82">
                  <c:v>-12</c:v>
                </c:pt>
                <c:pt idx="83">
                  <c:v>-19.642597335724307</c:v>
                </c:pt>
                <c:pt idx="84">
                  <c:v>11.666666666666668</c:v>
                </c:pt>
                <c:pt idx="85">
                  <c:v>-0.37535794962416702</c:v>
                </c:pt>
                <c:pt idx="86">
                  <c:v>19.149459663035739</c:v>
                </c:pt>
                <c:pt idx="87">
                  <c:v>12</c:v>
                </c:pt>
                <c:pt idx="88">
                  <c:v>-12</c:v>
                </c:pt>
                <c:pt idx="89">
                  <c:v>-30.376282653093735</c:v>
                </c:pt>
                <c:pt idx="90">
                  <c:v>14.000000000000002</c:v>
                </c:pt>
                <c:pt idx="91">
                  <c:v>-3.0678010204149508</c:v>
                </c:pt>
                <c:pt idx="92">
                  <c:v>26.896999319700733</c:v>
                </c:pt>
                <c:pt idx="93">
                  <c:v>12</c:v>
                </c:pt>
                <c:pt idx="94">
                  <c:v>-12</c:v>
                </c:pt>
                <c:pt idx="95">
                  <c:v>-24.879281862192261</c:v>
                </c:pt>
                <c:pt idx="96">
                  <c:v>25</c:v>
                </c:pt>
                <c:pt idx="97">
                  <c:v>5.8156608222448263</c:v>
                </c:pt>
                <c:pt idx="98">
                  <c:v>31.34962606454722</c:v>
                </c:pt>
                <c:pt idx="99">
                  <c:v>12</c:v>
                </c:pt>
                <c:pt idx="100">
                  <c:v>-12</c:v>
                </c:pt>
                <c:pt idx="101">
                  <c:v>-23.375716830330454</c:v>
                </c:pt>
                <c:pt idx="102">
                  <c:v>0</c:v>
                </c:pt>
                <c:pt idx="103">
                  <c:v>-8.9906603193697858</c:v>
                </c:pt>
                <c:pt idx="104">
                  <c:v>22.648032351271631</c:v>
                </c:pt>
                <c:pt idx="105">
                  <c:v>12</c:v>
                </c:pt>
                <c:pt idx="106">
                  <c:v>-12</c:v>
                </c:pt>
                <c:pt idx="107">
                  <c:v>-10.52880704336475</c:v>
                </c:pt>
                <c:pt idx="108">
                  <c:v>-25</c:v>
                </c:pt>
                <c:pt idx="109">
                  <c:v>-19.434156555154736</c:v>
                </c:pt>
                <c:pt idx="110">
                  <c:v>20.32293673094285</c:v>
                </c:pt>
                <c:pt idx="111">
                  <c:v>12</c:v>
                </c:pt>
                <c:pt idx="112">
                  <c:v>60</c:v>
                </c:pt>
                <c:pt idx="113">
                  <c:v>59.977621104822219</c:v>
                </c:pt>
                <c:pt idx="114">
                  <c:v>59.910498330815244</c:v>
                </c:pt>
                <c:pt idx="115">
                  <c:v>59.7986734039103</c:v>
                </c:pt>
                <c:pt idx="116">
                  <c:v>59.642215838505066</c:v>
                </c:pt>
                <c:pt idx="117">
                  <c:v>59.441222894251112</c:v>
                </c:pt>
                <c:pt idx="118">
                  <c:v>59.195819515593755</c:v>
                </c:pt>
                <c:pt idx="119">
                  <c:v>58.906158254102053</c:v>
                </c:pt>
                <c:pt idx="120">
                  <c:v>58.572419173637371</c:v>
                </c:pt>
                <c:pt idx="121">
                  <c:v>58.19480973841911</c:v>
                </c:pt>
                <c:pt idx="122">
                  <c:v>57.77356468405749</c:v>
                </c:pt>
                <c:pt idx="123">
                  <c:v>57.308945871633512</c:v>
                </c:pt>
                <c:pt idx="124">
                  <c:v>56.801242124916655</c:v>
                </c:pt>
                <c:pt idx="125">
                  <c:v>56.250769050821617</c:v>
                </c:pt>
                <c:pt idx="126">
                  <c:v>55.657868843215709</c:v>
                </c:pt>
                <c:pt idx="127">
                  <c:v>55.022910070198847</c:v>
                </c:pt>
                <c:pt idx="128">
                  <c:v>54.346287444988349</c:v>
                </c:pt>
                <c:pt idx="129">
                  <c:v>53.628421580551006</c:v>
                </c:pt>
                <c:pt idx="130">
                  <c:v>52.869758728134926</c:v>
                </c:pt>
                <c:pt idx="131">
                  <c:v>52.070770499863713</c:v>
                </c:pt>
                <c:pt idx="132">
                  <c:v>51.231953575565385</c:v>
                </c:pt>
                <c:pt idx="133">
                  <c:v>50.353829394018334</c:v>
                </c:pt>
                <c:pt idx="134">
                  <c:v>49.436943828806236</c:v>
                </c:pt>
                <c:pt idx="135">
                  <c:v>48.481866848983351</c:v>
                </c:pt>
                <c:pt idx="136">
                  <c:v>47.489192164761299</c:v>
                </c:pt>
                <c:pt idx="137">
                  <c:v>46.45953685843741</c:v>
                </c:pt>
                <c:pt idx="138">
                  <c:v>45.39354100079418</c:v>
                </c:pt>
                <c:pt idx="139">
                  <c:v>44.29186725320821</c:v>
                </c:pt>
                <c:pt idx="140">
                  <c:v>43.155200455716098</c:v>
                </c:pt>
                <c:pt idx="141">
                  <c:v>41.984247201293201</c:v>
                </c:pt>
                <c:pt idx="142">
                  <c:v>40.779735396610057</c:v>
                </c:pt>
                <c:pt idx="143">
                  <c:v>39.542413809539362</c:v>
                </c:pt>
                <c:pt idx="144">
                  <c:v>38.27305160369496</c:v>
                </c:pt>
                <c:pt idx="145">
                  <c:v>36.97243786029204</c:v>
                </c:pt>
                <c:pt idx="146">
                  <c:v>35.641381087625909</c:v>
                </c:pt>
                <c:pt idx="147">
                  <c:v>34.280708718474088</c:v>
                </c:pt>
                <c:pt idx="148">
                  <c:v>32.891266595734379</c:v>
                </c:pt>
                <c:pt idx="149">
                  <c:v>31.473918446618441</c:v>
                </c:pt>
                <c:pt idx="150">
                  <c:v>30.029545345727961</c:v>
                </c:pt>
                <c:pt idx="151">
                  <c:v>28.559045167346859</c:v>
                </c:pt>
                <c:pt idx="152">
                  <c:v>27.063332027290457</c:v>
                </c:pt>
                <c:pt idx="153">
                  <c:v>25.54333571465812</c:v>
                </c:pt>
                <c:pt idx="154">
                  <c:v>24.00000111384292</c:v>
                </c:pt>
                <c:pt idx="155">
                  <c:v>22.434287617157558</c:v>
                </c:pt>
                <c:pt idx="156">
                  <c:v>20.847168528441451</c:v>
                </c:pt>
                <c:pt idx="157">
                  <c:v>19.239630458020226</c:v>
                </c:pt>
                <c:pt idx="158">
                  <c:v>17.612672709393095</c:v>
                </c:pt>
                <c:pt idx="159">
                  <c:v>15.967306658029923</c:v>
                </c:pt>
                <c:pt idx="160">
                  <c:v>14.304555122663807</c:v>
                </c:pt>
                <c:pt idx="161">
                  <c:v>12.625451729470267</c:v>
                </c:pt>
                <c:pt idx="162">
                  <c:v>10.931040269527855</c:v>
                </c:pt>
                <c:pt idx="163">
                  <c:v>9.2223740499601874</c:v>
                </c:pt>
                <c:pt idx="164">
                  <c:v>7.50051523916229</c:v>
                </c:pt>
                <c:pt idx="165">
                  <c:v>5.7665342065185783</c:v>
                </c:pt>
                <c:pt idx="166">
                  <c:v>4.0215088570226385</c:v>
                </c:pt>
                <c:pt idx="167">
                  <c:v>2.2665239612127621</c:v>
                </c:pt>
                <c:pt idx="168">
                  <c:v>0.50267048083958699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2.8515696384297637</c:v>
                </c:pt>
                <c:pt idx="177">
                  <c:v>1.9753111994832171</c:v>
                </c:pt>
                <c:pt idx="178">
                  <c:v>0.92563316887902047</c:v>
                </c:pt>
                <c:pt idx="179">
                  <c:v>-0.21601377837397351</c:v>
                </c:pt>
                <c:pt idx="180">
                  <c:v>-1.4157664759720063</c:v>
                </c:pt>
                <c:pt idx="181">
                  <c:v>-2.6556123420946562</c:v>
                </c:pt>
                <c:pt idx="182">
                  <c:v>-3.9245681685754725</c:v>
                </c:pt>
                <c:pt idx="183">
                  <c:v>-5.2153144569239593</c:v>
                </c:pt>
                <c:pt idx="184">
                  <c:v>-6.5226550874579061</c:v>
                </c:pt>
                <c:pt idx="185">
                  <c:v>-7.8427215966531474</c:v>
                </c:pt>
                <c:pt idx="186">
                  <c:v>-9.1725245020797033</c:v>
                </c:pt>
                <c:pt idx="187">
                  <c:v>-10.509682805443534</c:v>
                </c:pt>
                <c:pt idx="188">
                  <c:v>-11.852251962601201</c:v>
                </c:pt>
                <c:pt idx="189">
                  <c:v>-13.198609507350314</c:v>
                </c:pt>
                <c:pt idx="190">
                  <c:v>-14.547376030315508</c:v>
                </c:pt>
                <c:pt idx="191">
                  <c:v>-15.897358663204308</c:v>
                </c:pt>
                <c:pt idx="192">
                  <c:v>-17.247509325359044</c:v>
                </c:pt>
                <c:pt idx="193">
                  <c:v>-18.596892885306229</c:v>
                </c:pt>
                <c:pt idx="194">
                  <c:v>-19.944662101015112</c:v>
                </c:pt>
                <c:pt idx="195">
                  <c:v>-21.290037250525245</c:v>
                </c:pt>
                <c:pt idx="196">
                  <c:v>-22.632289027455251</c:v>
                </c:pt>
                <c:pt idx="197">
                  <c:v>-23.97072370792359</c:v>
                </c:pt>
                <c:pt idx="198">
                  <c:v>-25.30466988534544</c:v>
                </c:pt>
                <c:pt idx="199">
                  <c:v>-26.633466270137497</c:v>
                </c:pt>
                <c:pt idx="200">
                  <c:v>-27.956450194805811</c:v>
                </c:pt>
                <c:pt idx="201">
                  <c:v>-29.272946571435931</c:v>
                </c:pt>
                <c:pt idx="202">
                  <c:v>-30.582257131227855</c:v>
                </c:pt>
                <c:pt idx="203">
                  <c:v>-31.883649842884822</c:v>
                </c:pt>
                <c:pt idx="204">
                  <c:v>-33.176348463939625</c:v>
                </c:pt>
                <c:pt idx="205">
                  <c:v>-34.459522230103559</c:v>
                </c:pt>
                <c:pt idx="206">
                  <c:v>-35.732275734705851</c:v>
                </c:pt>
                <c:pt idx="207">
                  <c:v>-36.99363909448315</c:v>
                </c:pt>
                <c:pt idx="208">
                  <c:v>-38.242558539797471</c:v>
                </c:pt>
                <c:pt idx="209">
                  <c:v>-39.477887606536221</c:v>
                </c:pt>
                <c:pt idx="210">
                  <c:v>-40.698379142616446</c:v>
                </c:pt>
                <c:pt idx="211">
                  <c:v>-41.902678372794895</c:v>
                </c:pt>
                <c:pt idx="212">
                  <c:v>-43.089317289558807</c:v>
                </c:pt>
                <c:pt idx="213">
                  <c:v>-44.25671065311036</c:v>
                </c:pt>
                <c:pt idx="214">
                  <c:v>-45.403153887555582</c:v>
                </c:pt>
                <c:pt idx="215">
                  <c:v>-46.526823151096757</c:v>
                </c:pt>
                <c:pt idx="216">
                  <c:v>-47.625777833297384</c:v>
                </c:pt>
                <c:pt idx="217">
                  <c:v>-48.697965690882285</c:v>
                </c:pt>
                <c:pt idx="218">
                  <c:v>-49.741230774414589</c:v>
                </c:pt>
                <c:pt idx="219">
                  <c:v>-50.753324222038465</c:v>
                </c:pt>
                <c:pt idx="220">
                  <c:v>-51.731917905092047</c:v>
                </c:pt>
                <c:pt idx="221">
                  <c:v>-52.674620807053785</c:v>
                </c:pt>
                <c:pt idx="222">
                  <c:v>-53.578997906712083</c:v>
                </c:pt>
                <c:pt idx="223">
                  <c:v>-54.442591224662408</c:v>
                </c:pt>
                <c:pt idx="224">
                  <c:v>-55.262942586197084</c:v>
                </c:pt>
                <c:pt idx="225">
                  <c:v>-56.037617560739605</c:v>
                </c:pt>
                <c:pt idx="226">
                  <c:v>-56.764229965340405</c:v>
                </c:pt>
                <c:pt idx="227">
                  <c:v>-57.440466273599569</c:v>
                </c:pt>
                <c:pt idx="228">
                  <c:v>-58.064109256288212</c:v>
                </c:pt>
                <c:pt idx="229">
                  <c:v>-58.633060198267984</c:v>
                </c:pt>
                <c:pt idx="230">
                  <c:v>-59.145359087855262</c:v>
                </c:pt>
                <c:pt idx="231">
                  <c:v>-59.599202256688159</c:v>
                </c:pt>
                <c:pt idx="232">
                  <c:v>-59.992957055132891</c:v>
                </c:pt>
                <c:pt idx="233">
                  <c:v>-60.325173273076174</c:v>
                </c:pt>
                <c:pt idx="234">
                  <c:v>-60.594591150128096</c:v>
                </c:pt>
                <c:pt idx="235">
                  <c:v>-60.800145953957085</c:v>
                </c:pt>
                <c:pt idx="236">
                  <c:v>-60.940969232303956</c:v>
                </c:pt>
                <c:pt idx="237">
                  <c:v>-61.016386955989681</c:v>
                </c:pt>
                <c:pt idx="238">
                  <c:v>-61.025914861512376</c:v>
                </c:pt>
                <c:pt idx="239">
                  <c:v>-60.969251369261414</c:v>
                </c:pt>
              </c:numCache>
            </c:numRef>
          </c:xVal>
          <c:yVal>
            <c:numRef>
              <c:f>CALC60!$CU$6:$CU$581</c:f>
              <c:numCache>
                <c:formatCode>General</c:formatCode>
                <c:ptCount val="576"/>
              </c:numCache>
            </c:numRef>
          </c:yVal>
          <c:smooth val="0"/>
        </c:ser>
        <c:ser>
          <c:idx val="48"/>
          <c:order val="48"/>
          <c:tx>
            <c:strRef>
              <c:f>CALC60!$CV$5</c:f>
              <c:strCache>
                <c:ptCount val="1"/>
                <c:pt idx="0">
                  <c:v>R47</c:v>
                </c:pt>
              </c:strCache>
            </c:strRef>
          </c:tx>
          <c:spPr>
            <a:ln w="28575">
              <a:noFill/>
            </a:ln>
          </c:spPr>
          <c:xVal>
            <c:numRef>
              <c:f>CALC60!$AY$6:$AY$581</c:f>
              <c:numCache>
                <c:formatCode>General</c:formatCode>
                <c:ptCount val="576"/>
                <c:pt idx="0">
                  <c:v>-19.833506546880365</c:v>
                </c:pt>
                <c:pt idx="1">
                  <c:v>-18.245852614565919</c:v>
                </c:pt>
                <c:pt idx="2">
                  <c:v>-16.629666681765414</c:v>
                </c:pt>
                <c:pt idx="3">
                  <c:v>-14.98231154257417</c:v>
                </c:pt>
                <c:pt idx="4">
                  <c:v>-13.301143585556035</c:v>
                </c:pt>
                <c:pt idx="5">
                  <c:v>-11.583569246398675</c:v>
                </c:pt>
                <c:pt idx="6">
                  <c:v>-9.8270793278644781</c:v>
                </c:pt>
                <c:pt idx="7">
                  <c:v>-8.029252658232803</c:v>
                </c:pt>
                <c:pt idx="8">
                  <c:v>-6.1877185053343773</c:v>
                </c:pt>
                <c:pt idx="9">
                  <c:v>-4.3000630515963358</c:v>
                </c:pt>
                <c:pt idx="10">
                  <c:v>-2.3636564525099644</c:v>
                </c:pt>
                <c:pt idx="11">
                  <c:v>-0.37535794962416702</c:v>
                </c:pt>
                <c:pt idx="12">
                  <c:v>-3.0678010204149508</c:v>
                </c:pt>
                <c:pt idx="13">
                  <c:v>5.8156608222448263</c:v>
                </c:pt>
                <c:pt idx="14">
                  <c:v>-8.9906603193697858</c:v>
                </c:pt>
                <c:pt idx="15">
                  <c:v>-19.434156555154736</c:v>
                </c:pt>
                <c:pt idx="16">
                  <c:v>-12</c:v>
                </c:pt>
                <c:pt idx="17">
                  <c:v>-29.167117021908272</c:v>
                </c:pt>
                <c:pt idx="18">
                  <c:v>-14</c:v>
                </c:pt>
                <c:pt idx="19">
                  <c:v>-19.833506546880365</c:v>
                </c:pt>
                <c:pt idx="20">
                  <c:v>1.5130248501190131</c:v>
                </c:pt>
                <c:pt idx="21">
                  <c:v>12</c:v>
                </c:pt>
                <c:pt idx="22">
                  <c:v>-12</c:v>
                </c:pt>
                <c:pt idx="23">
                  <c:v>-28.772550131225248</c:v>
                </c:pt>
                <c:pt idx="24">
                  <c:v>-11.666666666666666</c:v>
                </c:pt>
                <c:pt idx="25">
                  <c:v>-18.245852614565919</c:v>
                </c:pt>
                <c:pt idx="26">
                  <c:v>4.3925078710812571</c:v>
                </c:pt>
                <c:pt idx="27">
                  <c:v>12</c:v>
                </c:pt>
                <c:pt idx="28">
                  <c:v>-12</c:v>
                </c:pt>
                <c:pt idx="29">
                  <c:v>-28.303800039278563</c:v>
                </c:pt>
                <c:pt idx="30">
                  <c:v>-9.3333333333333321</c:v>
                </c:pt>
                <c:pt idx="31">
                  <c:v>-16.629666681765414</c:v>
                </c:pt>
                <c:pt idx="32">
                  <c:v>6.4527131206909987</c:v>
                </c:pt>
                <c:pt idx="33">
                  <c:v>12</c:v>
                </c:pt>
                <c:pt idx="34">
                  <c:v>-12</c:v>
                </c:pt>
                <c:pt idx="35">
                  <c:v>-27.754010010716058</c:v>
                </c:pt>
                <c:pt idx="36">
                  <c:v>-6.9999999999999982</c:v>
                </c:pt>
                <c:pt idx="37">
                  <c:v>-14.98231154257417</c:v>
                </c:pt>
                <c:pt idx="38">
                  <c:v>8.2375052570320868</c:v>
                </c:pt>
                <c:pt idx="39">
                  <c:v>12</c:v>
                </c:pt>
                <c:pt idx="40">
                  <c:v>-12</c:v>
                </c:pt>
                <c:pt idx="41">
                  <c:v>-27.116306655803694</c:v>
                </c:pt>
                <c:pt idx="42">
                  <c:v>-4.6666666666666643</c:v>
                </c:pt>
                <c:pt idx="43">
                  <c:v>-13.301143585556035</c:v>
                </c:pt>
                <c:pt idx="44">
                  <c:v>9.8664661885771885</c:v>
                </c:pt>
                <c:pt idx="45">
                  <c:v>12</c:v>
                </c:pt>
                <c:pt idx="46">
                  <c:v>-12</c:v>
                </c:pt>
                <c:pt idx="47">
                  <c:v>-26.383946707329393</c:v>
                </c:pt>
                <c:pt idx="48">
                  <c:v>-2.3333333333333308</c:v>
                </c:pt>
                <c:pt idx="49">
                  <c:v>-11.583569246398675</c:v>
                </c:pt>
                <c:pt idx="50">
                  <c:v>11.388844623449907</c:v>
                </c:pt>
                <c:pt idx="51">
                  <c:v>12</c:v>
                </c:pt>
                <c:pt idx="52">
                  <c:v>-12</c:v>
                </c:pt>
                <c:pt idx="53">
                  <c:v>-25.550406252475348</c:v>
                </c:pt>
                <c:pt idx="54">
                  <c:v>0</c:v>
                </c:pt>
                <c:pt idx="55">
                  <c:v>-9.8270793278644781</c:v>
                </c:pt>
                <c:pt idx="56">
                  <c:v>12.829698097369761</c:v>
                </c:pt>
                <c:pt idx="57">
                  <c:v>12</c:v>
                </c:pt>
                <c:pt idx="58">
                  <c:v>-12</c:v>
                </c:pt>
                <c:pt idx="59">
                  <c:v>-24.609390244767855</c:v>
                </c:pt>
                <c:pt idx="60">
                  <c:v>2.3333333333333335</c:v>
                </c:pt>
                <c:pt idx="61">
                  <c:v>-8.029252658232803</c:v>
                </c:pt>
                <c:pt idx="62">
                  <c:v>14.203132463376605</c:v>
                </c:pt>
                <c:pt idx="63">
                  <c:v>12</c:v>
                </c:pt>
                <c:pt idx="64">
                  <c:v>-12</c:v>
                </c:pt>
                <c:pt idx="65">
                  <c:v>-23.554734780566797</c:v>
                </c:pt>
                <c:pt idx="66">
                  <c:v>4.666666666666667</c:v>
                </c:pt>
                <c:pt idx="67">
                  <c:v>-6.1877185053343773</c:v>
                </c:pt>
                <c:pt idx="68">
                  <c:v>15.517506829265256</c:v>
                </c:pt>
                <c:pt idx="69">
                  <c:v>12</c:v>
                </c:pt>
                <c:pt idx="70">
                  <c:v>-12</c:v>
                </c:pt>
                <c:pt idx="71">
                  <c:v>-22.380163934182676</c:v>
                </c:pt>
                <c:pt idx="72">
                  <c:v>7</c:v>
                </c:pt>
                <c:pt idx="73">
                  <c:v>-4.3000630515963358</c:v>
                </c:pt>
                <c:pt idx="74">
                  <c:v>16.777941702150098</c:v>
                </c:pt>
                <c:pt idx="75">
                  <c:v>12</c:v>
                </c:pt>
                <c:pt idx="76">
                  <c:v>-12</c:v>
                </c:pt>
                <c:pt idx="77">
                  <c:v>-21.078840109892809</c:v>
                </c:pt>
                <c:pt idx="78">
                  <c:v>9.3333333333333339</c:v>
                </c:pt>
                <c:pt idx="79">
                  <c:v>-2.3636564525099644</c:v>
                </c:pt>
                <c:pt idx="80">
                  <c:v>17.987756355580007</c:v>
                </c:pt>
                <c:pt idx="81">
                  <c:v>12</c:v>
                </c:pt>
                <c:pt idx="82">
                  <c:v>-12</c:v>
                </c:pt>
                <c:pt idx="83">
                  <c:v>-19.642597335724307</c:v>
                </c:pt>
                <c:pt idx="84">
                  <c:v>11.666666666666668</c:v>
                </c:pt>
                <c:pt idx="85">
                  <c:v>-0.37535794962416702</c:v>
                </c:pt>
                <c:pt idx="86">
                  <c:v>19.149459663035739</c:v>
                </c:pt>
                <c:pt idx="87">
                  <c:v>12</c:v>
                </c:pt>
                <c:pt idx="88">
                  <c:v>-12</c:v>
                </c:pt>
                <c:pt idx="89">
                  <c:v>-30.376282653093735</c:v>
                </c:pt>
                <c:pt idx="90">
                  <c:v>14.000000000000002</c:v>
                </c:pt>
                <c:pt idx="91">
                  <c:v>-3.0678010204149508</c:v>
                </c:pt>
                <c:pt idx="92">
                  <c:v>26.896999319700733</c:v>
                </c:pt>
                <c:pt idx="93">
                  <c:v>12</c:v>
                </c:pt>
                <c:pt idx="94">
                  <c:v>-12</c:v>
                </c:pt>
                <c:pt idx="95">
                  <c:v>-24.879281862192261</c:v>
                </c:pt>
                <c:pt idx="96">
                  <c:v>25</c:v>
                </c:pt>
                <c:pt idx="97">
                  <c:v>5.8156608222448263</c:v>
                </c:pt>
                <c:pt idx="98">
                  <c:v>31.34962606454722</c:v>
                </c:pt>
                <c:pt idx="99">
                  <c:v>12</c:v>
                </c:pt>
                <c:pt idx="100">
                  <c:v>-12</c:v>
                </c:pt>
                <c:pt idx="101">
                  <c:v>-23.375716830330454</c:v>
                </c:pt>
                <c:pt idx="102">
                  <c:v>0</c:v>
                </c:pt>
                <c:pt idx="103">
                  <c:v>-8.9906603193697858</c:v>
                </c:pt>
                <c:pt idx="104">
                  <c:v>22.648032351271631</c:v>
                </c:pt>
                <c:pt idx="105">
                  <c:v>12</c:v>
                </c:pt>
                <c:pt idx="106">
                  <c:v>-12</c:v>
                </c:pt>
                <c:pt idx="107">
                  <c:v>-10.52880704336475</c:v>
                </c:pt>
                <c:pt idx="108">
                  <c:v>-25</c:v>
                </c:pt>
                <c:pt idx="109">
                  <c:v>-19.434156555154736</c:v>
                </c:pt>
                <c:pt idx="110">
                  <c:v>20.32293673094285</c:v>
                </c:pt>
                <c:pt idx="111">
                  <c:v>12</c:v>
                </c:pt>
                <c:pt idx="112">
                  <c:v>60</c:v>
                </c:pt>
                <c:pt idx="113">
                  <c:v>59.977621104822219</c:v>
                </c:pt>
                <c:pt idx="114">
                  <c:v>59.910498330815244</c:v>
                </c:pt>
                <c:pt idx="115">
                  <c:v>59.7986734039103</c:v>
                </c:pt>
                <c:pt idx="116">
                  <c:v>59.642215838505066</c:v>
                </c:pt>
                <c:pt idx="117">
                  <c:v>59.441222894251112</c:v>
                </c:pt>
                <c:pt idx="118">
                  <c:v>59.195819515593755</c:v>
                </c:pt>
                <c:pt idx="119">
                  <c:v>58.906158254102053</c:v>
                </c:pt>
                <c:pt idx="120">
                  <c:v>58.572419173637371</c:v>
                </c:pt>
                <c:pt idx="121">
                  <c:v>58.19480973841911</c:v>
                </c:pt>
                <c:pt idx="122">
                  <c:v>57.77356468405749</c:v>
                </c:pt>
                <c:pt idx="123">
                  <c:v>57.308945871633512</c:v>
                </c:pt>
                <c:pt idx="124">
                  <c:v>56.801242124916655</c:v>
                </c:pt>
                <c:pt idx="125">
                  <c:v>56.250769050821617</c:v>
                </c:pt>
                <c:pt idx="126">
                  <c:v>55.657868843215709</c:v>
                </c:pt>
                <c:pt idx="127">
                  <c:v>55.022910070198847</c:v>
                </c:pt>
                <c:pt idx="128">
                  <c:v>54.346287444988349</c:v>
                </c:pt>
                <c:pt idx="129">
                  <c:v>53.628421580551006</c:v>
                </c:pt>
                <c:pt idx="130">
                  <c:v>52.869758728134926</c:v>
                </c:pt>
                <c:pt idx="131">
                  <c:v>52.070770499863713</c:v>
                </c:pt>
                <c:pt idx="132">
                  <c:v>51.231953575565385</c:v>
                </c:pt>
                <c:pt idx="133">
                  <c:v>50.353829394018334</c:v>
                </c:pt>
                <c:pt idx="134">
                  <c:v>49.436943828806236</c:v>
                </c:pt>
                <c:pt idx="135">
                  <c:v>48.481866848983351</c:v>
                </c:pt>
                <c:pt idx="136">
                  <c:v>47.489192164761299</c:v>
                </c:pt>
                <c:pt idx="137">
                  <c:v>46.45953685843741</c:v>
                </c:pt>
                <c:pt idx="138">
                  <c:v>45.39354100079418</c:v>
                </c:pt>
                <c:pt idx="139">
                  <c:v>44.29186725320821</c:v>
                </c:pt>
                <c:pt idx="140">
                  <c:v>43.155200455716098</c:v>
                </c:pt>
                <c:pt idx="141">
                  <c:v>41.984247201293201</c:v>
                </c:pt>
                <c:pt idx="142">
                  <c:v>40.779735396610057</c:v>
                </c:pt>
                <c:pt idx="143">
                  <c:v>39.542413809539362</c:v>
                </c:pt>
                <c:pt idx="144">
                  <c:v>38.27305160369496</c:v>
                </c:pt>
                <c:pt idx="145">
                  <c:v>36.97243786029204</c:v>
                </c:pt>
                <c:pt idx="146">
                  <c:v>35.641381087625909</c:v>
                </c:pt>
                <c:pt idx="147">
                  <c:v>34.280708718474088</c:v>
                </c:pt>
                <c:pt idx="148">
                  <c:v>32.891266595734379</c:v>
                </c:pt>
                <c:pt idx="149">
                  <c:v>31.473918446618441</c:v>
                </c:pt>
                <c:pt idx="150">
                  <c:v>30.029545345727961</c:v>
                </c:pt>
                <c:pt idx="151">
                  <c:v>28.559045167346859</c:v>
                </c:pt>
                <c:pt idx="152">
                  <c:v>27.063332027290457</c:v>
                </c:pt>
                <c:pt idx="153">
                  <c:v>25.54333571465812</c:v>
                </c:pt>
                <c:pt idx="154">
                  <c:v>24.00000111384292</c:v>
                </c:pt>
                <c:pt idx="155">
                  <c:v>22.434287617157558</c:v>
                </c:pt>
                <c:pt idx="156">
                  <c:v>20.847168528441451</c:v>
                </c:pt>
                <c:pt idx="157">
                  <c:v>19.239630458020226</c:v>
                </c:pt>
                <c:pt idx="158">
                  <c:v>17.612672709393095</c:v>
                </c:pt>
                <c:pt idx="159">
                  <c:v>15.967306658029923</c:v>
                </c:pt>
                <c:pt idx="160">
                  <c:v>14.304555122663807</c:v>
                </c:pt>
                <c:pt idx="161">
                  <c:v>12.625451729470267</c:v>
                </c:pt>
                <c:pt idx="162">
                  <c:v>10.931040269527855</c:v>
                </c:pt>
                <c:pt idx="163">
                  <c:v>9.2223740499601874</c:v>
                </c:pt>
                <c:pt idx="164">
                  <c:v>7.50051523916229</c:v>
                </c:pt>
                <c:pt idx="165">
                  <c:v>5.7665342065185783</c:v>
                </c:pt>
                <c:pt idx="166">
                  <c:v>4.0215088570226385</c:v>
                </c:pt>
                <c:pt idx="167">
                  <c:v>2.2665239612127621</c:v>
                </c:pt>
                <c:pt idx="168">
                  <c:v>0.50267048083958699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2.8515696384297637</c:v>
                </c:pt>
                <c:pt idx="177">
                  <c:v>1.9753111994832171</c:v>
                </c:pt>
                <c:pt idx="178">
                  <c:v>0.92563316887902047</c:v>
                </c:pt>
                <c:pt idx="179">
                  <c:v>-0.21601377837397351</c:v>
                </c:pt>
                <c:pt idx="180">
                  <c:v>-1.4157664759720063</c:v>
                </c:pt>
                <c:pt idx="181">
                  <c:v>-2.6556123420946562</c:v>
                </c:pt>
                <c:pt idx="182">
                  <c:v>-3.9245681685754725</c:v>
                </c:pt>
                <c:pt idx="183">
                  <c:v>-5.2153144569239593</c:v>
                </c:pt>
                <c:pt idx="184">
                  <c:v>-6.5226550874579061</c:v>
                </c:pt>
                <c:pt idx="185">
                  <c:v>-7.8427215966531474</c:v>
                </c:pt>
                <c:pt idx="186">
                  <c:v>-9.1725245020797033</c:v>
                </c:pt>
                <c:pt idx="187">
                  <c:v>-10.509682805443534</c:v>
                </c:pt>
                <c:pt idx="188">
                  <c:v>-11.852251962601201</c:v>
                </c:pt>
                <c:pt idx="189">
                  <c:v>-13.198609507350314</c:v>
                </c:pt>
                <c:pt idx="190">
                  <c:v>-14.547376030315508</c:v>
                </c:pt>
                <c:pt idx="191">
                  <c:v>-15.897358663204308</c:v>
                </c:pt>
                <c:pt idx="192">
                  <c:v>-17.247509325359044</c:v>
                </c:pt>
                <c:pt idx="193">
                  <c:v>-18.596892885306229</c:v>
                </c:pt>
                <c:pt idx="194">
                  <c:v>-19.944662101015112</c:v>
                </c:pt>
                <c:pt idx="195">
                  <c:v>-21.290037250525245</c:v>
                </c:pt>
                <c:pt idx="196">
                  <c:v>-22.632289027455251</c:v>
                </c:pt>
                <c:pt idx="197">
                  <c:v>-23.97072370792359</c:v>
                </c:pt>
                <c:pt idx="198">
                  <c:v>-25.30466988534544</c:v>
                </c:pt>
                <c:pt idx="199">
                  <c:v>-26.633466270137497</c:v>
                </c:pt>
                <c:pt idx="200">
                  <c:v>-27.956450194805811</c:v>
                </c:pt>
                <c:pt idx="201">
                  <c:v>-29.272946571435931</c:v>
                </c:pt>
                <c:pt idx="202">
                  <c:v>-30.582257131227855</c:v>
                </c:pt>
                <c:pt idx="203">
                  <c:v>-31.883649842884822</c:v>
                </c:pt>
                <c:pt idx="204">
                  <c:v>-33.176348463939625</c:v>
                </c:pt>
                <c:pt idx="205">
                  <c:v>-34.459522230103559</c:v>
                </c:pt>
                <c:pt idx="206">
                  <c:v>-35.732275734705851</c:v>
                </c:pt>
                <c:pt idx="207">
                  <c:v>-36.99363909448315</c:v>
                </c:pt>
                <c:pt idx="208">
                  <c:v>-38.242558539797471</c:v>
                </c:pt>
                <c:pt idx="209">
                  <c:v>-39.477887606536221</c:v>
                </c:pt>
                <c:pt idx="210">
                  <c:v>-40.698379142616446</c:v>
                </c:pt>
                <c:pt idx="211">
                  <c:v>-41.902678372794895</c:v>
                </c:pt>
                <c:pt idx="212">
                  <c:v>-43.089317289558807</c:v>
                </c:pt>
                <c:pt idx="213">
                  <c:v>-44.25671065311036</c:v>
                </c:pt>
                <c:pt idx="214">
                  <c:v>-45.403153887555582</c:v>
                </c:pt>
                <c:pt idx="215">
                  <c:v>-46.526823151096757</c:v>
                </c:pt>
                <c:pt idx="216">
                  <c:v>-47.625777833297384</c:v>
                </c:pt>
                <c:pt idx="217">
                  <c:v>-48.697965690882285</c:v>
                </c:pt>
                <c:pt idx="218">
                  <c:v>-49.741230774414589</c:v>
                </c:pt>
                <c:pt idx="219">
                  <c:v>-50.753324222038465</c:v>
                </c:pt>
                <c:pt idx="220">
                  <c:v>-51.731917905092047</c:v>
                </c:pt>
                <c:pt idx="221">
                  <c:v>-52.674620807053785</c:v>
                </c:pt>
                <c:pt idx="222">
                  <c:v>-53.578997906712083</c:v>
                </c:pt>
                <c:pt idx="223">
                  <c:v>-54.442591224662408</c:v>
                </c:pt>
                <c:pt idx="224">
                  <c:v>-55.262942586197084</c:v>
                </c:pt>
                <c:pt idx="225">
                  <c:v>-56.037617560739605</c:v>
                </c:pt>
                <c:pt idx="226">
                  <c:v>-56.764229965340405</c:v>
                </c:pt>
                <c:pt idx="227">
                  <c:v>-57.440466273599569</c:v>
                </c:pt>
                <c:pt idx="228">
                  <c:v>-58.064109256288212</c:v>
                </c:pt>
                <c:pt idx="229">
                  <c:v>-58.633060198267984</c:v>
                </c:pt>
                <c:pt idx="230">
                  <c:v>-59.145359087855262</c:v>
                </c:pt>
                <c:pt idx="231">
                  <c:v>-59.599202256688159</c:v>
                </c:pt>
                <c:pt idx="232">
                  <c:v>-59.992957055132891</c:v>
                </c:pt>
                <c:pt idx="233">
                  <c:v>-60.325173273076174</c:v>
                </c:pt>
                <c:pt idx="234">
                  <c:v>-60.594591150128096</c:v>
                </c:pt>
                <c:pt idx="235">
                  <c:v>-60.800145953957085</c:v>
                </c:pt>
                <c:pt idx="236">
                  <c:v>-60.940969232303956</c:v>
                </c:pt>
                <c:pt idx="237">
                  <c:v>-61.016386955989681</c:v>
                </c:pt>
                <c:pt idx="238">
                  <c:v>-61.025914861512376</c:v>
                </c:pt>
                <c:pt idx="239">
                  <c:v>-60.969251369261414</c:v>
                </c:pt>
              </c:numCache>
            </c:numRef>
          </c:xVal>
          <c:yVal>
            <c:numRef>
              <c:f>CALC60!$CV$6:$CV$581</c:f>
              <c:numCache>
                <c:formatCode>General</c:formatCode>
                <c:ptCount val="576"/>
              </c:numCache>
            </c:numRef>
          </c:yVal>
          <c:smooth val="0"/>
        </c:ser>
        <c:ser>
          <c:idx val="49"/>
          <c:order val="49"/>
          <c:tx>
            <c:strRef>
              <c:f>CALC60!$CW$5</c:f>
              <c:strCache>
                <c:ptCount val="1"/>
                <c:pt idx="0">
                  <c:v>R48</c:v>
                </c:pt>
              </c:strCache>
            </c:strRef>
          </c:tx>
          <c:spPr>
            <a:ln w="28575">
              <a:noFill/>
            </a:ln>
          </c:spPr>
          <c:xVal>
            <c:numRef>
              <c:f>CALC60!$AY$6:$AY$581</c:f>
              <c:numCache>
                <c:formatCode>General</c:formatCode>
                <c:ptCount val="576"/>
                <c:pt idx="0">
                  <c:v>-19.833506546880365</c:v>
                </c:pt>
                <c:pt idx="1">
                  <c:v>-18.245852614565919</c:v>
                </c:pt>
                <c:pt idx="2">
                  <c:v>-16.629666681765414</c:v>
                </c:pt>
                <c:pt idx="3">
                  <c:v>-14.98231154257417</c:v>
                </c:pt>
                <c:pt idx="4">
                  <c:v>-13.301143585556035</c:v>
                </c:pt>
                <c:pt idx="5">
                  <c:v>-11.583569246398675</c:v>
                </c:pt>
                <c:pt idx="6">
                  <c:v>-9.8270793278644781</c:v>
                </c:pt>
                <c:pt idx="7">
                  <c:v>-8.029252658232803</c:v>
                </c:pt>
                <c:pt idx="8">
                  <c:v>-6.1877185053343773</c:v>
                </c:pt>
                <c:pt idx="9">
                  <c:v>-4.3000630515963358</c:v>
                </c:pt>
                <c:pt idx="10">
                  <c:v>-2.3636564525099644</c:v>
                </c:pt>
                <c:pt idx="11">
                  <c:v>-0.37535794962416702</c:v>
                </c:pt>
                <c:pt idx="12">
                  <c:v>-3.0678010204149508</c:v>
                </c:pt>
                <c:pt idx="13">
                  <c:v>5.8156608222448263</c:v>
                </c:pt>
                <c:pt idx="14">
                  <c:v>-8.9906603193697858</c:v>
                </c:pt>
                <c:pt idx="15">
                  <c:v>-19.434156555154736</c:v>
                </c:pt>
                <c:pt idx="16">
                  <c:v>-12</c:v>
                </c:pt>
                <c:pt idx="17">
                  <c:v>-29.167117021908272</c:v>
                </c:pt>
                <c:pt idx="18">
                  <c:v>-14</c:v>
                </c:pt>
                <c:pt idx="19">
                  <c:v>-19.833506546880365</c:v>
                </c:pt>
                <c:pt idx="20">
                  <c:v>1.5130248501190131</c:v>
                </c:pt>
                <c:pt idx="21">
                  <c:v>12</c:v>
                </c:pt>
                <c:pt idx="22">
                  <c:v>-12</c:v>
                </c:pt>
                <c:pt idx="23">
                  <c:v>-28.772550131225248</c:v>
                </c:pt>
                <c:pt idx="24">
                  <c:v>-11.666666666666666</c:v>
                </c:pt>
                <c:pt idx="25">
                  <c:v>-18.245852614565919</c:v>
                </c:pt>
                <c:pt idx="26">
                  <c:v>4.3925078710812571</c:v>
                </c:pt>
                <c:pt idx="27">
                  <c:v>12</c:v>
                </c:pt>
                <c:pt idx="28">
                  <c:v>-12</c:v>
                </c:pt>
                <c:pt idx="29">
                  <c:v>-28.303800039278563</c:v>
                </c:pt>
                <c:pt idx="30">
                  <c:v>-9.3333333333333321</c:v>
                </c:pt>
                <c:pt idx="31">
                  <c:v>-16.629666681765414</c:v>
                </c:pt>
                <c:pt idx="32">
                  <c:v>6.4527131206909987</c:v>
                </c:pt>
                <c:pt idx="33">
                  <c:v>12</c:v>
                </c:pt>
                <c:pt idx="34">
                  <c:v>-12</c:v>
                </c:pt>
                <c:pt idx="35">
                  <c:v>-27.754010010716058</c:v>
                </c:pt>
                <c:pt idx="36">
                  <c:v>-6.9999999999999982</c:v>
                </c:pt>
                <c:pt idx="37">
                  <c:v>-14.98231154257417</c:v>
                </c:pt>
                <c:pt idx="38">
                  <c:v>8.2375052570320868</c:v>
                </c:pt>
                <c:pt idx="39">
                  <c:v>12</c:v>
                </c:pt>
                <c:pt idx="40">
                  <c:v>-12</c:v>
                </c:pt>
                <c:pt idx="41">
                  <c:v>-27.116306655803694</c:v>
                </c:pt>
                <c:pt idx="42">
                  <c:v>-4.6666666666666643</c:v>
                </c:pt>
                <c:pt idx="43">
                  <c:v>-13.301143585556035</c:v>
                </c:pt>
                <c:pt idx="44">
                  <c:v>9.8664661885771885</c:v>
                </c:pt>
                <c:pt idx="45">
                  <c:v>12</c:v>
                </c:pt>
                <c:pt idx="46">
                  <c:v>-12</c:v>
                </c:pt>
                <c:pt idx="47">
                  <c:v>-26.383946707329393</c:v>
                </c:pt>
                <c:pt idx="48">
                  <c:v>-2.3333333333333308</c:v>
                </c:pt>
                <c:pt idx="49">
                  <c:v>-11.583569246398675</c:v>
                </c:pt>
                <c:pt idx="50">
                  <c:v>11.388844623449907</c:v>
                </c:pt>
                <c:pt idx="51">
                  <c:v>12</c:v>
                </c:pt>
                <c:pt idx="52">
                  <c:v>-12</c:v>
                </c:pt>
                <c:pt idx="53">
                  <c:v>-25.550406252475348</c:v>
                </c:pt>
                <c:pt idx="54">
                  <c:v>0</c:v>
                </c:pt>
                <c:pt idx="55">
                  <c:v>-9.8270793278644781</c:v>
                </c:pt>
                <c:pt idx="56">
                  <c:v>12.829698097369761</c:v>
                </c:pt>
                <c:pt idx="57">
                  <c:v>12</c:v>
                </c:pt>
                <c:pt idx="58">
                  <c:v>-12</c:v>
                </c:pt>
                <c:pt idx="59">
                  <c:v>-24.609390244767855</c:v>
                </c:pt>
                <c:pt idx="60">
                  <c:v>2.3333333333333335</c:v>
                </c:pt>
                <c:pt idx="61">
                  <c:v>-8.029252658232803</c:v>
                </c:pt>
                <c:pt idx="62">
                  <c:v>14.203132463376605</c:v>
                </c:pt>
                <c:pt idx="63">
                  <c:v>12</c:v>
                </c:pt>
                <c:pt idx="64">
                  <c:v>-12</c:v>
                </c:pt>
                <c:pt idx="65">
                  <c:v>-23.554734780566797</c:v>
                </c:pt>
                <c:pt idx="66">
                  <c:v>4.666666666666667</c:v>
                </c:pt>
                <c:pt idx="67">
                  <c:v>-6.1877185053343773</c:v>
                </c:pt>
                <c:pt idx="68">
                  <c:v>15.517506829265256</c:v>
                </c:pt>
                <c:pt idx="69">
                  <c:v>12</c:v>
                </c:pt>
                <c:pt idx="70">
                  <c:v>-12</c:v>
                </c:pt>
                <c:pt idx="71">
                  <c:v>-22.380163934182676</c:v>
                </c:pt>
                <c:pt idx="72">
                  <c:v>7</c:v>
                </c:pt>
                <c:pt idx="73">
                  <c:v>-4.3000630515963358</c:v>
                </c:pt>
                <c:pt idx="74">
                  <c:v>16.777941702150098</c:v>
                </c:pt>
                <c:pt idx="75">
                  <c:v>12</c:v>
                </c:pt>
                <c:pt idx="76">
                  <c:v>-12</c:v>
                </c:pt>
                <c:pt idx="77">
                  <c:v>-21.078840109892809</c:v>
                </c:pt>
                <c:pt idx="78">
                  <c:v>9.3333333333333339</c:v>
                </c:pt>
                <c:pt idx="79">
                  <c:v>-2.3636564525099644</c:v>
                </c:pt>
                <c:pt idx="80">
                  <c:v>17.987756355580007</c:v>
                </c:pt>
                <c:pt idx="81">
                  <c:v>12</c:v>
                </c:pt>
                <c:pt idx="82">
                  <c:v>-12</c:v>
                </c:pt>
                <c:pt idx="83">
                  <c:v>-19.642597335724307</c:v>
                </c:pt>
                <c:pt idx="84">
                  <c:v>11.666666666666668</c:v>
                </c:pt>
                <c:pt idx="85">
                  <c:v>-0.37535794962416702</c:v>
                </c:pt>
                <c:pt idx="86">
                  <c:v>19.149459663035739</c:v>
                </c:pt>
                <c:pt idx="87">
                  <c:v>12</c:v>
                </c:pt>
                <c:pt idx="88">
                  <c:v>-12</c:v>
                </c:pt>
                <c:pt idx="89">
                  <c:v>-30.376282653093735</c:v>
                </c:pt>
                <c:pt idx="90">
                  <c:v>14.000000000000002</c:v>
                </c:pt>
                <c:pt idx="91">
                  <c:v>-3.0678010204149508</c:v>
                </c:pt>
                <c:pt idx="92">
                  <c:v>26.896999319700733</c:v>
                </c:pt>
                <c:pt idx="93">
                  <c:v>12</c:v>
                </c:pt>
                <c:pt idx="94">
                  <c:v>-12</c:v>
                </c:pt>
                <c:pt idx="95">
                  <c:v>-24.879281862192261</c:v>
                </c:pt>
                <c:pt idx="96">
                  <c:v>25</c:v>
                </c:pt>
                <c:pt idx="97">
                  <c:v>5.8156608222448263</c:v>
                </c:pt>
                <c:pt idx="98">
                  <c:v>31.34962606454722</c:v>
                </c:pt>
                <c:pt idx="99">
                  <c:v>12</c:v>
                </c:pt>
                <c:pt idx="100">
                  <c:v>-12</c:v>
                </c:pt>
                <c:pt idx="101">
                  <c:v>-23.375716830330454</c:v>
                </c:pt>
                <c:pt idx="102">
                  <c:v>0</c:v>
                </c:pt>
                <c:pt idx="103">
                  <c:v>-8.9906603193697858</c:v>
                </c:pt>
                <c:pt idx="104">
                  <c:v>22.648032351271631</c:v>
                </c:pt>
                <c:pt idx="105">
                  <c:v>12</c:v>
                </c:pt>
                <c:pt idx="106">
                  <c:v>-12</c:v>
                </c:pt>
                <c:pt idx="107">
                  <c:v>-10.52880704336475</c:v>
                </c:pt>
                <c:pt idx="108">
                  <c:v>-25</c:v>
                </c:pt>
                <c:pt idx="109">
                  <c:v>-19.434156555154736</c:v>
                </c:pt>
                <c:pt idx="110">
                  <c:v>20.32293673094285</c:v>
                </c:pt>
                <c:pt idx="111">
                  <c:v>12</c:v>
                </c:pt>
                <c:pt idx="112">
                  <c:v>60</c:v>
                </c:pt>
                <c:pt idx="113">
                  <c:v>59.977621104822219</c:v>
                </c:pt>
                <c:pt idx="114">
                  <c:v>59.910498330815244</c:v>
                </c:pt>
                <c:pt idx="115">
                  <c:v>59.7986734039103</c:v>
                </c:pt>
                <c:pt idx="116">
                  <c:v>59.642215838505066</c:v>
                </c:pt>
                <c:pt idx="117">
                  <c:v>59.441222894251112</c:v>
                </c:pt>
                <c:pt idx="118">
                  <c:v>59.195819515593755</c:v>
                </c:pt>
                <c:pt idx="119">
                  <c:v>58.906158254102053</c:v>
                </c:pt>
                <c:pt idx="120">
                  <c:v>58.572419173637371</c:v>
                </c:pt>
                <c:pt idx="121">
                  <c:v>58.19480973841911</c:v>
                </c:pt>
                <c:pt idx="122">
                  <c:v>57.77356468405749</c:v>
                </c:pt>
                <c:pt idx="123">
                  <c:v>57.308945871633512</c:v>
                </c:pt>
                <c:pt idx="124">
                  <c:v>56.801242124916655</c:v>
                </c:pt>
                <c:pt idx="125">
                  <c:v>56.250769050821617</c:v>
                </c:pt>
                <c:pt idx="126">
                  <c:v>55.657868843215709</c:v>
                </c:pt>
                <c:pt idx="127">
                  <c:v>55.022910070198847</c:v>
                </c:pt>
                <c:pt idx="128">
                  <c:v>54.346287444988349</c:v>
                </c:pt>
                <c:pt idx="129">
                  <c:v>53.628421580551006</c:v>
                </c:pt>
                <c:pt idx="130">
                  <c:v>52.869758728134926</c:v>
                </c:pt>
                <c:pt idx="131">
                  <c:v>52.070770499863713</c:v>
                </c:pt>
                <c:pt idx="132">
                  <c:v>51.231953575565385</c:v>
                </c:pt>
                <c:pt idx="133">
                  <c:v>50.353829394018334</c:v>
                </c:pt>
                <c:pt idx="134">
                  <c:v>49.436943828806236</c:v>
                </c:pt>
                <c:pt idx="135">
                  <c:v>48.481866848983351</c:v>
                </c:pt>
                <c:pt idx="136">
                  <c:v>47.489192164761299</c:v>
                </c:pt>
                <c:pt idx="137">
                  <c:v>46.45953685843741</c:v>
                </c:pt>
                <c:pt idx="138">
                  <c:v>45.39354100079418</c:v>
                </c:pt>
                <c:pt idx="139">
                  <c:v>44.29186725320821</c:v>
                </c:pt>
                <c:pt idx="140">
                  <c:v>43.155200455716098</c:v>
                </c:pt>
                <c:pt idx="141">
                  <c:v>41.984247201293201</c:v>
                </c:pt>
                <c:pt idx="142">
                  <c:v>40.779735396610057</c:v>
                </c:pt>
                <c:pt idx="143">
                  <c:v>39.542413809539362</c:v>
                </c:pt>
                <c:pt idx="144">
                  <c:v>38.27305160369496</c:v>
                </c:pt>
                <c:pt idx="145">
                  <c:v>36.97243786029204</c:v>
                </c:pt>
                <c:pt idx="146">
                  <c:v>35.641381087625909</c:v>
                </c:pt>
                <c:pt idx="147">
                  <c:v>34.280708718474088</c:v>
                </c:pt>
                <c:pt idx="148">
                  <c:v>32.891266595734379</c:v>
                </c:pt>
                <c:pt idx="149">
                  <c:v>31.473918446618441</c:v>
                </c:pt>
                <c:pt idx="150">
                  <c:v>30.029545345727961</c:v>
                </c:pt>
                <c:pt idx="151">
                  <c:v>28.559045167346859</c:v>
                </c:pt>
                <c:pt idx="152">
                  <c:v>27.063332027290457</c:v>
                </c:pt>
                <c:pt idx="153">
                  <c:v>25.54333571465812</c:v>
                </c:pt>
                <c:pt idx="154">
                  <c:v>24.00000111384292</c:v>
                </c:pt>
                <c:pt idx="155">
                  <c:v>22.434287617157558</c:v>
                </c:pt>
                <c:pt idx="156">
                  <c:v>20.847168528441451</c:v>
                </c:pt>
                <c:pt idx="157">
                  <c:v>19.239630458020226</c:v>
                </c:pt>
                <c:pt idx="158">
                  <c:v>17.612672709393095</c:v>
                </c:pt>
                <c:pt idx="159">
                  <c:v>15.967306658029923</c:v>
                </c:pt>
                <c:pt idx="160">
                  <c:v>14.304555122663807</c:v>
                </c:pt>
                <c:pt idx="161">
                  <c:v>12.625451729470267</c:v>
                </c:pt>
                <c:pt idx="162">
                  <c:v>10.931040269527855</c:v>
                </c:pt>
                <c:pt idx="163">
                  <c:v>9.2223740499601874</c:v>
                </c:pt>
                <c:pt idx="164">
                  <c:v>7.50051523916229</c:v>
                </c:pt>
                <c:pt idx="165">
                  <c:v>5.7665342065185783</c:v>
                </c:pt>
                <c:pt idx="166">
                  <c:v>4.0215088570226385</c:v>
                </c:pt>
                <c:pt idx="167">
                  <c:v>2.2665239612127621</c:v>
                </c:pt>
                <c:pt idx="168">
                  <c:v>0.50267048083958699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2.8515696384297637</c:v>
                </c:pt>
                <c:pt idx="177">
                  <c:v>1.9753111994832171</c:v>
                </c:pt>
                <c:pt idx="178">
                  <c:v>0.92563316887902047</c:v>
                </c:pt>
                <c:pt idx="179">
                  <c:v>-0.21601377837397351</c:v>
                </c:pt>
                <c:pt idx="180">
                  <c:v>-1.4157664759720063</c:v>
                </c:pt>
                <c:pt idx="181">
                  <c:v>-2.6556123420946562</c:v>
                </c:pt>
                <c:pt idx="182">
                  <c:v>-3.9245681685754725</c:v>
                </c:pt>
                <c:pt idx="183">
                  <c:v>-5.2153144569239593</c:v>
                </c:pt>
                <c:pt idx="184">
                  <c:v>-6.5226550874579061</c:v>
                </c:pt>
                <c:pt idx="185">
                  <c:v>-7.8427215966531474</c:v>
                </c:pt>
                <c:pt idx="186">
                  <c:v>-9.1725245020797033</c:v>
                </c:pt>
                <c:pt idx="187">
                  <c:v>-10.509682805443534</c:v>
                </c:pt>
                <c:pt idx="188">
                  <c:v>-11.852251962601201</c:v>
                </c:pt>
                <c:pt idx="189">
                  <c:v>-13.198609507350314</c:v>
                </c:pt>
                <c:pt idx="190">
                  <c:v>-14.547376030315508</c:v>
                </c:pt>
                <c:pt idx="191">
                  <c:v>-15.897358663204308</c:v>
                </c:pt>
                <c:pt idx="192">
                  <c:v>-17.247509325359044</c:v>
                </c:pt>
                <c:pt idx="193">
                  <c:v>-18.596892885306229</c:v>
                </c:pt>
                <c:pt idx="194">
                  <c:v>-19.944662101015112</c:v>
                </c:pt>
                <c:pt idx="195">
                  <c:v>-21.290037250525245</c:v>
                </c:pt>
                <c:pt idx="196">
                  <c:v>-22.632289027455251</c:v>
                </c:pt>
                <c:pt idx="197">
                  <c:v>-23.97072370792359</c:v>
                </c:pt>
                <c:pt idx="198">
                  <c:v>-25.30466988534544</c:v>
                </c:pt>
                <c:pt idx="199">
                  <c:v>-26.633466270137497</c:v>
                </c:pt>
                <c:pt idx="200">
                  <c:v>-27.956450194805811</c:v>
                </c:pt>
                <c:pt idx="201">
                  <c:v>-29.272946571435931</c:v>
                </c:pt>
                <c:pt idx="202">
                  <c:v>-30.582257131227855</c:v>
                </c:pt>
                <c:pt idx="203">
                  <c:v>-31.883649842884822</c:v>
                </c:pt>
                <c:pt idx="204">
                  <c:v>-33.176348463939625</c:v>
                </c:pt>
                <c:pt idx="205">
                  <c:v>-34.459522230103559</c:v>
                </c:pt>
                <c:pt idx="206">
                  <c:v>-35.732275734705851</c:v>
                </c:pt>
                <c:pt idx="207">
                  <c:v>-36.99363909448315</c:v>
                </c:pt>
                <c:pt idx="208">
                  <c:v>-38.242558539797471</c:v>
                </c:pt>
                <c:pt idx="209">
                  <c:v>-39.477887606536221</c:v>
                </c:pt>
                <c:pt idx="210">
                  <c:v>-40.698379142616446</c:v>
                </c:pt>
                <c:pt idx="211">
                  <c:v>-41.902678372794895</c:v>
                </c:pt>
                <c:pt idx="212">
                  <c:v>-43.089317289558807</c:v>
                </c:pt>
                <c:pt idx="213">
                  <c:v>-44.25671065311036</c:v>
                </c:pt>
                <c:pt idx="214">
                  <c:v>-45.403153887555582</c:v>
                </c:pt>
                <c:pt idx="215">
                  <c:v>-46.526823151096757</c:v>
                </c:pt>
                <c:pt idx="216">
                  <c:v>-47.625777833297384</c:v>
                </c:pt>
                <c:pt idx="217">
                  <c:v>-48.697965690882285</c:v>
                </c:pt>
                <c:pt idx="218">
                  <c:v>-49.741230774414589</c:v>
                </c:pt>
                <c:pt idx="219">
                  <c:v>-50.753324222038465</c:v>
                </c:pt>
                <c:pt idx="220">
                  <c:v>-51.731917905092047</c:v>
                </c:pt>
                <c:pt idx="221">
                  <c:v>-52.674620807053785</c:v>
                </c:pt>
                <c:pt idx="222">
                  <c:v>-53.578997906712083</c:v>
                </c:pt>
                <c:pt idx="223">
                  <c:v>-54.442591224662408</c:v>
                </c:pt>
                <c:pt idx="224">
                  <c:v>-55.262942586197084</c:v>
                </c:pt>
                <c:pt idx="225">
                  <c:v>-56.037617560739605</c:v>
                </c:pt>
                <c:pt idx="226">
                  <c:v>-56.764229965340405</c:v>
                </c:pt>
                <c:pt idx="227">
                  <c:v>-57.440466273599569</c:v>
                </c:pt>
                <c:pt idx="228">
                  <c:v>-58.064109256288212</c:v>
                </c:pt>
                <c:pt idx="229">
                  <c:v>-58.633060198267984</c:v>
                </c:pt>
                <c:pt idx="230">
                  <c:v>-59.145359087855262</c:v>
                </c:pt>
                <c:pt idx="231">
                  <c:v>-59.599202256688159</c:v>
                </c:pt>
                <c:pt idx="232">
                  <c:v>-59.992957055132891</c:v>
                </c:pt>
                <c:pt idx="233">
                  <c:v>-60.325173273076174</c:v>
                </c:pt>
                <c:pt idx="234">
                  <c:v>-60.594591150128096</c:v>
                </c:pt>
                <c:pt idx="235">
                  <c:v>-60.800145953957085</c:v>
                </c:pt>
                <c:pt idx="236">
                  <c:v>-60.940969232303956</c:v>
                </c:pt>
                <c:pt idx="237">
                  <c:v>-61.016386955989681</c:v>
                </c:pt>
                <c:pt idx="238">
                  <c:v>-61.025914861512376</c:v>
                </c:pt>
                <c:pt idx="239">
                  <c:v>-60.969251369261414</c:v>
                </c:pt>
              </c:numCache>
            </c:numRef>
          </c:xVal>
          <c:yVal>
            <c:numRef>
              <c:f>CALC60!$CW$6:$CW$581</c:f>
              <c:numCache>
                <c:formatCode>General</c:formatCode>
                <c:ptCount val="576"/>
              </c:numCache>
            </c:numRef>
          </c:yVal>
          <c:smooth val="0"/>
        </c:ser>
        <c:ser>
          <c:idx val="50"/>
          <c:order val="50"/>
          <c:tx>
            <c:strRef>
              <c:f>CALC60!$CX$5</c:f>
              <c:strCache>
                <c:ptCount val="1"/>
                <c:pt idx="0">
                  <c:v>R49</c:v>
                </c:pt>
              </c:strCache>
            </c:strRef>
          </c:tx>
          <c:spPr>
            <a:ln w="28575">
              <a:noFill/>
            </a:ln>
          </c:spPr>
          <c:xVal>
            <c:numRef>
              <c:f>CALC60!$AY$6:$AY$581</c:f>
              <c:numCache>
                <c:formatCode>General</c:formatCode>
                <c:ptCount val="576"/>
                <c:pt idx="0">
                  <c:v>-19.833506546880365</c:v>
                </c:pt>
                <c:pt idx="1">
                  <c:v>-18.245852614565919</c:v>
                </c:pt>
                <c:pt idx="2">
                  <c:v>-16.629666681765414</c:v>
                </c:pt>
                <c:pt idx="3">
                  <c:v>-14.98231154257417</c:v>
                </c:pt>
                <c:pt idx="4">
                  <c:v>-13.301143585556035</c:v>
                </c:pt>
                <c:pt idx="5">
                  <c:v>-11.583569246398675</c:v>
                </c:pt>
                <c:pt idx="6">
                  <c:v>-9.8270793278644781</c:v>
                </c:pt>
                <c:pt idx="7">
                  <c:v>-8.029252658232803</c:v>
                </c:pt>
                <c:pt idx="8">
                  <c:v>-6.1877185053343773</c:v>
                </c:pt>
                <c:pt idx="9">
                  <c:v>-4.3000630515963358</c:v>
                </c:pt>
                <c:pt idx="10">
                  <c:v>-2.3636564525099644</c:v>
                </c:pt>
                <c:pt idx="11">
                  <c:v>-0.37535794962416702</c:v>
                </c:pt>
                <c:pt idx="12">
                  <c:v>-3.0678010204149508</c:v>
                </c:pt>
                <c:pt idx="13">
                  <c:v>5.8156608222448263</c:v>
                </c:pt>
                <c:pt idx="14">
                  <c:v>-8.9906603193697858</c:v>
                </c:pt>
                <c:pt idx="15">
                  <c:v>-19.434156555154736</c:v>
                </c:pt>
                <c:pt idx="16">
                  <c:v>-12</c:v>
                </c:pt>
                <c:pt idx="17">
                  <c:v>-29.167117021908272</c:v>
                </c:pt>
                <c:pt idx="18">
                  <c:v>-14</c:v>
                </c:pt>
                <c:pt idx="19">
                  <c:v>-19.833506546880365</c:v>
                </c:pt>
                <c:pt idx="20">
                  <c:v>1.5130248501190131</c:v>
                </c:pt>
                <c:pt idx="21">
                  <c:v>12</c:v>
                </c:pt>
                <c:pt idx="22">
                  <c:v>-12</c:v>
                </c:pt>
                <c:pt idx="23">
                  <c:v>-28.772550131225248</c:v>
                </c:pt>
                <c:pt idx="24">
                  <c:v>-11.666666666666666</c:v>
                </c:pt>
                <c:pt idx="25">
                  <c:v>-18.245852614565919</c:v>
                </c:pt>
                <c:pt idx="26">
                  <c:v>4.3925078710812571</c:v>
                </c:pt>
                <c:pt idx="27">
                  <c:v>12</c:v>
                </c:pt>
                <c:pt idx="28">
                  <c:v>-12</c:v>
                </c:pt>
                <c:pt idx="29">
                  <c:v>-28.303800039278563</c:v>
                </c:pt>
                <c:pt idx="30">
                  <c:v>-9.3333333333333321</c:v>
                </c:pt>
                <c:pt idx="31">
                  <c:v>-16.629666681765414</c:v>
                </c:pt>
                <c:pt idx="32">
                  <c:v>6.4527131206909987</c:v>
                </c:pt>
                <c:pt idx="33">
                  <c:v>12</c:v>
                </c:pt>
                <c:pt idx="34">
                  <c:v>-12</c:v>
                </c:pt>
                <c:pt idx="35">
                  <c:v>-27.754010010716058</c:v>
                </c:pt>
                <c:pt idx="36">
                  <c:v>-6.9999999999999982</c:v>
                </c:pt>
                <c:pt idx="37">
                  <c:v>-14.98231154257417</c:v>
                </c:pt>
                <c:pt idx="38">
                  <c:v>8.2375052570320868</c:v>
                </c:pt>
                <c:pt idx="39">
                  <c:v>12</c:v>
                </c:pt>
                <c:pt idx="40">
                  <c:v>-12</c:v>
                </c:pt>
                <c:pt idx="41">
                  <c:v>-27.116306655803694</c:v>
                </c:pt>
                <c:pt idx="42">
                  <c:v>-4.6666666666666643</c:v>
                </c:pt>
                <c:pt idx="43">
                  <c:v>-13.301143585556035</c:v>
                </c:pt>
                <c:pt idx="44">
                  <c:v>9.8664661885771885</c:v>
                </c:pt>
                <c:pt idx="45">
                  <c:v>12</c:v>
                </c:pt>
                <c:pt idx="46">
                  <c:v>-12</c:v>
                </c:pt>
                <c:pt idx="47">
                  <c:v>-26.383946707329393</c:v>
                </c:pt>
                <c:pt idx="48">
                  <c:v>-2.3333333333333308</c:v>
                </c:pt>
                <c:pt idx="49">
                  <c:v>-11.583569246398675</c:v>
                </c:pt>
                <c:pt idx="50">
                  <c:v>11.388844623449907</c:v>
                </c:pt>
                <c:pt idx="51">
                  <c:v>12</c:v>
                </c:pt>
                <c:pt idx="52">
                  <c:v>-12</c:v>
                </c:pt>
                <c:pt idx="53">
                  <c:v>-25.550406252475348</c:v>
                </c:pt>
                <c:pt idx="54">
                  <c:v>0</c:v>
                </c:pt>
                <c:pt idx="55">
                  <c:v>-9.8270793278644781</c:v>
                </c:pt>
                <c:pt idx="56">
                  <c:v>12.829698097369761</c:v>
                </c:pt>
                <c:pt idx="57">
                  <c:v>12</c:v>
                </c:pt>
                <c:pt idx="58">
                  <c:v>-12</c:v>
                </c:pt>
                <c:pt idx="59">
                  <c:v>-24.609390244767855</c:v>
                </c:pt>
                <c:pt idx="60">
                  <c:v>2.3333333333333335</c:v>
                </c:pt>
                <c:pt idx="61">
                  <c:v>-8.029252658232803</c:v>
                </c:pt>
                <c:pt idx="62">
                  <c:v>14.203132463376605</c:v>
                </c:pt>
                <c:pt idx="63">
                  <c:v>12</c:v>
                </c:pt>
                <c:pt idx="64">
                  <c:v>-12</c:v>
                </c:pt>
                <c:pt idx="65">
                  <c:v>-23.554734780566797</c:v>
                </c:pt>
                <c:pt idx="66">
                  <c:v>4.666666666666667</c:v>
                </c:pt>
                <c:pt idx="67">
                  <c:v>-6.1877185053343773</c:v>
                </c:pt>
                <c:pt idx="68">
                  <c:v>15.517506829265256</c:v>
                </c:pt>
                <c:pt idx="69">
                  <c:v>12</c:v>
                </c:pt>
                <c:pt idx="70">
                  <c:v>-12</c:v>
                </c:pt>
                <c:pt idx="71">
                  <c:v>-22.380163934182676</c:v>
                </c:pt>
                <c:pt idx="72">
                  <c:v>7</c:v>
                </c:pt>
                <c:pt idx="73">
                  <c:v>-4.3000630515963358</c:v>
                </c:pt>
                <c:pt idx="74">
                  <c:v>16.777941702150098</c:v>
                </c:pt>
                <c:pt idx="75">
                  <c:v>12</c:v>
                </c:pt>
                <c:pt idx="76">
                  <c:v>-12</c:v>
                </c:pt>
                <c:pt idx="77">
                  <c:v>-21.078840109892809</c:v>
                </c:pt>
                <c:pt idx="78">
                  <c:v>9.3333333333333339</c:v>
                </c:pt>
                <c:pt idx="79">
                  <c:v>-2.3636564525099644</c:v>
                </c:pt>
                <c:pt idx="80">
                  <c:v>17.987756355580007</c:v>
                </c:pt>
                <c:pt idx="81">
                  <c:v>12</c:v>
                </c:pt>
                <c:pt idx="82">
                  <c:v>-12</c:v>
                </c:pt>
                <c:pt idx="83">
                  <c:v>-19.642597335724307</c:v>
                </c:pt>
                <c:pt idx="84">
                  <c:v>11.666666666666668</c:v>
                </c:pt>
                <c:pt idx="85">
                  <c:v>-0.37535794962416702</c:v>
                </c:pt>
                <c:pt idx="86">
                  <c:v>19.149459663035739</c:v>
                </c:pt>
                <c:pt idx="87">
                  <c:v>12</c:v>
                </c:pt>
                <c:pt idx="88">
                  <c:v>-12</c:v>
                </c:pt>
                <c:pt idx="89">
                  <c:v>-30.376282653093735</c:v>
                </c:pt>
                <c:pt idx="90">
                  <c:v>14.000000000000002</c:v>
                </c:pt>
                <c:pt idx="91">
                  <c:v>-3.0678010204149508</c:v>
                </c:pt>
                <c:pt idx="92">
                  <c:v>26.896999319700733</c:v>
                </c:pt>
                <c:pt idx="93">
                  <c:v>12</c:v>
                </c:pt>
                <c:pt idx="94">
                  <c:v>-12</c:v>
                </c:pt>
                <c:pt idx="95">
                  <c:v>-24.879281862192261</c:v>
                </c:pt>
                <c:pt idx="96">
                  <c:v>25</c:v>
                </c:pt>
                <c:pt idx="97">
                  <c:v>5.8156608222448263</c:v>
                </c:pt>
                <c:pt idx="98">
                  <c:v>31.34962606454722</c:v>
                </c:pt>
                <c:pt idx="99">
                  <c:v>12</c:v>
                </c:pt>
                <c:pt idx="100">
                  <c:v>-12</c:v>
                </c:pt>
                <c:pt idx="101">
                  <c:v>-23.375716830330454</c:v>
                </c:pt>
                <c:pt idx="102">
                  <c:v>0</c:v>
                </c:pt>
                <c:pt idx="103">
                  <c:v>-8.9906603193697858</c:v>
                </c:pt>
                <c:pt idx="104">
                  <c:v>22.648032351271631</c:v>
                </c:pt>
                <c:pt idx="105">
                  <c:v>12</c:v>
                </c:pt>
                <c:pt idx="106">
                  <c:v>-12</c:v>
                </c:pt>
                <c:pt idx="107">
                  <c:v>-10.52880704336475</c:v>
                </c:pt>
                <c:pt idx="108">
                  <c:v>-25</c:v>
                </c:pt>
                <c:pt idx="109">
                  <c:v>-19.434156555154736</c:v>
                </c:pt>
                <c:pt idx="110">
                  <c:v>20.32293673094285</c:v>
                </c:pt>
                <c:pt idx="111">
                  <c:v>12</c:v>
                </c:pt>
                <c:pt idx="112">
                  <c:v>60</c:v>
                </c:pt>
                <c:pt idx="113">
                  <c:v>59.977621104822219</c:v>
                </c:pt>
                <c:pt idx="114">
                  <c:v>59.910498330815244</c:v>
                </c:pt>
                <c:pt idx="115">
                  <c:v>59.7986734039103</c:v>
                </c:pt>
                <c:pt idx="116">
                  <c:v>59.642215838505066</c:v>
                </c:pt>
                <c:pt idx="117">
                  <c:v>59.441222894251112</c:v>
                </c:pt>
                <c:pt idx="118">
                  <c:v>59.195819515593755</c:v>
                </c:pt>
                <c:pt idx="119">
                  <c:v>58.906158254102053</c:v>
                </c:pt>
                <c:pt idx="120">
                  <c:v>58.572419173637371</c:v>
                </c:pt>
                <c:pt idx="121">
                  <c:v>58.19480973841911</c:v>
                </c:pt>
                <c:pt idx="122">
                  <c:v>57.77356468405749</c:v>
                </c:pt>
                <c:pt idx="123">
                  <c:v>57.308945871633512</c:v>
                </c:pt>
                <c:pt idx="124">
                  <c:v>56.801242124916655</c:v>
                </c:pt>
                <c:pt idx="125">
                  <c:v>56.250769050821617</c:v>
                </c:pt>
                <c:pt idx="126">
                  <c:v>55.657868843215709</c:v>
                </c:pt>
                <c:pt idx="127">
                  <c:v>55.022910070198847</c:v>
                </c:pt>
                <c:pt idx="128">
                  <c:v>54.346287444988349</c:v>
                </c:pt>
                <c:pt idx="129">
                  <c:v>53.628421580551006</c:v>
                </c:pt>
                <c:pt idx="130">
                  <c:v>52.869758728134926</c:v>
                </c:pt>
                <c:pt idx="131">
                  <c:v>52.070770499863713</c:v>
                </c:pt>
                <c:pt idx="132">
                  <c:v>51.231953575565385</c:v>
                </c:pt>
                <c:pt idx="133">
                  <c:v>50.353829394018334</c:v>
                </c:pt>
                <c:pt idx="134">
                  <c:v>49.436943828806236</c:v>
                </c:pt>
                <c:pt idx="135">
                  <c:v>48.481866848983351</c:v>
                </c:pt>
                <c:pt idx="136">
                  <c:v>47.489192164761299</c:v>
                </c:pt>
                <c:pt idx="137">
                  <c:v>46.45953685843741</c:v>
                </c:pt>
                <c:pt idx="138">
                  <c:v>45.39354100079418</c:v>
                </c:pt>
                <c:pt idx="139">
                  <c:v>44.29186725320821</c:v>
                </c:pt>
                <c:pt idx="140">
                  <c:v>43.155200455716098</c:v>
                </c:pt>
                <c:pt idx="141">
                  <c:v>41.984247201293201</c:v>
                </c:pt>
                <c:pt idx="142">
                  <c:v>40.779735396610057</c:v>
                </c:pt>
                <c:pt idx="143">
                  <c:v>39.542413809539362</c:v>
                </c:pt>
                <c:pt idx="144">
                  <c:v>38.27305160369496</c:v>
                </c:pt>
                <c:pt idx="145">
                  <c:v>36.97243786029204</c:v>
                </c:pt>
                <c:pt idx="146">
                  <c:v>35.641381087625909</c:v>
                </c:pt>
                <c:pt idx="147">
                  <c:v>34.280708718474088</c:v>
                </c:pt>
                <c:pt idx="148">
                  <c:v>32.891266595734379</c:v>
                </c:pt>
                <c:pt idx="149">
                  <c:v>31.473918446618441</c:v>
                </c:pt>
                <c:pt idx="150">
                  <c:v>30.029545345727961</c:v>
                </c:pt>
                <c:pt idx="151">
                  <c:v>28.559045167346859</c:v>
                </c:pt>
                <c:pt idx="152">
                  <c:v>27.063332027290457</c:v>
                </c:pt>
                <c:pt idx="153">
                  <c:v>25.54333571465812</c:v>
                </c:pt>
                <c:pt idx="154">
                  <c:v>24.00000111384292</c:v>
                </c:pt>
                <c:pt idx="155">
                  <c:v>22.434287617157558</c:v>
                </c:pt>
                <c:pt idx="156">
                  <c:v>20.847168528441451</c:v>
                </c:pt>
                <c:pt idx="157">
                  <c:v>19.239630458020226</c:v>
                </c:pt>
                <c:pt idx="158">
                  <c:v>17.612672709393095</c:v>
                </c:pt>
                <c:pt idx="159">
                  <c:v>15.967306658029923</c:v>
                </c:pt>
                <c:pt idx="160">
                  <c:v>14.304555122663807</c:v>
                </c:pt>
                <c:pt idx="161">
                  <c:v>12.625451729470267</c:v>
                </c:pt>
                <c:pt idx="162">
                  <c:v>10.931040269527855</c:v>
                </c:pt>
                <c:pt idx="163">
                  <c:v>9.2223740499601874</c:v>
                </c:pt>
                <c:pt idx="164">
                  <c:v>7.50051523916229</c:v>
                </c:pt>
                <c:pt idx="165">
                  <c:v>5.7665342065185783</c:v>
                </c:pt>
                <c:pt idx="166">
                  <c:v>4.0215088570226385</c:v>
                </c:pt>
                <c:pt idx="167">
                  <c:v>2.2665239612127621</c:v>
                </c:pt>
                <c:pt idx="168">
                  <c:v>0.50267048083958699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2.8515696384297637</c:v>
                </c:pt>
                <c:pt idx="177">
                  <c:v>1.9753111994832171</c:v>
                </c:pt>
                <c:pt idx="178">
                  <c:v>0.92563316887902047</c:v>
                </c:pt>
                <c:pt idx="179">
                  <c:v>-0.21601377837397351</c:v>
                </c:pt>
                <c:pt idx="180">
                  <c:v>-1.4157664759720063</c:v>
                </c:pt>
                <c:pt idx="181">
                  <c:v>-2.6556123420946562</c:v>
                </c:pt>
                <c:pt idx="182">
                  <c:v>-3.9245681685754725</c:v>
                </c:pt>
                <c:pt idx="183">
                  <c:v>-5.2153144569239593</c:v>
                </c:pt>
                <c:pt idx="184">
                  <c:v>-6.5226550874579061</c:v>
                </c:pt>
                <c:pt idx="185">
                  <c:v>-7.8427215966531474</c:v>
                </c:pt>
                <c:pt idx="186">
                  <c:v>-9.1725245020797033</c:v>
                </c:pt>
                <c:pt idx="187">
                  <c:v>-10.509682805443534</c:v>
                </c:pt>
                <c:pt idx="188">
                  <c:v>-11.852251962601201</c:v>
                </c:pt>
                <c:pt idx="189">
                  <c:v>-13.198609507350314</c:v>
                </c:pt>
                <c:pt idx="190">
                  <c:v>-14.547376030315508</c:v>
                </c:pt>
                <c:pt idx="191">
                  <c:v>-15.897358663204308</c:v>
                </c:pt>
                <c:pt idx="192">
                  <c:v>-17.247509325359044</c:v>
                </c:pt>
                <c:pt idx="193">
                  <c:v>-18.596892885306229</c:v>
                </c:pt>
                <c:pt idx="194">
                  <c:v>-19.944662101015112</c:v>
                </c:pt>
                <c:pt idx="195">
                  <c:v>-21.290037250525245</c:v>
                </c:pt>
                <c:pt idx="196">
                  <c:v>-22.632289027455251</c:v>
                </c:pt>
                <c:pt idx="197">
                  <c:v>-23.97072370792359</c:v>
                </c:pt>
                <c:pt idx="198">
                  <c:v>-25.30466988534544</c:v>
                </c:pt>
                <c:pt idx="199">
                  <c:v>-26.633466270137497</c:v>
                </c:pt>
                <c:pt idx="200">
                  <c:v>-27.956450194805811</c:v>
                </c:pt>
                <c:pt idx="201">
                  <c:v>-29.272946571435931</c:v>
                </c:pt>
                <c:pt idx="202">
                  <c:v>-30.582257131227855</c:v>
                </c:pt>
                <c:pt idx="203">
                  <c:v>-31.883649842884822</c:v>
                </c:pt>
                <c:pt idx="204">
                  <c:v>-33.176348463939625</c:v>
                </c:pt>
                <c:pt idx="205">
                  <c:v>-34.459522230103559</c:v>
                </c:pt>
                <c:pt idx="206">
                  <c:v>-35.732275734705851</c:v>
                </c:pt>
                <c:pt idx="207">
                  <c:v>-36.99363909448315</c:v>
                </c:pt>
                <c:pt idx="208">
                  <c:v>-38.242558539797471</c:v>
                </c:pt>
                <c:pt idx="209">
                  <c:v>-39.477887606536221</c:v>
                </c:pt>
                <c:pt idx="210">
                  <c:v>-40.698379142616446</c:v>
                </c:pt>
                <c:pt idx="211">
                  <c:v>-41.902678372794895</c:v>
                </c:pt>
                <c:pt idx="212">
                  <c:v>-43.089317289558807</c:v>
                </c:pt>
                <c:pt idx="213">
                  <c:v>-44.25671065311036</c:v>
                </c:pt>
                <c:pt idx="214">
                  <c:v>-45.403153887555582</c:v>
                </c:pt>
                <c:pt idx="215">
                  <c:v>-46.526823151096757</c:v>
                </c:pt>
                <c:pt idx="216">
                  <c:v>-47.625777833297384</c:v>
                </c:pt>
                <c:pt idx="217">
                  <c:v>-48.697965690882285</c:v>
                </c:pt>
                <c:pt idx="218">
                  <c:v>-49.741230774414589</c:v>
                </c:pt>
                <c:pt idx="219">
                  <c:v>-50.753324222038465</c:v>
                </c:pt>
                <c:pt idx="220">
                  <c:v>-51.731917905092047</c:v>
                </c:pt>
                <c:pt idx="221">
                  <c:v>-52.674620807053785</c:v>
                </c:pt>
                <c:pt idx="222">
                  <c:v>-53.578997906712083</c:v>
                </c:pt>
                <c:pt idx="223">
                  <c:v>-54.442591224662408</c:v>
                </c:pt>
                <c:pt idx="224">
                  <c:v>-55.262942586197084</c:v>
                </c:pt>
                <c:pt idx="225">
                  <c:v>-56.037617560739605</c:v>
                </c:pt>
                <c:pt idx="226">
                  <c:v>-56.764229965340405</c:v>
                </c:pt>
                <c:pt idx="227">
                  <c:v>-57.440466273599569</c:v>
                </c:pt>
                <c:pt idx="228">
                  <c:v>-58.064109256288212</c:v>
                </c:pt>
                <c:pt idx="229">
                  <c:v>-58.633060198267984</c:v>
                </c:pt>
                <c:pt idx="230">
                  <c:v>-59.145359087855262</c:v>
                </c:pt>
                <c:pt idx="231">
                  <c:v>-59.599202256688159</c:v>
                </c:pt>
                <c:pt idx="232">
                  <c:v>-59.992957055132891</c:v>
                </c:pt>
                <c:pt idx="233">
                  <c:v>-60.325173273076174</c:v>
                </c:pt>
                <c:pt idx="234">
                  <c:v>-60.594591150128096</c:v>
                </c:pt>
                <c:pt idx="235">
                  <c:v>-60.800145953957085</c:v>
                </c:pt>
                <c:pt idx="236">
                  <c:v>-60.940969232303956</c:v>
                </c:pt>
                <c:pt idx="237">
                  <c:v>-61.016386955989681</c:v>
                </c:pt>
                <c:pt idx="238">
                  <c:v>-61.025914861512376</c:v>
                </c:pt>
                <c:pt idx="239">
                  <c:v>-60.969251369261414</c:v>
                </c:pt>
              </c:numCache>
            </c:numRef>
          </c:xVal>
          <c:yVal>
            <c:numRef>
              <c:f>CALC60!$CX$6:$CX$581</c:f>
              <c:numCache>
                <c:formatCode>General</c:formatCode>
                <c:ptCount val="576"/>
              </c:numCache>
            </c:numRef>
          </c:yVal>
          <c:smooth val="0"/>
        </c:ser>
        <c:ser>
          <c:idx val="51"/>
          <c:order val="51"/>
          <c:tx>
            <c:strRef>
              <c:f>CALC60!$CY$5</c:f>
              <c:strCache>
                <c:ptCount val="1"/>
                <c:pt idx="0">
                  <c:v>R50</c:v>
                </c:pt>
              </c:strCache>
            </c:strRef>
          </c:tx>
          <c:spPr>
            <a:ln w="28575">
              <a:noFill/>
            </a:ln>
          </c:spPr>
          <c:xVal>
            <c:numRef>
              <c:f>CALC60!$AY$6:$AY$581</c:f>
              <c:numCache>
                <c:formatCode>General</c:formatCode>
                <c:ptCount val="576"/>
                <c:pt idx="0">
                  <c:v>-19.833506546880365</c:v>
                </c:pt>
                <c:pt idx="1">
                  <c:v>-18.245852614565919</c:v>
                </c:pt>
                <c:pt idx="2">
                  <c:v>-16.629666681765414</c:v>
                </c:pt>
                <c:pt idx="3">
                  <c:v>-14.98231154257417</c:v>
                </c:pt>
                <c:pt idx="4">
                  <c:v>-13.301143585556035</c:v>
                </c:pt>
                <c:pt idx="5">
                  <c:v>-11.583569246398675</c:v>
                </c:pt>
                <c:pt idx="6">
                  <c:v>-9.8270793278644781</c:v>
                </c:pt>
                <c:pt idx="7">
                  <c:v>-8.029252658232803</c:v>
                </c:pt>
                <c:pt idx="8">
                  <c:v>-6.1877185053343773</c:v>
                </c:pt>
                <c:pt idx="9">
                  <c:v>-4.3000630515963358</c:v>
                </c:pt>
                <c:pt idx="10">
                  <c:v>-2.3636564525099644</c:v>
                </c:pt>
                <c:pt idx="11">
                  <c:v>-0.37535794962416702</c:v>
                </c:pt>
                <c:pt idx="12">
                  <c:v>-3.0678010204149508</c:v>
                </c:pt>
                <c:pt idx="13">
                  <c:v>5.8156608222448263</c:v>
                </c:pt>
                <c:pt idx="14">
                  <c:v>-8.9906603193697858</c:v>
                </c:pt>
                <c:pt idx="15">
                  <c:v>-19.434156555154736</c:v>
                </c:pt>
                <c:pt idx="16">
                  <c:v>-12</c:v>
                </c:pt>
                <c:pt idx="17">
                  <c:v>-29.167117021908272</c:v>
                </c:pt>
                <c:pt idx="18">
                  <c:v>-14</c:v>
                </c:pt>
                <c:pt idx="19">
                  <c:v>-19.833506546880365</c:v>
                </c:pt>
                <c:pt idx="20">
                  <c:v>1.5130248501190131</c:v>
                </c:pt>
                <c:pt idx="21">
                  <c:v>12</c:v>
                </c:pt>
                <c:pt idx="22">
                  <c:v>-12</c:v>
                </c:pt>
                <c:pt idx="23">
                  <c:v>-28.772550131225248</c:v>
                </c:pt>
                <c:pt idx="24">
                  <c:v>-11.666666666666666</c:v>
                </c:pt>
                <c:pt idx="25">
                  <c:v>-18.245852614565919</c:v>
                </c:pt>
                <c:pt idx="26">
                  <c:v>4.3925078710812571</c:v>
                </c:pt>
                <c:pt idx="27">
                  <c:v>12</c:v>
                </c:pt>
                <c:pt idx="28">
                  <c:v>-12</c:v>
                </c:pt>
                <c:pt idx="29">
                  <c:v>-28.303800039278563</c:v>
                </c:pt>
                <c:pt idx="30">
                  <c:v>-9.3333333333333321</c:v>
                </c:pt>
                <c:pt idx="31">
                  <c:v>-16.629666681765414</c:v>
                </c:pt>
                <c:pt idx="32">
                  <c:v>6.4527131206909987</c:v>
                </c:pt>
                <c:pt idx="33">
                  <c:v>12</c:v>
                </c:pt>
                <c:pt idx="34">
                  <c:v>-12</c:v>
                </c:pt>
                <c:pt idx="35">
                  <c:v>-27.754010010716058</c:v>
                </c:pt>
                <c:pt idx="36">
                  <c:v>-6.9999999999999982</c:v>
                </c:pt>
                <c:pt idx="37">
                  <c:v>-14.98231154257417</c:v>
                </c:pt>
                <c:pt idx="38">
                  <c:v>8.2375052570320868</c:v>
                </c:pt>
                <c:pt idx="39">
                  <c:v>12</c:v>
                </c:pt>
                <c:pt idx="40">
                  <c:v>-12</c:v>
                </c:pt>
                <c:pt idx="41">
                  <c:v>-27.116306655803694</c:v>
                </c:pt>
                <c:pt idx="42">
                  <c:v>-4.6666666666666643</c:v>
                </c:pt>
                <c:pt idx="43">
                  <c:v>-13.301143585556035</c:v>
                </c:pt>
                <c:pt idx="44">
                  <c:v>9.8664661885771885</c:v>
                </c:pt>
                <c:pt idx="45">
                  <c:v>12</c:v>
                </c:pt>
                <c:pt idx="46">
                  <c:v>-12</c:v>
                </c:pt>
                <c:pt idx="47">
                  <c:v>-26.383946707329393</c:v>
                </c:pt>
                <c:pt idx="48">
                  <c:v>-2.3333333333333308</c:v>
                </c:pt>
                <c:pt idx="49">
                  <c:v>-11.583569246398675</c:v>
                </c:pt>
                <c:pt idx="50">
                  <c:v>11.388844623449907</c:v>
                </c:pt>
                <c:pt idx="51">
                  <c:v>12</c:v>
                </c:pt>
                <c:pt idx="52">
                  <c:v>-12</c:v>
                </c:pt>
                <c:pt idx="53">
                  <c:v>-25.550406252475348</c:v>
                </c:pt>
                <c:pt idx="54">
                  <c:v>0</c:v>
                </c:pt>
                <c:pt idx="55">
                  <c:v>-9.8270793278644781</c:v>
                </c:pt>
                <c:pt idx="56">
                  <c:v>12.829698097369761</c:v>
                </c:pt>
                <c:pt idx="57">
                  <c:v>12</c:v>
                </c:pt>
                <c:pt idx="58">
                  <c:v>-12</c:v>
                </c:pt>
                <c:pt idx="59">
                  <c:v>-24.609390244767855</c:v>
                </c:pt>
                <c:pt idx="60">
                  <c:v>2.3333333333333335</c:v>
                </c:pt>
                <c:pt idx="61">
                  <c:v>-8.029252658232803</c:v>
                </c:pt>
                <c:pt idx="62">
                  <c:v>14.203132463376605</c:v>
                </c:pt>
                <c:pt idx="63">
                  <c:v>12</c:v>
                </c:pt>
                <c:pt idx="64">
                  <c:v>-12</c:v>
                </c:pt>
                <c:pt idx="65">
                  <c:v>-23.554734780566797</c:v>
                </c:pt>
                <c:pt idx="66">
                  <c:v>4.666666666666667</c:v>
                </c:pt>
                <c:pt idx="67">
                  <c:v>-6.1877185053343773</c:v>
                </c:pt>
                <c:pt idx="68">
                  <c:v>15.517506829265256</c:v>
                </c:pt>
                <c:pt idx="69">
                  <c:v>12</c:v>
                </c:pt>
                <c:pt idx="70">
                  <c:v>-12</c:v>
                </c:pt>
                <c:pt idx="71">
                  <c:v>-22.380163934182676</c:v>
                </c:pt>
                <c:pt idx="72">
                  <c:v>7</c:v>
                </c:pt>
                <c:pt idx="73">
                  <c:v>-4.3000630515963358</c:v>
                </c:pt>
                <c:pt idx="74">
                  <c:v>16.777941702150098</c:v>
                </c:pt>
                <c:pt idx="75">
                  <c:v>12</c:v>
                </c:pt>
                <c:pt idx="76">
                  <c:v>-12</c:v>
                </c:pt>
                <c:pt idx="77">
                  <c:v>-21.078840109892809</c:v>
                </c:pt>
                <c:pt idx="78">
                  <c:v>9.3333333333333339</c:v>
                </c:pt>
                <c:pt idx="79">
                  <c:v>-2.3636564525099644</c:v>
                </c:pt>
                <c:pt idx="80">
                  <c:v>17.987756355580007</c:v>
                </c:pt>
                <c:pt idx="81">
                  <c:v>12</c:v>
                </c:pt>
                <c:pt idx="82">
                  <c:v>-12</c:v>
                </c:pt>
                <c:pt idx="83">
                  <c:v>-19.642597335724307</c:v>
                </c:pt>
                <c:pt idx="84">
                  <c:v>11.666666666666668</c:v>
                </c:pt>
                <c:pt idx="85">
                  <c:v>-0.37535794962416702</c:v>
                </c:pt>
                <c:pt idx="86">
                  <c:v>19.149459663035739</c:v>
                </c:pt>
                <c:pt idx="87">
                  <c:v>12</c:v>
                </c:pt>
                <c:pt idx="88">
                  <c:v>-12</c:v>
                </c:pt>
                <c:pt idx="89">
                  <c:v>-30.376282653093735</c:v>
                </c:pt>
                <c:pt idx="90">
                  <c:v>14.000000000000002</c:v>
                </c:pt>
                <c:pt idx="91">
                  <c:v>-3.0678010204149508</c:v>
                </c:pt>
                <c:pt idx="92">
                  <c:v>26.896999319700733</c:v>
                </c:pt>
                <c:pt idx="93">
                  <c:v>12</c:v>
                </c:pt>
                <c:pt idx="94">
                  <c:v>-12</c:v>
                </c:pt>
                <c:pt idx="95">
                  <c:v>-24.879281862192261</c:v>
                </c:pt>
                <c:pt idx="96">
                  <c:v>25</c:v>
                </c:pt>
                <c:pt idx="97">
                  <c:v>5.8156608222448263</c:v>
                </c:pt>
                <c:pt idx="98">
                  <c:v>31.34962606454722</c:v>
                </c:pt>
                <c:pt idx="99">
                  <c:v>12</c:v>
                </c:pt>
                <c:pt idx="100">
                  <c:v>-12</c:v>
                </c:pt>
                <c:pt idx="101">
                  <c:v>-23.375716830330454</c:v>
                </c:pt>
                <c:pt idx="102">
                  <c:v>0</c:v>
                </c:pt>
                <c:pt idx="103">
                  <c:v>-8.9906603193697858</c:v>
                </c:pt>
                <c:pt idx="104">
                  <c:v>22.648032351271631</c:v>
                </c:pt>
                <c:pt idx="105">
                  <c:v>12</c:v>
                </c:pt>
                <c:pt idx="106">
                  <c:v>-12</c:v>
                </c:pt>
                <c:pt idx="107">
                  <c:v>-10.52880704336475</c:v>
                </c:pt>
                <c:pt idx="108">
                  <c:v>-25</c:v>
                </c:pt>
                <c:pt idx="109">
                  <c:v>-19.434156555154736</c:v>
                </c:pt>
                <c:pt idx="110">
                  <c:v>20.32293673094285</c:v>
                </c:pt>
                <c:pt idx="111">
                  <c:v>12</c:v>
                </c:pt>
                <c:pt idx="112">
                  <c:v>60</c:v>
                </c:pt>
                <c:pt idx="113">
                  <c:v>59.977621104822219</c:v>
                </c:pt>
                <c:pt idx="114">
                  <c:v>59.910498330815244</c:v>
                </c:pt>
                <c:pt idx="115">
                  <c:v>59.7986734039103</c:v>
                </c:pt>
                <c:pt idx="116">
                  <c:v>59.642215838505066</c:v>
                </c:pt>
                <c:pt idx="117">
                  <c:v>59.441222894251112</c:v>
                </c:pt>
                <c:pt idx="118">
                  <c:v>59.195819515593755</c:v>
                </c:pt>
                <c:pt idx="119">
                  <c:v>58.906158254102053</c:v>
                </c:pt>
                <c:pt idx="120">
                  <c:v>58.572419173637371</c:v>
                </c:pt>
                <c:pt idx="121">
                  <c:v>58.19480973841911</c:v>
                </c:pt>
                <c:pt idx="122">
                  <c:v>57.77356468405749</c:v>
                </c:pt>
                <c:pt idx="123">
                  <c:v>57.308945871633512</c:v>
                </c:pt>
                <c:pt idx="124">
                  <c:v>56.801242124916655</c:v>
                </c:pt>
                <c:pt idx="125">
                  <c:v>56.250769050821617</c:v>
                </c:pt>
                <c:pt idx="126">
                  <c:v>55.657868843215709</c:v>
                </c:pt>
                <c:pt idx="127">
                  <c:v>55.022910070198847</c:v>
                </c:pt>
                <c:pt idx="128">
                  <c:v>54.346287444988349</c:v>
                </c:pt>
                <c:pt idx="129">
                  <c:v>53.628421580551006</c:v>
                </c:pt>
                <c:pt idx="130">
                  <c:v>52.869758728134926</c:v>
                </c:pt>
                <c:pt idx="131">
                  <c:v>52.070770499863713</c:v>
                </c:pt>
                <c:pt idx="132">
                  <c:v>51.231953575565385</c:v>
                </c:pt>
                <c:pt idx="133">
                  <c:v>50.353829394018334</c:v>
                </c:pt>
                <c:pt idx="134">
                  <c:v>49.436943828806236</c:v>
                </c:pt>
                <c:pt idx="135">
                  <c:v>48.481866848983351</c:v>
                </c:pt>
                <c:pt idx="136">
                  <c:v>47.489192164761299</c:v>
                </c:pt>
                <c:pt idx="137">
                  <c:v>46.45953685843741</c:v>
                </c:pt>
                <c:pt idx="138">
                  <c:v>45.39354100079418</c:v>
                </c:pt>
                <c:pt idx="139">
                  <c:v>44.29186725320821</c:v>
                </c:pt>
                <c:pt idx="140">
                  <c:v>43.155200455716098</c:v>
                </c:pt>
                <c:pt idx="141">
                  <c:v>41.984247201293201</c:v>
                </c:pt>
                <c:pt idx="142">
                  <c:v>40.779735396610057</c:v>
                </c:pt>
                <c:pt idx="143">
                  <c:v>39.542413809539362</c:v>
                </c:pt>
                <c:pt idx="144">
                  <c:v>38.27305160369496</c:v>
                </c:pt>
                <c:pt idx="145">
                  <c:v>36.97243786029204</c:v>
                </c:pt>
                <c:pt idx="146">
                  <c:v>35.641381087625909</c:v>
                </c:pt>
                <c:pt idx="147">
                  <c:v>34.280708718474088</c:v>
                </c:pt>
                <c:pt idx="148">
                  <c:v>32.891266595734379</c:v>
                </c:pt>
                <c:pt idx="149">
                  <c:v>31.473918446618441</c:v>
                </c:pt>
                <c:pt idx="150">
                  <c:v>30.029545345727961</c:v>
                </c:pt>
                <c:pt idx="151">
                  <c:v>28.559045167346859</c:v>
                </c:pt>
                <c:pt idx="152">
                  <c:v>27.063332027290457</c:v>
                </c:pt>
                <c:pt idx="153">
                  <c:v>25.54333571465812</c:v>
                </c:pt>
                <c:pt idx="154">
                  <c:v>24.00000111384292</c:v>
                </c:pt>
                <c:pt idx="155">
                  <c:v>22.434287617157558</c:v>
                </c:pt>
                <c:pt idx="156">
                  <c:v>20.847168528441451</c:v>
                </c:pt>
                <c:pt idx="157">
                  <c:v>19.239630458020226</c:v>
                </c:pt>
                <c:pt idx="158">
                  <c:v>17.612672709393095</c:v>
                </c:pt>
                <c:pt idx="159">
                  <c:v>15.967306658029923</c:v>
                </c:pt>
                <c:pt idx="160">
                  <c:v>14.304555122663807</c:v>
                </c:pt>
                <c:pt idx="161">
                  <c:v>12.625451729470267</c:v>
                </c:pt>
                <c:pt idx="162">
                  <c:v>10.931040269527855</c:v>
                </c:pt>
                <c:pt idx="163">
                  <c:v>9.2223740499601874</c:v>
                </c:pt>
                <c:pt idx="164">
                  <c:v>7.50051523916229</c:v>
                </c:pt>
                <c:pt idx="165">
                  <c:v>5.7665342065185783</c:v>
                </c:pt>
                <c:pt idx="166">
                  <c:v>4.0215088570226385</c:v>
                </c:pt>
                <c:pt idx="167">
                  <c:v>2.2665239612127621</c:v>
                </c:pt>
                <c:pt idx="168">
                  <c:v>0.50267048083958699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2.8515696384297637</c:v>
                </c:pt>
                <c:pt idx="177">
                  <c:v>1.9753111994832171</c:v>
                </c:pt>
                <c:pt idx="178">
                  <c:v>0.92563316887902047</c:v>
                </c:pt>
                <c:pt idx="179">
                  <c:v>-0.21601377837397351</c:v>
                </c:pt>
                <c:pt idx="180">
                  <c:v>-1.4157664759720063</c:v>
                </c:pt>
                <c:pt idx="181">
                  <c:v>-2.6556123420946562</c:v>
                </c:pt>
                <c:pt idx="182">
                  <c:v>-3.9245681685754725</c:v>
                </c:pt>
                <c:pt idx="183">
                  <c:v>-5.2153144569239593</c:v>
                </c:pt>
                <c:pt idx="184">
                  <c:v>-6.5226550874579061</c:v>
                </c:pt>
                <c:pt idx="185">
                  <c:v>-7.8427215966531474</c:v>
                </c:pt>
                <c:pt idx="186">
                  <c:v>-9.1725245020797033</c:v>
                </c:pt>
                <c:pt idx="187">
                  <c:v>-10.509682805443534</c:v>
                </c:pt>
                <c:pt idx="188">
                  <c:v>-11.852251962601201</c:v>
                </c:pt>
                <c:pt idx="189">
                  <c:v>-13.198609507350314</c:v>
                </c:pt>
                <c:pt idx="190">
                  <c:v>-14.547376030315508</c:v>
                </c:pt>
                <c:pt idx="191">
                  <c:v>-15.897358663204308</c:v>
                </c:pt>
                <c:pt idx="192">
                  <c:v>-17.247509325359044</c:v>
                </c:pt>
                <c:pt idx="193">
                  <c:v>-18.596892885306229</c:v>
                </c:pt>
                <c:pt idx="194">
                  <c:v>-19.944662101015112</c:v>
                </c:pt>
                <c:pt idx="195">
                  <c:v>-21.290037250525245</c:v>
                </c:pt>
                <c:pt idx="196">
                  <c:v>-22.632289027455251</c:v>
                </c:pt>
                <c:pt idx="197">
                  <c:v>-23.97072370792359</c:v>
                </c:pt>
                <c:pt idx="198">
                  <c:v>-25.30466988534544</c:v>
                </c:pt>
                <c:pt idx="199">
                  <c:v>-26.633466270137497</c:v>
                </c:pt>
                <c:pt idx="200">
                  <c:v>-27.956450194805811</c:v>
                </c:pt>
                <c:pt idx="201">
                  <c:v>-29.272946571435931</c:v>
                </c:pt>
                <c:pt idx="202">
                  <c:v>-30.582257131227855</c:v>
                </c:pt>
                <c:pt idx="203">
                  <c:v>-31.883649842884822</c:v>
                </c:pt>
                <c:pt idx="204">
                  <c:v>-33.176348463939625</c:v>
                </c:pt>
                <c:pt idx="205">
                  <c:v>-34.459522230103559</c:v>
                </c:pt>
                <c:pt idx="206">
                  <c:v>-35.732275734705851</c:v>
                </c:pt>
                <c:pt idx="207">
                  <c:v>-36.99363909448315</c:v>
                </c:pt>
                <c:pt idx="208">
                  <c:v>-38.242558539797471</c:v>
                </c:pt>
                <c:pt idx="209">
                  <c:v>-39.477887606536221</c:v>
                </c:pt>
                <c:pt idx="210">
                  <c:v>-40.698379142616446</c:v>
                </c:pt>
                <c:pt idx="211">
                  <c:v>-41.902678372794895</c:v>
                </c:pt>
                <c:pt idx="212">
                  <c:v>-43.089317289558807</c:v>
                </c:pt>
                <c:pt idx="213">
                  <c:v>-44.25671065311036</c:v>
                </c:pt>
                <c:pt idx="214">
                  <c:v>-45.403153887555582</c:v>
                </c:pt>
                <c:pt idx="215">
                  <c:v>-46.526823151096757</c:v>
                </c:pt>
                <c:pt idx="216">
                  <c:v>-47.625777833297384</c:v>
                </c:pt>
                <c:pt idx="217">
                  <c:v>-48.697965690882285</c:v>
                </c:pt>
                <c:pt idx="218">
                  <c:v>-49.741230774414589</c:v>
                </c:pt>
                <c:pt idx="219">
                  <c:v>-50.753324222038465</c:v>
                </c:pt>
                <c:pt idx="220">
                  <c:v>-51.731917905092047</c:v>
                </c:pt>
                <c:pt idx="221">
                  <c:v>-52.674620807053785</c:v>
                </c:pt>
                <c:pt idx="222">
                  <c:v>-53.578997906712083</c:v>
                </c:pt>
                <c:pt idx="223">
                  <c:v>-54.442591224662408</c:v>
                </c:pt>
                <c:pt idx="224">
                  <c:v>-55.262942586197084</c:v>
                </c:pt>
                <c:pt idx="225">
                  <c:v>-56.037617560739605</c:v>
                </c:pt>
                <c:pt idx="226">
                  <c:v>-56.764229965340405</c:v>
                </c:pt>
                <c:pt idx="227">
                  <c:v>-57.440466273599569</c:v>
                </c:pt>
                <c:pt idx="228">
                  <c:v>-58.064109256288212</c:v>
                </c:pt>
                <c:pt idx="229">
                  <c:v>-58.633060198267984</c:v>
                </c:pt>
                <c:pt idx="230">
                  <c:v>-59.145359087855262</c:v>
                </c:pt>
                <c:pt idx="231">
                  <c:v>-59.599202256688159</c:v>
                </c:pt>
                <c:pt idx="232">
                  <c:v>-59.992957055132891</c:v>
                </c:pt>
                <c:pt idx="233">
                  <c:v>-60.325173273076174</c:v>
                </c:pt>
                <c:pt idx="234">
                  <c:v>-60.594591150128096</c:v>
                </c:pt>
                <c:pt idx="235">
                  <c:v>-60.800145953957085</c:v>
                </c:pt>
                <c:pt idx="236">
                  <c:v>-60.940969232303956</c:v>
                </c:pt>
                <c:pt idx="237">
                  <c:v>-61.016386955989681</c:v>
                </c:pt>
                <c:pt idx="238">
                  <c:v>-61.025914861512376</c:v>
                </c:pt>
                <c:pt idx="239">
                  <c:v>-60.969251369261414</c:v>
                </c:pt>
              </c:numCache>
            </c:numRef>
          </c:xVal>
          <c:yVal>
            <c:numRef>
              <c:f>CALC60!$CY$6:$CY$581</c:f>
              <c:numCache>
                <c:formatCode>General</c:formatCode>
                <c:ptCount val="576"/>
              </c:numCache>
            </c:numRef>
          </c:yVal>
          <c:smooth val="0"/>
        </c:ser>
        <c:ser>
          <c:idx val="52"/>
          <c:order val="52"/>
          <c:tx>
            <c:strRef>
              <c:f>CALC60!$CZ$5</c:f>
              <c:strCache>
                <c:ptCount val="1"/>
                <c:pt idx="0">
                  <c:v>R51</c:v>
                </c:pt>
              </c:strCache>
            </c:strRef>
          </c:tx>
          <c:spPr>
            <a:ln w="28575">
              <a:noFill/>
            </a:ln>
          </c:spPr>
          <c:xVal>
            <c:numRef>
              <c:f>CALC60!$AY$6:$AY$581</c:f>
              <c:numCache>
                <c:formatCode>General</c:formatCode>
                <c:ptCount val="576"/>
                <c:pt idx="0">
                  <c:v>-19.833506546880365</c:v>
                </c:pt>
                <c:pt idx="1">
                  <c:v>-18.245852614565919</c:v>
                </c:pt>
                <c:pt idx="2">
                  <c:v>-16.629666681765414</c:v>
                </c:pt>
                <c:pt idx="3">
                  <c:v>-14.98231154257417</c:v>
                </c:pt>
                <c:pt idx="4">
                  <c:v>-13.301143585556035</c:v>
                </c:pt>
                <c:pt idx="5">
                  <c:v>-11.583569246398675</c:v>
                </c:pt>
                <c:pt idx="6">
                  <c:v>-9.8270793278644781</c:v>
                </c:pt>
                <c:pt idx="7">
                  <c:v>-8.029252658232803</c:v>
                </c:pt>
                <c:pt idx="8">
                  <c:v>-6.1877185053343773</c:v>
                </c:pt>
                <c:pt idx="9">
                  <c:v>-4.3000630515963358</c:v>
                </c:pt>
                <c:pt idx="10">
                  <c:v>-2.3636564525099644</c:v>
                </c:pt>
                <c:pt idx="11">
                  <c:v>-0.37535794962416702</c:v>
                </c:pt>
                <c:pt idx="12">
                  <c:v>-3.0678010204149508</c:v>
                </c:pt>
                <c:pt idx="13">
                  <c:v>5.8156608222448263</c:v>
                </c:pt>
                <c:pt idx="14">
                  <c:v>-8.9906603193697858</c:v>
                </c:pt>
                <c:pt idx="15">
                  <c:v>-19.434156555154736</c:v>
                </c:pt>
                <c:pt idx="16">
                  <c:v>-12</c:v>
                </c:pt>
                <c:pt idx="17">
                  <c:v>-29.167117021908272</c:v>
                </c:pt>
                <c:pt idx="18">
                  <c:v>-14</c:v>
                </c:pt>
                <c:pt idx="19">
                  <c:v>-19.833506546880365</c:v>
                </c:pt>
                <c:pt idx="20">
                  <c:v>1.5130248501190131</c:v>
                </c:pt>
                <c:pt idx="21">
                  <c:v>12</c:v>
                </c:pt>
                <c:pt idx="22">
                  <c:v>-12</c:v>
                </c:pt>
                <c:pt idx="23">
                  <c:v>-28.772550131225248</c:v>
                </c:pt>
                <c:pt idx="24">
                  <c:v>-11.666666666666666</c:v>
                </c:pt>
                <c:pt idx="25">
                  <c:v>-18.245852614565919</c:v>
                </c:pt>
                <c:pt idx="26">
                  <c:v>4.3925078710812571</c:v>
                </c:pt>
                <c:pt idx="27">
                  <c:v>12</c:v>
                </c:pt>
                <c:pt idx="28">
                  <c:v>-12</c:v>
                </c:pt>
                <c:pt idx="29">
                  <c:v>-28.303800039278563</c:v>
                </c:pt>
                <c:pt idx="30">
                  <c:v>-9.3333333333333321</c:v>
                </c:pt>
                <c:pt idx="31">
                  <c:v>-16.629666681765414</c:v>
                </c:pt>
                <c:pt idx="32">
                  <c:v>6.4527131206909987</c:v>
                </c:pt>
                <c:pt idx="33">
                  <c:v>12</c:v>
                </c:pt>
                <c:pt idx="34">
                  <c:v>-12</c:v>
                </c:pt>
                <c:pt idx="35">
                  <c:v>-27.754010010716058</c:v>
                </c:pt>
                <c:pt idx="36">
                  <c:v>-6.9999999999999982</c:v>
                </c:pt>
                <c:pt idx="37">
                  <c:v>-14.98231154257417</c:v>
                </c:pt>
                <c:pt idx="38">
                  <c:v>8.2375052570320868</c:v>
                </c:pt>
                <c:pt idx="39">
                  <c:v>12</c:v>
                </c:pt>
                <c:pt idx="40">
                  <c:v>-12</c:v>
                </c:pt>
                <c:pt idx="41">
                  <c:v>-27.116306655803694</c:v>
                </c:pt>
                <c:pt idx="42">
                  <c:v>-4.6666666666666643</c:v>
                </c:pt>
                <c:pt idx="43">
                  <c:v>-13.301143585556035</c:v>
                </c:pt>
                <c:pt idx="44">
                  <c:v>9.8664661885771885</c:v>
                </c:pt>
                <c:pt idx="45">
                  <c:v>12</c:v>
                </c:pt>
                <c:pt idx="46">
                  <c:v>-12</c:v>
                </c:pt>
                <c:pt idx="47">
                  <c:v>-26.383946707329393</c:v>
                </c:pt>
                <c:pt idx="48">
                  <c:v>-2.3333333333333308</c:v>
                </c:pt>
                <c:pt idx="49">
                  <c:v>-11.583569246398675</c:v>
                </c:pt>
                <c:pt idx="50">
                  <c:v>11.388844623449907</c:v>
                </c:pt>
                <c:pt idx="51">
                  <c:v>12</c:v>
                </c:pt>
                <c:pt idx="52">
                  <c:v>-12</c:v>
                </c:pt>
                <c:pt idx="53">
                  <c:v>-25.550406252475348</c:v>
                </c:pt>
                <c:pt idx="54">
                  <c:v>0</c:v>
                </c:pt>
                <c:pt idx="55">
                  <c:v>-9.8270793278644781</c:v>
                </c:pt>
                <c:pt idx="56">
                  <c:v>12.829698097369761</c:v>
                </c:pt>
                <c:pt idx="57">
                  <c:v>12</c:v>
                </c:pt>
                <c:pt idx="58">
                  <c:v>-12</c:v>
                </c:pt>
                <c:pt idx="59">
                  <c:v>-24.609390244767855</c:v>
                </c:pt>
                <c:pt idx="60">
                  <c:v>2.3333333333333335</c:v>
                </c:pt>
                <c:pt idx="61">
                  <c:v>-8.029252658232803</c:v>
                </c:pt>
                <c:pt idx="62">
                  <c:v>14.203132463376605</c:v>
                </c:pt>
                <c:pt idx="63">
                  <c:v>12</c:v>
                </c:pt>
                <c:pt idx="64">
                  <c:v>-12</c:v>
                </c:pt>
                <c:pt idx="65">
                  <c:v>-23.554734780566797</c:v>
                </c:pt>
                <c:pt idx="66">
                  <c:v>4.666666666666667</c:v>
                </c:pt>
                <c:pt idx="67">
                  <c:v>-6.1877185053343773</c:v>
                </c:pt>
                <c:pt idx="68">
                  <c:v>15.517506829265256</c:v>
                </c:pt>
                <c:pt idx="69">
                  <c:v>12</c:v>
                </c:pt>
                <c:pt idx="70">
                  <c:v>-12</c:v>
                </c:pt>
                <c:pt idx="71">
                  <c:v>-22.380163934182676</c:v>
                </c:pt>
                <c:pt idx="72">
                  <c:v>7</c:v>
                </c:pt>
                <c:pt idx="73">
                  <c:v>-4.3000630515963358</c:v>
                </c:pt>
                <c:pt idx="74">
                  <c:v>16.777941702150098</c:v>
                </c:pt>
                <c:pt idx="75">
                  <c:v>12</c:v>
                </c:pt>
                <c:pt idx="76">
                  <c:v>-12</c:v>
                </c:pt>
                <c:pt idx="77">
                  <c:v>-21.078840109892809</c:v>
                </c:pt>
                <c:pt idx="78">
                  <c:v>9.3333333333333339</c:v>
                </c:pt>
                <c:pt idx="79">
                  <c:v>-2.3636564525099644</c:v>
                </c:pt>
                <c:pt idx="80">
                  <c:v>17.987756355580007</c:v>
                </c:pt>
                <c:pt idx="81">
                  <c:v>12</c:v>
                </c:pt>
                <c:pt idx="82">
                  <c:v>-12</c:v>
                </c:pt>
                <c:pt idx="83">
                  <c:v>-19.642597335724307</c:v>
                </c:pt>
                <c:pt idx="84">
                  <c:v>11.666666666666668</c:v>
                </c:pt>
                <c:pt idx="85">
                  <c:v>-0.37535794962416702</c:v>
                </c:pt>
                <c:pt idx="86">
                  <c:v>19.149459663035739</c:v>
                </c:pt>
                <c:pt idx="87">
                  <c:v>12</c:v>
                </c:pt>
                <c:pt idx="88">
                  <c:v>-12</c:v>
                </c:pt>
                <c:pt idx="89">
                  <c:v>-30.376282653093735</c:v>
                </c:pt>
                <c:pt idx="90">
                  <c:v>14.000000000000002</c:v>
                </c:pt>
                <c:pt idx="91">
                  <c:v>-3.0678010204149508</c:v>
                </c:pt>
                <c:pt idx="92">
                  <c:v>26.896999319700733</c:v>
                </c:pt>
                <c:pt idx="93">
                  <c:v>12</c:v>
                </c:pt>
                <c:pt idx="94">
                  <c:v>-12</c:v>
                </c:pt>
                <c:pt idx="95">
                  <c:v>-24.879281862192261</c:v>
                </c:pt>
                <c:pt idx="96">
                  <c:v>25</c:v>
                </c:pt>
                <c:pt idx="97">
                  <c:v>5.8156608222448263</c:v>
                </c:pt>
                <c:pt idx="98">
                  <c:v>31.34962606454722</c:v>
                </c:pt>
                <c:pt idx="99">
                  <c:v>12</c:v>
                </c:pt>
                <c:pt idx="100">
                  <c:v>-12</c:v>
                </c:pt>
                <c:pt idx="101">
                  <c:v>-23.375716830330454</c:v>
                </c:pt>
                <c:pt idx="102">
                  <c:v>0</c:v>
                </c:pt>
                <c:pt idx="103">
                  <c:v>-8.9906603193697858</c:v>
                </c:pt>
                <c:pt idx="104">
                  <c:v>22.648032351271631</c:v>
                </c:pt>
                <c:pt idx="105">
                  <c:v>12</c:v>
                </c:pt>
                <c:pt idx="106">
                  <c:v>-12</c:v>
                </c:pt>
                <c:pt idx="107">
                  <c:v>-10.52880704336475</c:v>
                </c:pt>
                <c:pt idx="108">
                  <c:v>-25</c:v>
                </c:pt>
                <c:pt idx="109">
                  <c:v>-19.434156555154736</c:v>
                </c:pt>
                <c:pt idx="110">
                  <c:v>20.32293673094285</c:v>
                </c:pt>
                <c:pt idx="111">
                  <c:v>12</c:v>
                </c:pt>
                <c:pt idx="112">
                  <c:v>60</c:v>
                </c:pt>
                <c:pt idx="113">
                  <c:v>59.977621104822219</c:v>
                </c:pt>
                <c:pt idx="114">
                  <c:v>59.910498330815244</c:v>
                </c:pt>
                <c:pt idx="115">
                  <c:v>59.7986734039103</c:v>
                </c:pt>
                <c:pt idx="116">
                  <c:v>59.642215838505066</c:v>
                </c:pt>
                <c:pt idx="117">
                  <c:v>59.441222894251112</c:v>
                </c:pt>
                <c:pt idx="118">
                  <c:v>59.195819515593755</c:v>
                </c:pt>
                <c:pt idx="119">
                  <c:v>58.906158254102053</c:v>
                </c:pt>
                <c:pt idx="120">
                  <c:v>58.572419173637371</c:v>
                </c:pt>
                <c:pt idx="121">
                  <c:v>58.19480973841911</c:v>
                </c:pt>
                <c:pt idx="122">
                  <c:v>57.77356468405749</c:v>
                </c:pt>
                <c:pt idx="123">
                  <c:v>57.308945871633512</c:v>
                </c:pt>
                <c:pt idx="124">
                  <c:v>56.801242124916655</c:v>
                </c:pt>
                <c:pt idx="125">
                  <c:v>56.250769050821617</c:v>
                </c:pt>
                <c:pt idx="126">
                  <c:v>55.657868843215709</c:v>
                </c:pt>
                <c:pt idx="127">
                  <c:v>55.022910070198847</c:v>
                </c:pt>
                <c:pt idx="128">
                  <c:v>54.346287444988349</c:v>
                </c:pt>
                <c:pt idx="129">
                  <c:v>53.628421580551006</c:v>
                </c:pt>
                <c:pt idx="130">
                  <c:v>52.869758728134926</c:v>
                </c:pt>
                <c:pt idx="131">
                  <c:v>52.070770499863713</c:v>
                </c:pt>
                <c:pt idx="132">
                  <c:v>51.231953575565385</c:v>
                </c:pt>
                <c:pt idx="133">
                  <c:v>50.353829394018334</c:v>
                </c:pt>
                <c:pt idx="134">
                  <c:v>49.436943828806236</c:v>
                </c:pt>
                <c:pt idx="135">
                  <c:v>48.481866848983351</c:v>
                </c:pt>
                <c:pt idx="136">
                  <c:v>47.489192164761299</c:v>
                </c:pt>
                <c:pt idx="137">
                  <c:v>46.45953685843741</c:v>
                </c:pt>
                <c:pt idx="138">
                  <c:v>45.39354100079418</c:v>
                </c:pt>
                <c:pt idx="139">
                  <c:v>44.29186725320821</c:v>
                </c:pt>
                <c:pt idx="140">
                  <c:v>43.155200455716098</c:v>
                </c:pt>
                <c:pt idx="141">
                  <c:v>41.984247201293201</c:v>
                </c:pt>
                <c:pt idx="142">
                  <c:v>40.779735396610057</c:v>
                </c:pt>
                <c:pt idx="143">
                  <c:v>39.542413809539362</c:v>
                </c:pt>
                <c:pt idx="144">
                  <c:v>38.27305160369496</c:v>
                </c:pt>
                <c:pt idx="145">
                  <c:v>36.97243786029204</c:v>
                </c:pt>
                <c:pt idx="146">
                  <c:v>35.641381087625909</c:v>
                </c:pt>
                <c:pt idx="147">
                  <c:v>34.280708718474088</c:v>
                </c:pt>
                <c:pt idx="148">
                  <c:v>32.891266595734379</c:v>
                </c:pt>
                <c:pt idx="149">
                  <c:v>31.473918446618441</c:v>
                </c:pt>
                <c:pt idx="150">
                  <c:v>30.029545345727961</c:v>
                </c:pt>
                <c:pt idx="151">
                  <c:v>28.559045167346859</c:v>
                </c:pt>
                <c:pt idx="152">
                  <c:v>27.063332027290457</c:v>
                </c:pt>
                <c:pt idx="153">
                  <c:v>25.54333571465812</c:v>
                </c:pt>
                <c:pt idx="154">
                  <c:v>24.00000111384292</c:v>
                </c:pt>
                <c:pt idx="155">
                  <c:v>22.434287617157558</c:v>
                </c:pt>
                <c:pt idx="156">
                  <c:v>20.847168528441451</c:v>
                </c:pt>
                <c:pt idx="157">
                  <c:v>19.239630458020226</c:v>
                </c:pt>
                <c:pt idx="158">
                  <c:v>17.612672709393095</c:v>
                </c:pt>
                <c:pt idx="159">
                  <c:v>15.967306658029923</c:v>
                </c:pt>
                <c:pt idx="160">
                  <c:v>14.304555122663807</c:v>
                </c:pt>
                <c:pt idx="161">
                  <c:v>12.625451729470267</c:v>
                </c:pt>
                <c:pt idx="162">
                  <c:v>10.931040269527855</c:v>
                </c:pt>
                <c:pt idx="163">
                  <c:v>9.2223740499601874</c:v>
                </c:pt>
                <c:pt idx="164">
                  <c:v>7.50051523916229</c:v>
                </c:pt>
                <c:pt idx="165">
                  <c:v>5.7665342065185783</c:v>
                </c:pt>
                <c:pt idx="166">
                  <c:v>4.0215088570226385</c:v>
                </c:pt>
                <c:pt idx="167">
                  <c:v>2.2665239612127621</c:v>
                </c:pt>
                <c:pt idx="168">
                  <c:v>0.50267048083958699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2.8515696384297637</c:v>
                </c:pt>
                <c:pt idx="177">
                  <c:v>1.9753111994832171</c:v>
                </c:pt>
                <c:pt idx="178">
                  <c:v>0.92563316887902047</c:v>
                </c:pt>
                <c:pt idx="179">
                  <c:v>-0.21601377837397351</c:v>
                </c:pt>
                <c:pt idx="180">
                  <c:v>-1.4157664759720063</c:v>
                </c:pt>
                <c:pt idx="181">
                  <c:v>-2.6556123420946562</c:v>
                </c:pt>
                <c:pt idx="182">
                  <c:v>-3.9245681685754725</c:v>
                </c:pt>
                <c:pt idx="183">
                  <c:v>-5.2153144569239593</c:v>
                </c:pt>
                <c:pt idx="184">
                  <c:v>-6.5226550874579061</c:v>
                </c:pt>
                <c:pt idx="185">
                  <c:v>-7.8427215966531474</c:v>
                </c:pt>
                <c:pt idx="186">
                  <c:v>-9.1725245020797033</c:v>
                </c:pt>
                <c:pt idx="187">
                  <c:v>-10.509682805443534</c:v>
                </c:pt>
                <c:pt idx="188">
                  <c:v>-11.852251962601201</c:v>
                </c:pt>
                <c:pt idx="189">
                  <c:v>-13.198609507350314</c:v>
                </c:pt>
                <c:pt idx="190">
                  <c:v>-14.547376030315508</c:v>
                </c:pt>
                <c:pt idx="191">
                  <c:v>-15.897358663204308</c:v>
                </c:pt>
                <c:pt idx="192">
                  <c:v>-17.247509325359044</c:v>
                </c:pt>
                <c:pt idx="193">
                  <c:v>-18.596892885306229</c:v>
                </c:pt>
                <c:pt idx="194">
                  <c:v>-19.944662101015112</c:v>
                </c:pt>
                <c:pt idx="195">
                  <c:v>-21.290037250525245</c:v>
                </c:pt>
                <c:pt idx="196">
                  <c:v>-22.632289027455251</c:v>
                </c:pt>
                <c:pt idx="197">
                  <c:v>-23.97072370792359</c:v>
                </c:pt>
                <c:pt idx="198">
                  <c:v>-25.30466988534544</c:v>
                </c:pt>
                <c:pt idx="199">
                  <c:v>-26.633466270137497</c:v>
                </c:pt>
                <c:pt idx="200">
                  <c:v>-27.956450194805811</c:v>
                </c:pt>
                <c:pt idx="201">
                  <c:v>-29.272946571435931</c:v>
                </c:pt>
                <c:pt idx="202">
                  <c:v>-30.582257131227855</c:v>
                </c:pt>
                <c:pt idx="203">
                  <c:v>-31.883649842884822</c:v>
                </c:pt>
                <c:pt idx="204">
                  <c:v>-33.176348463939625</c:v>
                </c:pt>
                <c:pt idx="205">
                  <c:v>-34.459522230103559</c:v>
                </c:pt>
                <c:pt idx="206">
                  <c:v>-35.732275734705851</c:v>
                </c:pt>
                <c:pt idx="207">
                  <c:v>-36.99363909448315</c:v>
                </c:pt>
                <c:pt idx="208">
                  <c:v>-38.242558539797471</c:v>
                </c:pt>
                <c:pt idx="209">
                  <c:v>-39.477887606536221</c:v>
                </c:pt>
                <c:pt idx="210">
                  <c:v>-40.698379142616446</c:v>
                </c:pt>
                <c:pt idx="211">
                  <c:v>-41.902678372794895</c:v>
                </c:pt>
                <c:pt idx="212">
                  <c:v>-43.089317289558807</c:v>
                </c:pt>
                <c:pt idx="213">
                  <c:v>-44.25671065311036</c:v>
                </c:pt>
                <c:pt idx="214">
                  <c:v>-45.403153887555582</c:v>
                </c:pt>
                <c:pt idx="215">
                  <c:v>-46.526823151096757</c:v>
                </c:pt>
                <c:pt idx="216">
                  <c:v>-47.625777833297384</c:v>
                </c:pt>
                <c:pt idx="217">
                  <c:v>-48.697965690882285</c:v>
                </c:pt>
                <c:pt idx="218">
                  <c:v>-49.741230774414589</c:v>
                </c:pt>
                <c:pt idx="219">
                  <c:v>-50.753324222038465</c:v>
                </c:pt>
                <c:pt idx="220">
                  <c:v>-51.731917905092047</c:v>
                </c:pt>
                <c:pt idx="221">
                  <c:v>-52.674620807053785</c:v>
                </c:pt>
                <c:pt idx="222">
                  <c:v>-53.578997906712083</c:v>
                </c:pt>
                <c:pt idx="223">
                  <c:v>-54.442591224662408</c:v>
                </c:pt>
                <c:pt idx="224">
                  <c:v>-55.262942586197084</c:v>
                </c:pt>
                <c:pt idx="225">
                  <c:v>-56.037617560739605</c:v>
                </c:pt>
                <c:pt idx="226">
                  <c:v>-56.764229965340405</c:v>
                </c:pt>
                <c:pt idx="227">
                  <c:v>-57.440466273599569</c:v>
                </c:pt>
                <c:pt idx="228">
                  <c:v>-58.064109256288212</c:v>
                </c:pt>
                <c:pt idx="229">
                  <c:v>-58.633060198267984</c:v>
                </c:pt>
                <c:pt idx="230">
                  <c:v>-59.145359087855262</c:v>
                </c:pt>
                <c:pt idx="231">
                  <c:v>-59.599202256688159</c:v>
                </c:pt>
                <c:pt idx="232">
                  <c:v>-59.992957055132891</c:v>
                </c:pt>
                <c:pt idx="233">
                  <c:v>-60.325173273076174</c:v>
                </c:pt>
                <c:pt idx="234">
                  <c:v>-60.594591150128096</c:v>
                </c:pt>
                <c:pt idx="235">
                  <c:v>-60.800145953957085</c:v>
                </c:pt>
                <c:pt idx="236">
                  <c:v>-60.940969232303956</c:v>
                </c:pt>
                <c:pt idx="237">
                  <c:v>-61.016386955989681</c:v>
                </c:pt>
                <c:pt idx="238">
                  <c:v>-61.025914861512376</c:v>
                </c:pt>
                <c:pt idx="239">
                  <c:v>-60.969251369261414</c:v>
                </c:pt>
              </c:numCache>
            </c:numRef>
          </c:xVal>
          <c:yVal>
            <c:numRef>
              <c:f>CALC60!$CZ$6:$CZ$581</c:f>
              <c:numCache>
                <c:formatCode>General</c:formatCode>
                <c:ptCount val="576"/>
              </c:numCache>
            </c:numRef>
          </c:yVal>
          <c:smooth val="0"/>
        </c:ser>
        <c:ser>
          <c:idx val="53"/>
          <c:order val="53"/>
          <c:tx>
            <c:strRef>
              <c:f>CALC60!$DA$5</c:f>
              <c:strCache>
                <c:ptCount val="1"/>
                <c:pt idx="0">
                  <c:v>R52</c:v>
                </c:pt>
              </c:strCache>
            </c:strRef>
          </c:tx>
          <c:spPr>
            <a:ln w="28575">
              <a:noFill/>
            </a:ln>
          </c:spPr>
          <c:xVal>
            <c:numRef>
              <c:f>CALC60!$AY$6:$AY$581</c:f>
              <c:numCache>
                <c:formatCode>General</c:formatCode>
                <c:ptCount val="576"/>
                <c:pt idx="0">
                  <c:v>-19.833506546880365</c:v>
                </c:pt>
                <c:pt idx="1">
                  <c:v>-18.245852614565919</c:v>
                </c:pt>
                <c:pt idx="2">
                  <c:v>-16.629666681765414</c:v>
                </c:pt>
                <c:pt idx="3">
                  <c:v>-14.98231154257417</c:v>
                </c:pt>
                <c:pt idx="4">
                  <c:v>-13.301143585556035</c:v>
                </c:pt>
                <c:pt idx="5">
                  <c:v>-11.583569246398675</c:v>
                </c:pt>
                <c:pt idx="6">
                  <c:v>-9.8270793278644781</c:v>
                </c:pt>
                <c:pt idx="7">
                  <c:v>-8.029252658232803</c:v>
                </c:pt>
                <c:pt idx="8">
                  <c:v>-6.1877185053343773</c:v>
                </c:pt>
                <c:pt idx="9">
                  <c:v>-4.3000630515963358</c:v>
                </c:pt>
                <c:pt idx="10">
                  <c:v>-2.3636564525099644</c:v>
                </c:pt>
                <c:pt idx="11">
                  <c:v>-0.37535794962416702</c:v>
                </c:pt>
                <c:pt idx="12">
                  <c:v>-3.0678010204149508</c:v>
                </c:pt>
                <c:pt idx="13">
                  <c:v>5.8156608222448263</c:v>
                </c:pt>
                <c:pt idx="14">
                  <c:v>-8.9906603193697858</c:v>
                </c:pt>
                <c:pt idx="15">
                  <c:v>-19.434156555154736</c:v>
                </c:pt>
                <c:pt idx="16">
                  <c:v>-12</c:v>
                </c:pt>
                <c:pt idx="17">
                  <c:v>-29.167117021908272</c:v>
                </c:pt>
                <c:pt idx="18">
                  <c:v>-14</c:v>
                </c:pt>
                <c:pt idx="19">
                  <c:v>-19.833506546880365</c:v>
                </c:pt>
                <c:pt idx="20">
                  <c:v>1.5130248501190131</c:v>
                </c:pt>
                <c:pt idx="21">
                  <c:v>12</c:v>
                </c:pt>
                <c:pt idx="22">
                  <c:v>-12</c:v>
                </c:pt>
                <c:pt idx="23">
                  <c:v>-28.772550131225248</c:v>
                </c:pt>
                <c:pt idx="24">
                  <c:v>-11.666666666666666</c:v>
                </c:pt>
                <c:pt idx="25">
                  <c:v>-18.245852614565919</c:v>
                </c:pt>
                <c:pt idx="26">
                  <c:v>4.3925078710812571</c:v>
                </c:pt>
                <c:pt idx="27">
                  <c:v>12</c:v>
                </c:pt>
                <c:pt idx="28">
                  <c:v>-12</c:v>
                </c:pt>
                <c:pt idx="29">
                  <c:v>-28.303800039278563</c:v>
                </c:pt>
                <c:pt idx="30">
                  <c:v>-9.3333333333333321</c:v>
                </c:pt>
                <c:pt idx="31">
                  <c:v>-16.629666681765414</c:v>
                </c:pt>
                <c:pt idx="32">
                  <c:v>6.4527131206909987</c:v>
                </c:pt>
                <c:pt idx="33">
                  <c:v>12</c:v>
                </c:pt>
                <c:pt idx="34">
                  <c:v>-12</c:v>
                </c:pt>
                <c:pt idx="35">
                  <c:v>-27.754010010716058</c:v>
                </c:pt>
                <c:pt idx="36">
                  <c:v>-6.9999999999999982</c:v>
                </c:pt>
                <c:pt idx="37">
                  <c:v>-14.98231154257417</c:v>
                </c:pt>
                <c:pt idx="38">
                  <c:v>8.2375052570320868</c:v>
                </c:pt>
                <c:pt idx="39">
                  <c:v>12</c:v>
                </c:pt>
                <c:pt idx="40">
                  <c:v>-12</c:v>
                </c:pt>
                <c:pt idx="41">
                  <c:v>-27.116306655803694</c:v>
                </c:pt>
                <c:pt idx="42">
                  <c:v>-4.6666666666666643</c:v>
                </c:pt>
                <c:pt idx="43">
                  <c:v>-13.301143585556035</c:v>
                </c:pt>
                <c:pt idx="44">
                  <c:v>9.8664661885771885</c:v>
                </c:pt>
                <c:pt idx="45">
                  <c:v>12</c:v>
                </c:pt>
                <c:pt idx="46">
                  <c:v>-12</c:v>
                </c:pt>
                <c:pt idx="47">
                  <c:v>-26.383946707329393</c:v>
                </c:pt>
                <c:pt idx="48">
                  <c:v>-2.3333333333333308</c:v>
                </c:pt>
                <c:pt idx="49">
                  <c:v>-11.583569246398675</c:v>
                </c:pt>
                <c:pt idx="50">
                  <c:v>11.388844623449907</c:v>
                </c:pt>
                <c:pt idx="51">
                  <c:v>12</c:v>
                </c:pt>
                <c:pt idx="52">
                  <c:v>-12</c:v>
                </c:pt>
                <c:pt idx="53">
                  <c:v>-25.550406252475348</c:v>
                </c:pt>
                <c:pt idx="54">
                  <c:v>0</c:v>
                </c:pt>
                <c:pt idx="55">
                  <c:v>-9.8270793278644781</c:v>
                </c:pt>
                <c:pt idx="56">
                  <c:v>12.829698097369761</c:v>
                </c:pt>
                <c:pt idx="57">
                  <c:v>12</c:v>
                </c:pt>
                <c:pt idx="58">
                  <c:v>-12</c:v>
                </c:pt>
                <c:pt idx="59">
                  <c:v>-24.609390244767855</c:v>
                </c:pt>
                <c:pt idx="60">
                  <c:v>2.3333333333333335</c:v>
                </c:pt>
                <c:pt idx="61">
                  <c:v>-8.029252658232803</c:v>
                </c:pt>
                <c:pt idx="62">
                  <c:v>14.203132463376605</c:v>
                </c:pt>
                <c:pt idx="63">
                  <c:v>12</c:v>
                </c:pt>
                <c:pt idx="64">
                  <c:v>-12</c:v>
                </c:pt>
                <c:pt idx="65">
                  <c:v>-23.554734780566797</c:v>
                </c:pt>
                <c:pt idx="66">
                  <c:v>4.666666666666667</c:v>
                </c:pt>
                <c:pt idx="67">
                  <c:v>-6.1877185053343773</c:v>
                </c:pt>
                <c:pt idx="68">
                  <c:v>15.517506829265256</c:v>
                </c:pt>
                <c:pt idx="69">
                  <c:v>12</c:v>
                </c:pt>
                <c:pt idx="70">
                  <c:v>-12</c:v>
                </c:pt>
                <c:pt idx="71">
                  <c:v>-22.380163934182676</c:v>
                </c:pt>
                <c:pt idx="72">
                  <c:v>7</c:v>
                </c:pt>
                <c:pt idx="73">
                  <c:v>-4.3000630515963358</c:v>
                </c:pt>
                <c:pt idx="74">
                  <c:v>16.777941702150098</c:v>
                </c:pt>
                <c:pt idx="75">
                  <c:v>12</c:v>
                </c:pt>
                <c:pt idx="76">
                  <c:v>-12</c:v>
                </c:pt>
                <c:pt idx="77">
                  <c:v>-21.078840109892809</c:v>
                </c:pt>
                <c:pt idx="78">
                  <c:v>9.3333333333333339</c:v>
                </c:pt>
                <c:pt idx="79">
                  <c:v>-2.3636564525099644</c:v>
                </c:pt>
                <c:pt idx="80">
                  <c:v>17.987756355580007</c:v>
                </c:pt>
                <c:pt idx="81">
                  <c:v>12</c:v>
                </c:pt>
                <c:pt idx="82">
                  <c:v>-12</c:v>
                </c:pt>
                <c:pt idx="83">
                  <c:v>-19.642597335724307</c:v>
                </c:pt>
                <c:pt idx="84">
                  <c:v>11.666666666666668</c:v>
                </c:pt>
                <c:pt idx="85">
                  <c:v>-0.37535794962416702</c:v>
                </c:pt>
                <c:pt idx="86">
                  <c:v>19.149459663035739</c:v>
                </c:pt>
                <c:pt idx="87">
                  <c:v>12</c:v>
                </c:pt>
                <c:pt idx="88">
                  <c:v>-12</c:v>
                </c:pt>
                <c:pt idx="89">
                  <c:v>-30.376282653093735</c:v>
                </c:pt>
                <c:pt idx="90">
                  <c:v>14.000000000000002</c:v>
                </c:pt>
                <c:pt idx="91">
                  <c:v>-3.0678010204149508</c:v>
                </c:pt>
                <c:pt idx="92">
                  <c:v>26.896999319700733</c:v>
                </c:pt>
                <c:pt idx="93">
                  <c:v>12</c:v>
                </c:pt>
                <c:pt idx="94">
                  <c:v>-12</c:v>
                </c:pt>
                <c:pt idx="95">
                  <c:v>-24.879281862192261</c:v>
                </c:pt>
                <c:pt idx="96">
                  <c:v>25</c:v>
                </c:pt>
                <c:pt idx="97">
                  <c:v>5.8156608222448263</c:v>
                </c:pt>
                <c:pt idx="98">
                  <c:v>31.34962606454722</c:v>
                </c:pt>
                <c:pt idx="99">
                  <c:v>12</c:v>
                </c:pt>
                <c:pt idx="100">
                  <c:v>-12</c:v>
                </c:pt>
                <c:pt idx="101">
                  <c:v>-23.375716830330454</c:v>
                </c:pt>
                <c:pt idx="102">
                  <c:v>0</c:v>
                </c:pt>
                <c:pt idx="103">
                  <c:v>-8.9906603193697858</c:v>
                </c:pt>
                <c:pt idx="104">
                  <c:v>22.648032351271631</c:v>
                </c:pt>
                <c:pt idx="105">
                  <c:v>12</c:v>
                </c:pt>
                <c:pt idx="106">
                  <c:v>-12</c:v>
                </c:pt>
                <c:pt idx="107">
                  <c:v>-10.52880704336475</c:v>
                </c:pt>
                <c:pt idx="108">
                  <c:v>-25</c:v>
                </c:pt>
                <c:pt idx="109">
                  <c:v>-19.434156555154736</c:v>
                </c:pt>
                <c:pt idx="110">
                  <c:v>20.32293673094285</c:v>
                </c:pt>
                <c:pt idx="111">
                  <c:v>12</c:v>
                </c:pt>
                <c:pt idx="112">
                  <c:v>60</c:v>
                </c:pt>
                <c:pt idx="113">
                  <c:v>59.977621104822219</c:v>
                </c:pt>
                <c:pt idx="114">
                  <c:v>59.910498330815244</c:v>
                </c:pt>
                <c:pt idx="115">
                  <c:v>59.7986734039103</c:v>
                </c:pt>
                <c:pt idx="116">
                  <c:v>59.642215838505066</c:v>
                </c:pt>
                <c:pt idx="117">
                  <c:v>59.441222894251112</c:v>
                </c:pt>
                <c:pt idx="118">
                  <c:v>59.195819515593755</c:v>
                </c:pt>
                <c:pt idx="119">
                  <c:v>58.906158254102053</c:v>
                </c:pt>
                <c:pt idx="120">
                  <c:v>58.572419173637371</c:v>
                </c:pt>
                <c:pt idx="121">
                  <c:v>58.19480973841911</c:v>
                </c:pt>
                <c:pt idx="122">
                  <c:v>57.77356468405749</c:v>
                </c:pt>
                <c:pt idx="123">
                  <c:v>57.308945871633512</c:v>
                </c:pt>
                <c:pt idx="124">
                  <c:v>56.801242124916655</c:v>
                </c:pt>
                <c:pt idx="125">
                  <c:v>56.250769050821617</c:v>
                </c:pt>
                <c:pt idx="126">
                  <c:v>55.657868843215709</c:v>
                </c:pt>
                <c:pt idx="127">
                  <c:v>55.022910070198847</c:v>
                </c:pt>
                <c:pt idx="128">
                  <c:v>54.346287444988349</c:v>
                </c:pt>
                <c:pt idx="129">
                  <c:v>53.628421580551006</c:v>
                </c:pt>
                <c:pt idx="130">
                  <c:v>52.869758728134926</c:v>
                </c:pt>
                <c:pt idx="131">
                  <c:v>52.070770499863713</c:v>
                </c:pt>
                <c:pt idx="132">
                  <c:v>51.231953575565385</c:v>
                </c:pt>
                <c:pt idx="133">
                  <c:v>50.353829394018334</c:v>
                </c:pt>
                <c:pt idx="134">
                  <c:v>49.436943828806236</c:v>
                </c:pt>
                <c:pt idx="135">
                  <c:v>48.481866848983351</c:v>
                </c:pt>
                <c:pt idx="136">
                  <c:v>47.489192164761299</c:v>
                </c:pt>
                <c:pt idx="137">
                  <c:v>46.45953685843741</c:v>
                </c:pt>
                <c:pt idx="138">
                  <c:v>45.39354100079418</c:v>
                </c:pt>
                <c:pt idx="139">
                  <c:v>44.29186725320821</c:v>
                </c:pt>
                <c:pt idx="140">
                  <c:v>43.155200455716098</c:v>
                </c:pt>
                <c:pt idx="141">
                  <c:v>41.984247201293201</c:v>
                </c:pt>
                <c:pt idx="142">
                  <c:v>40.779735396610057</c:v>
                </c:pt>
                <c:pt idx="143">
                  <c:v>39.542413809539362</c:v>
                </c:pt>
                <c:pt idx="144">
                  <c:v>38.27305160369496</c:v>
                </c:pt>
                <c:pt idx="145">
                  <c:v>36.97243786029204</c:v>
                </c:pt>
                <c:pt idx="146">
                  <c:v>35.641381087625909</c:v>
                </c:pt>
                <c:pt idx="147">
                  <c:v>34.280708718474088</c:v>
                </c:pt>
                <c:pt idx="148">
                  <c:v>32.891266595734379</c:v>
                </c:pt>
                <c:pt idx="149">
                  <c:v>31.473918446618441</c:v>
                </c:pt>
                <c:pt idx="150">
                  <c:v>30.029545345727961</c:v>
                </c:pt>
                <c:pt idx="151">
                  <c:v>28.559045167346859</c:v>
                </c:pt>
                <c:pt idx="152">
                  <c:v>27.063332027290457</c:v>
                </c:pt>
                <c:pt idx="153">
                  <c:v>25.54333571465812</c:v>
                </c:pt>
                <c:pt idx="154">
                  <c:v>24.00000111384292</c:v>
                </c:pt>
                <c:pt idx="155">
                  <c:v>22.434287617157558</c:v>
                </c:pt>
                <c:pt idx="156">
                  <c:v>20.847168528441451</c:v>
                </c:pt>
                <c:pt idx="157">
                  <c:v>19.239630458020226</c:v>
                </c:pt>
                <c:pt idx="158">
                  <c:v>17.612672709393095</c:v>
                </c:pt>
                <c:pt idx="159">
                  <c:v>15.967306658029923</c:v>
                </c:pt>
                <c:pt idx="160">
                  <c:v>14.304555122663807</c:v>
                </c:pt>
                <c:pt idx="161">
                  <c:v>12.625451729470267</c:v>
                </c:pt>
                <c:pt idx="162">
                  <c:v>10.931040269527855</c:v>
                </c:pt>
                <c:pt idx="163">
                  <c:v>9.2223740499601874</c:v>
                </c:pt>
                <c:pt idx="164">
                  <c:v>7.50051523916229</c:v>
                </c:pt>
                <c:pt idx="165">
                  <c:v>5.7665342065185783</c:v>
                </c:pt>
                <c:pt idx="166">
                  <c:v>4.0215088570226385</c:v>
                </c:pt>
                <c:pt idx="167">
                  <c:v>2.2665239612127621</c:v>
                </c:pt>
                <c:pt idx="168">
                  <c:v>0.50267048083958699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2.8515696384297637</c:v>
                </c:pt>
                <c:pt idx="177">
                  <c:v>1.9753111994832171</c:v>
                </c:pt>
                <c:pt idx="178">
                  <c:v>0.92563316887902047</c:v>
                </c:pt>
                <c:pt idx="179">
                  <c:v>-0.21601377837397351</c:v>
                </c:pt>
                <c:pt idx="180">
                  <c:v>-1.4157664759720063</c:v>
                </c:pt>
                <c:pt idx="181">
                  <c:v>-2.6556123420946562</c:v>
                </c:pt>
                <c:pt idx="182">
                  <c:v>-3.9245681685754725</c:v>
                </c:pt>
                <c:pt idx="183">
                  <c:v>-5.2153144569239593</c:v>
                </c:pt>
                <c:pt idx="184">
                  <c:v>-6.5226550874579061</c:v>
                </c:pt>
                <c:pt idx="185">
                  <c:v>-7.8427215966531474</c:v>
                </c:pt>
                <c:pt idx="186">
                  <c:v>-9.1725245020797033</c:v>
                </c:pt>
                <c:pt idx="187">
                  <c:v>-10.509682805443534</c:v>
                </c:pt>
                <c:pt idx="188">
                  <c:v>-11.852251962601201</c:v>
                </c:pt>
                <c:pt idx="189">
                  <c:v>-13.198609507350314</c:v>
                </c:pt>
                <c:pt idx="190">
                  <c:v>-14.547376030315508</c:v>
                </c:pt>
                <c:pt idx="191">
                  <c:v>-15.897358663204308</c:v>
                </c:pt>
                <c:pt idx="192">
                  <c:v>-17.247509325359044</c:v>
                </c:pt>
                <c:pt idx="193">
                  <c:v>-18.596892885306229</c:v>
                </c:pt>
                <c:pt idx="194">
                  <c:v>-19.944662101015112</c:v>
                </c:pt>
                <c:pt idx="195">
                  <c:v>-21.290037250525245</c:v>
                </c:pt>
                <c:pt idx="196">
                  <c:v>-22.632289027455251</c:v>
                </c:pt>
                <c:pt idx="197">
                  <c:v>-23.97072370792359</c:v>
                </c:pt>
                <c:pt idx="198">
                  <c:v>-25.30466988534544</c:v>
                </c:pt>
                <c:pt idx="199">
                  <c:v>-26.633466270137497</c:v>
                </c:pt>
                <c:pt idx="200">
                  <c:v>-27.956450194805811</c:v>
                </c:pt>
                <c:pt idx="201">
                  <c:v>-29.272946571435931</c:v>
                </c:pt>
                <c:pt idx="202">
                  <c:v>-30.582257131227855</c:v>
                </c:pt>
                <c:pt idx="203">
                  <c:v>-31.883649842884822</c:v>
                </c:pt>
                <c:pt idx="204">
                  <c:v>-33.176348463939625</c:v>
                </c:pt>
                <c:pt idx="205">
                  <c:v>-34.459522230103559</c:v>
                </c:pt>
                <c:pt idx="206">
                  <c:v>-35.732275734705851</c:v>
                </c:pt>
                <c:pt idx="207">
                  <c:v>-36.99363909448315</c:v>
                </c:pt>
                <c:pt idx="208">
                  <c:v>-38.242558539797471</c:v>
                </c:pt>
                <c:pt idx="209">
                  <c:v>-39.477887606536221</c:v>
                </c:pt>
                <c:pt idx="210">
                  <c:v>-40.698379142616446</c:v>
                </c:pt>
                <c:pt idx="211">
                  <c:v>-41.902678372794895</c:v>
                </c:pt>
                <c:pt idx="212">
                  <c:v>-43.089317289558807</c:v>
                </c:pt>
                <c:pt idx="213">
                  <c:v>-44.25671065311036</c:v>
                </c:pt>
                <c:pt idx="214">
                  <c:v>-45.403153887555582</c:v>
                </c:pt>
                <c:pt idx="215">
                  <c:v>-46.526823151096757</c:v>
                </c:pt>
                <c:pt idx="216">
                  <c:v>-47.625777833297384</c:v>
                </c:pt>
                <c:pt idx="217">
                  <c:v>-48.697965690882285</c:v>
                </c:pt>
                <c:pt idx="218">
                  <c:v>-49.741230774414589</c:v>
                </c:pt>
                <c:pt idx="219">
                  <c:v>-50.753324222038465</c:v>
                </c:pt>
                <c:pt idx="220">
                  <c:v>-51.731917905092047</c:v>
                </c:pt>
                <c:pt idx="221">
                  <c:v>-52.674620807053785</c:v>
                </c:pt>
                <c:pt idx="222">
                  <c:v>-53.578997906712083</c:v>
                </c:pt>
                <c:pt idx="223">
                  <c:v>-54.442591224662408</c:v>
                </c:pt>
                <c:pt idx="224">
                  <c:v>-55.262942586197084</c:v>
                </c:pt>
                <c:pt idx="225">
                  <c:v>-56.037617560739605</c:v>
                </c:pt>
                <c:pt idx="226">
                  <c:v>-56.764229965340405</c:v>
                </c:pt>
                <c:pt idx="227">
                  <c:v>-57.440466273599569</c:v>
                </c:pt>
                <c:pt idx="228">
                  <c:v>-58.064109256288212</c:v>
                </c:pt>
                <c:pt idx="229">
                  <c:v>-58.633060198267984</c:v>
                </c:pt>
                <c:pt idx="230">
                  <c:v>-59.145359087855262</c:v>
                </c:pt>
                <c:pt idx="231">
                  <c:v>-59.599202256688159</c:v>
                </c:pt>
                <c:pt idx="232">
                  <c:v>-59.992957055132891</c:v>
                </c:pt>
                <c:pt idx="233">
                  <c:v>-60.325173273076174</c:v>
                </c:pt>
                <c:pt idx="234">
                  <c:v>-60.594591150128096</c:v>
                </c:pt>
                <c:pt idx="235">
                  <c:v>-60.800145953957085</c:v>
                </c:pt>
                <c:pt idx="236">
                  <c:v>-60.940969232303956</c:v>
                </c:pt>
                <c:pt idx="237">
                  <c:v>-61.016386955989681</c:v>
                </c:pt>
                <c:pt idx="238">
                  <c:v>-61.025914861512376</c:v>
                </c:pt>
                <c:pt idx="239">
                  <c:v>-60.969251369261414</c:v>
                </c:pt>
              </c:numCache>
            </c:numRef>
          </c:xVal>
          <c:yVal>
            <c:numRef>
              <c:f>CALC60!$DA$6:$DA$581</c:f>
              <c:numCache>
                <c:formatCode>General</c:formatCode>
                <c:ptCount val="576"/>
              </c:numCache>
            </c:numRef>
          </c:yVal>
          <c:smooth val="0"/>
        </c:ser>
        <c:ser>
          <c:idx val="54"/>
          <c:order val="54"/>
          <c:tx>
            <c:strRef>
              <c:f>CALC60!$DB$5</c:f>
              <c:strCache>
                <c:ptCount val="1"/>
                <c:pt idx="0">
                  <c:v>R53</c:v>
                </c:pt>
              </c:strCache>
            </c:strRef>
          </c:tx>
          <c:spPr>
            <a:ln w="28575">
              <a:noFill/>
            </a:ln>
          </c:spPr>
          <c:xVal>
            <c:numRef>
              <c:f>CALC60!$AY$6:$AY$581</c:f>
              <c:numCache>
                <c:formatCode>General</c:formatCode>
                <c:ptCount val="576"/>
                <c:pt idx="0">
                  <c:v>-19.833506546880365</c:v>
                </c:pt>
                <c:pt idx="1">
                  <c:v>-18.245852614565919</c:v>
                </c:pt>
                <c:pt idx="2">
                  <c:v>-16.629666681765414</c:v>
                </c:pt>
                <c:pt idx="3">
                  <c:v>-14.98231154257417</c:v>
                </c:pt>
                <c:pt idx="4">
                  <c:v>-13.301143585556035</c:v>
                </c:pt>
                <c:pt idx="5">
                  <c:v>-11.583569246398675</c:v>
                </c:pt>
                <c:pt idx="6">
                  <c:v>-9.8270793278644781</c:v>
                </c:pt>
                <c:pt idx="7">
                  <c:v>-8.029252658232803</c:v>
                </c:pt>
                <c:pt idx="8">
                  <c:v>-6.1877185053343773</c:v>
                </c:pt>
                <c:pt idx="9">
                  <c:v>-4.3000630515963358</c:v>
                </c:pt>
                <c:pt idx="10">
                  <c:v>-2.3636564525099644</c:v>
                </c:pt>
                <c:pt idx="11">
                  <c:v>-0.37535794962416702</c:v>
                </c:pt>
                <c:pt idx="12">
                  <c:v>-3.0678010204149508</c:v>
                </c:pt>
                <c:pt idx="13">
                  <c:v>5.8156608222448263</c:v>
                </c:pt>
                <c:pt idx="14">
                  <c:v>-8.9906603193697858</c:v>
                </c:pt>
                <c:pt idx="15">
                  <c:v>-19.434156555154736</c:v>
                </c:pt>
                <c:pt idx="16">
                  <c:v>-12</c:v>
                </c:pt>
                <c:pt idx="17">
                  <c:v>-29.167117021908272</c:v>
                </c:pt>
                <c:pt idx="18">
                  <c:v>-14</c:v>
                </c:pt>
                <c:pt idx="19">
                  <c:v>-19.833506546880365</c:v>
                </c:pt>
                <c:pt idx="20">
                  <c:v>1.5130248501190131</c:v>
                </c:pt>
                <c:pt idx="21">
                  <c:v>12</c:v>
                </c:pt>
                <c:pt idx="22">
                  <c:v>-12</c:v>
                </c:pt>
                <c:pt idx="23">
                  <c:v>-28.772550131225248</c:v>
                </c:pt>
                <c:pt idx="24">
                  <c:v>-11.666666666666666</c:v>
                </c:pt>
                <c:pt idx="25">
                  <c:v>-18.245852614565919</c:v>
                </c:pt>
                <c:pt idx="26">
                  <c:v>4.3925078710812571</c:v>
                </c:pt>
                <c:pt idx="27">
                  <c:v>12</c:v>
                </c:pt>
                <c:pt idx="28">
                  <c:v>-12</c:v>
                </c:pt>
                <c:pt idx="29">
                  <c:v>-28.303800039278563</c:v>
                </c:pt>
                <c:pt idx="30">
                  <c:v>-9.3333333333333321</c:v>
                </c:pt>
                <c:pt idx="31">
                  <c:v>-16.629666681765414</c:v>
                </c:pt>
                <c:pt idx="32">
                  <c:v>6.4527131206909987</c:v>
                </c:pt>
                <c:pt idx="33">
                  <c:v>12</c:v>
                </c:pt>
                <c:pt idx="34">
                  <c:v>-12</c:v>
                </c:pt>
                <c:pt idx="35">
                  <c:v>-27.754010010716058</c:v>
                </c:pt>
                <c:pt idx="36">
                  <c:v>-6.9999999999999982</c:v>
                </c:pt>
                <c:pt idx="37">
                  <c:v>-14.98231154257417</c:v>
                </c:pt>
                <c:pt idx="38">
                  <c:v>8.2375052570320868</c:v>
                </c:pt>
                <c:pt idx="39">
                  <c:v>12</c:v>
                </c:pt>
                <c:pt idx="40">
                  <c:v>-12</c:v>
                </c:pt>
                <c:pt idx="41">
                  <c:v>-27.116306655803694</c:v>
                </c:pt>
                <c:pt idx="42">
                  <c:v>-4.6666666666666643</c:v>
                </c:pt>
                <c:pt idx="43">
                  <c:v>-13.301143585556035</c:v>
                </c:pt>
                <c:pt idx="44">
                  <c:v>9.8664661885771885</c:v>
                </c:pt>
                <c:pt idx="45">
                  <c:v>12</c:v>
                </c:pt>
                <c:pt idx="46">
                  <c:v>-12</c:v>
                </c:pt>
                <c:pt idx="47">
                  <c:v>-26.383946707329393</c:v>
                </c:pt>
                <c:pt idx="48">
                  <c:v>-2.3333333333333308</c:v>
                </c:pt>
                <c:pt idx="49">
                  <c:v>-11.583569246398675</c:v>
                </c:pt>
                <c:pt idx="50">
                  <c:v>11.388844623449907</c:v>
                </c:pt>
                <c:pt idx="51">
                  <c:v>12</c:v>
                </c:pt>
                <c:pt idx="52">
                  <c:v>-12</c:v>
                </c:pt>
                <c:pt idx="53">
                  <c:v>-25.550406252475348</c:v>
                </c:pt>
                <c:pt idx="54">
                  <c:v>0</c:v>
                </c:pt>
                <c:pt idx="55">
                  <c:v>-9.8270793278644781</c:v>
                </c:pt>
                <c:pt idx="56">
                  <c:v>12.829698097369761</c:v>
                </c:pt>
                <c:pt idx="57">
                  <c:v>12</c:v>
                </c:pt>
                <c:pt idx="58">
                  <c:v>-12</c:v>
                </c:pt>
                <c:pt idx="59">
                  <c:v>-24.609390244767855</c:v>
                </c:pt>
                <c:pt idx="60">
                  <c:v>2.3333333333333335</c:v>
                </c:pt>
                <c:pt idx="61">
                  <c:v>-8.029252658232803</c:v>
                </c:pt>
                <c:pt idx="62">
                  <c:v>14.203132463376605</c:v>
                </c:pt>
                <c:pt idx="63">
                  <c:v>12</c:v>
                </c:pt>
                <c:pt idx="64">
                  <c:v>-12</c:v>
                </c:pt>
                <c:pt idx="65">
                  <c:v>-23.554734780566797</c:v>
                </c:pt>
                <c:pt idx="66">
                  <c:v>4.666666666666667</c:v>
                </c:pt>
                <c:pt idx="67">
                  <c:v>-6.1877185053343773</c:v>
                </c:pt>
                <c:pt idx="68">
                  <c:v>15.517506829265256</c:v>
                </c:pt>
                <c:pt idx="69">
                  <c:v>12</c:v>
                </c:pt>
                <c:pt idx="70">
                  <c:v>-12</c:v>
                </c:pt>
                <c:pt idx="71">
                  <c:v>-22.380163934182676</c:v>
                </c:pt>
                <c:pt idx="72">
                  <c:v>7</c:v>
                </c:pt>
                <c:pt idx="73">
                  <c:v>-4.3000630515963358</c:v>
                </c:pt>
                <c:pt idx="74">
                  <c:v>16.777941702150098</c:v>
                </c:pt>
                <c:pt idx="75">
                  <c:v>12</c:v>
                </c:pt>
                <c:pt idx="76">
                  <c:v>-12</c:v>
                </c:pt>
                <c:pt idx="77">
                  <c:v>-21.078840109892809</c:v>
                </c:pt>
                <c:pt idx="78">
                  <c:v>9.3333333333333339</c:v>
                </c:pt>
                <c:pt idx="79">
                  <c:v>-2.3636564525099644</c:v>
                </c:pt>
                <c:pt idx="80">
                  <c:v>17.987756355580007</c:v>
                </c:pt>
                <c:pt idx="81">
                  <c:v>12</c:v>
                </c:pt>
                <c:pt idx="82">
                  <c:v>-12</c:v>
                </c:pt>
                <c:pt idx="83">
                  <c:v>-19.642597335724307</c:v>
                </c:pt>
                <c:pt idx="84">
                  <c:v>11.666666666666668</c:v>
                </c:pt>
                <c:pt idx="85">
                  <c:v>-0.37535794962416702</c:v>
                </c:pt>
                <c:pt idx="86">
                  <c:v>19.149459663035739</c:v>
                </c:pt>
                <c:pt idx="87">
                  <c:v>12</c:v>
                </c:pt>
                <c:pt idx="88">
                  <c:v>-12</c:v>
                </c:pt>
                <c:pt idx="89">
                  <c:v>-30.376282653093735</c:v>
                </c:pt>
                <c:pt idx="90">
                  <c:v>14.000000000000002</c:v>
                </c:pt>
                <c:pt idx="91">
                  <c:v>-3.0678010204149508</c:v>
                </c:pt>
                <c:pt idx="92">
                  <c:v>26.896999319700733</c:v>
                </c:pt>
                <c:pt idx="93">
                  <c:v>12</c:v>
                </c:pt>
                <c:pt idx="94">
                  <c:v>-12</c:v>
                </c:pt>
                <c:pt idx="95">
                  <c:v>-24.879281862192261</c:v>
                </c:pt>
                <c:pt idx="96">
                  <c:v>25</c:v>
                </c:pt>
                <c:pt idx="97">
                  <c:v>5.8156608222448263</c:v>
                </c:pt>
                <c:pt idx="98">
                  <c:v>31.34962606454722</c:v>
                </c:pt>
                <c:pt idx="99">
                  <c:v>12</c:v>
                </c:pt>
                <c:pt idx="100">
                  <c:v>-12</c:v>
                </c:pt>
                <c:pt idx="101">
                  <c:v>-23.375716830330454</c:v>
                </c:pt>
                <c:pt idx="102">
                  <c:v>0</c:v>
                </c:pt>
                <c:pt idx="103">
                  <c:v>-8.9906603193697858</c:v>
                </c:pt>
                <c:pt idx="104">
                  <c:v>22.648032351271631</c:v>
                </c:pt>
                <c:pt idx="105">
                  <c:v>12</c:v>
                </c:pt>
                <c:pt idx="106">
                  <c:v>-12</c:v>
                </c:pt>
                <c:pt idx="107">
                  <c:v>-10.52880704336475</c:v>
                </c:pt>
                <c:pt idx="108">
                  <c:v>-25</c:v>
                </c:pt>
                <c:pt idx="109">
                  <c:v>-19.434156555154736</c:v>
                </c:pt>
                <c:pt idx="110">
                  <c:v>20.32293673094285</c:v>
                </c:pt>
                <c:pt idx="111">
                  <c:v>12</c:v>
                </c:pt>
                <c:pt idx="112">
                  <c:v>60</c:v>
                </c:pt>
                <c:pt idx="113">
                  <c:v>59.977621104822219</c:v>
                </c:pt>
                <c:pt idx="114">
                  <c:v>59.910498330815244</c:v>
                </c:pt>
                <c:pt idx="115">
                  <c:v>59.7986734039103</c:v>
                </c:pt>
                <c:pt idx="116">
                  <c:v>59.642215838505066</c:v>
                </c:pt>
                <c:pt idx="117">
                  <c:v>59.441222894251112</c:v>
                </c:pt>
                <c:pt idx="118">
                  <c:v>59.195819515593755</c:v>
                </c:pt>
                <c:pt idx="119">
                  <c:v>58.906158254102053</c:v>
                </c:pt>
                <c:pt idx="120">
                  <c:v>58.572419173637371</c:v>
                </c:pt>
                <c:pt idx="121">
                  <c:v>58.19480973841911</c:v>
                </c:pt>
                <c:pt idx="122">
                  <c:v>57.77356468405749</c:v>
                </c:pt>
                <c:pt idx="123">
                  <c:v>57.308945871633512</c:v>
                </c:pt>
                <c:pt idx="124">
                  <c:v>56.801242124916655</c:v>
                </c:pt>
                <c:pt idx="125">
                  <c:v>56.250769050821617</c:v>
                </c:pt>
                <c:pt idx="126">
                  <c:v>55.657868843215709</c:v>
                </c:pt>
                <c:pt idx="127">
                  <c:v>55.022910070198847</c:v>
                </c:pt>
                <c:pt idx="128">
                  <c:v>54.346287444988349</c:v>
                </c:pt>
                <c:pt idx="129">
                  <c:v>53.628421580551006</c:v>
                </c:pt>
                <c:pt idx="130">
                  <c:v>52.869758728134926</c:v>
                </c:pt>
                <c:pt idx="131">
                  <c:v>52.070770499863713</c:v>
                </c:pt>
                <c:pt idx="132">
                  <c:v>51.231953575565385</c:v>
                </c:pt>
                <c:pt idx="133">
                  <c:v>50.353829394018334</c:v>
                </c:pt>
                <c:pt idx="134">
                  <c:v>49.436943828806236</c:v>
                </c:pt>
                <c:pt idx="135">
                  <c:v>48.481866848983351</c:v>
                </c:pt>
                <c:pt idx="136">
                  <c:v>47.489192164761299</c:v>
                </c:pt>
                <c:pt idx="137">
                  <c:v>46.45953685843741</c:v>
                </c:pt>
                <c:pt idx="138">
                  <c:v>45.39354100079418</c:v>
                </c:pt>
                <c:pt idx="139">
                  <c:v>44.29186725320821</c:v>
                </c:pt>
                <c:pt idx="140">
                  <c:v>43.155200455716098</c:v>
                </c:pt>
                <c:pt idx="141">
                  <c:v>41.984247201293201</c:v>
                </c:pt>
                <c:pt idx="142">
                  <c:v>40.779735396610057</c:v>
                </c:pt>
                <c:pt idx="143">
                  <c:v>39.542413809539362</c:v>
                </c:pt>
                <c:pt idx="144">
                  <c:v>38.27305160369496</c:v>
                </c:pt>
                <c:pt idx="145">
                  <c:v>36.97243786029204</c:v>
                </c:pt>
                <c:pt idx="146">
                  <c:v>35.641381087625909</c:v>
                </c:pt>
                <c:pt idx="147">
                  <c:v>34.280708718474088</c:v>
                </c:pt>
                <c:pt idx="148">
                  <c:v>32.891266595734379</c:v>
                </c:pt>
                <c:pt idx="149">
                  <c:v>31.473918446618441</c:v>
                </c:pt>
                <c:pt idx="150">
                  <c:v>30.029545345727961</c:v>
                </c:pt>
                <c:pt idx="151">
                  <c:v>28.559045167346859</c:v>
                </c:pt>
                <c:pt idx="152">
                  <c:v>27.063332027290457</c:v>
                </c:pt>
                <c:pt idx="153">
                  <c:v>25.54333571465812</c:v>
                </c:pt>
                <c:pt idx="154">
                  <c:v>24.00000111384292</c:v>
                </c:pt>
                <c:pt idx="155">
                  <c:v>22.434287617157558</c:v>
                </c:pt>
                <c:pt idx="156">
                  <c:v>20.847168528441451</c:v>
                </c:pt>
                <c:pt idx="157">
                  <c:v>19.239630458020226</c:v>
                </c:pt>
                <c:pt idx="158">
                  <c:v>17.612672709393095</c:v>
                </c:pt>
                <c:pt idx="159">
                  <c:v>15.967306658029923</c:v>
                </c:pt>
                <c:pt idx="160">
                  <c:v>14.304555122663807</c:v>
                </c:pt>
                <c:pt idx="161">
                  <c:v>12.625451729470267</c:v>
                </c:pt>
                <c:pt idx="162">
                  <c:v>10.931040269527855</c:v>
                </c:pt>
                <c:pt idx="163">
                  <c:v>9.2223740499601874</c:v>
                </c:pt>
                <c:pt idx="164">
                  <c:v>7.50051523916229</c:v>
                </c:pt>
                <c:pt idx="165">
                  <c:v>5.7665342065185783</c:v>
                </c:pt>
                <c:pt idx="166">
                  <c:v>4.0215088570226385</c:v>
                </c:pt>
                <c:pt idx="167">
                  <c:v>2.2665239612127621</c:v>
                </c:pt>
                <c:pt idx="168">
                  <c:v>0.50267048083958699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2.8515696384297637</c:v>
                </c:pt>
                <c:pt idx="177">
                  <c:v>1.9753111994832171</c:v>
                </c:pt>
                <c:pt idx="178">
                  <c:v>0.92563316887902047</c:v>
                </c:pt>
                <c:pt idx="179">
                  <c:v>-0.21601377837397351</c:v>
                </c:pt>
                <c:pt idx="180">
                  <c:v>-1.4157664759720063</c:v>
                </c:pt>
                <c:pt idx="181">
                  <c:v>-2.6556123420946562</c:v>
                </c:pt>
                <c:pt idx="182">
                  <c:v>-3.9245681685754725</c:v>
                </c:pt>
                <c:pt idx="183">
                  <c:v>-5.2153144569239593</c:v>
                </c:pt>
                <c:pt idx="184">
                  <c:v>-6.5226550874579061</c:v>
                </c:pt>
                <c:pt idx="185">
                  <c:v>-7.8427215966531474</c:v>
                </c:pt>
                <c:pt idx="186">
                  <c:v>-9.1725245020797033</c:v>
                </c:pt>
                <c:pt idx="187">
                  <c:v>-10.509682805443534</c:v>
                </c:pt>
                <c:pt idx="188">
                  <c:v>-11.852251962601201</c:v>
                </c:pt>
                <c:pt idx="189">
                  <c:v>-13.198609507350314</c:v>
                </c:pt>
                <c:pt idx="190">
                  <c:v>-14.547376030315508</c:v>
                </c:pt>
                <c:pt idx="191">
                  <c:v>-15.897358663204308</c:v>
                </c:pt>
                <c:pt idx="192">
                  <c:v>-17.247509325359044</c:v>
                </c:pt>
                <c:pt idx="193">
                  <c:v>-18.596892885306229</c:v>
                </c:pt>
                <c:pt idx="194">
                  <c:v>-19.944662101015112</c:v>
                </c:pt>
                <c:pt idx="195">
                  <c:v>-21.290037250525245</c:v>
                </c:pt>
                <c:pt idx="196">
                  <c:v>-22.632289027455251</c:v>
                </c:pt>
                <c:pt idx="197">
                  <c:v>-23.97072370792359</c:v>
                </c:pt>
                <c:pt idx="198">
                  <c:v>-25.30466988534544</c:v>
                </c:pt>
                <c:pt idx="199">
                  <c:v>-26.633466270137497</c:v>
                </c:pt>
                <c:pt idx="200">
                  <c:v>-27.956450194805811</c:v>
                </c:pt>
                <c:pt idx="201">
                  <c:v>-29.272946571435931</c:v>
                </c:pt>
                <c:pt idx="202">
                  <c:v>-30.582257131227855</c:v>
                </c:pt>
                <c:pt idx="203">
                  <c:v>-31.883649842884822</c:v>
                </c:pt>
                <c:pt idx="204">
                  <c:v>-33.176348463939625</c:v>
                </c:pt>
                <c:pt idx="205">
                  <c:v>-34.459522230103559</c:v>
                </c:pt>
                <c:pt idx="206">
                  <c:v>-35.732275734705851</c:v>
                </c:pt>
                <c:pt idx="207">
                  <c:v>-36.99363909448315</c:v>
                </c:pt>
                <c:pt idx="208">
                  <c:v>-38.242558539797471</c:v>
                </c:pt>
                <c:pt idx="209">
                  <c:v>-39.477887606536221</c:v>
                </c:pt>
                <c:pt idx="210">
                  <c:v>-40.698379142616446</c:v>
                </c:pt>
                <c:pt idx="211">
                  <c:v>-41.902678372794895</c:v>
                </c:pt>
                <c:pt idx="212">
                  <c:v>-43.089317289558807</c:v>
                </c:pt>
                <c:pt idx="213">
                  <c:v>-44.25671065311036</c:v>
                </c:pt>
                <c:pt idx="214">
                  <c:v>-45.403153887555582</c:v>
                </c:pt>
                <c:pt idx="215">
                  <c:v>-46.526823151096757</c:v>
                </c:pt>
                <c:pt idx="216">
                  <c:v>-47.625777833297384</c:v>
                </c:pt>
                <c:pt idx="217">
                  <c:v>-48.697965690882285</c:v>
                </c:pt>
                <c:pt idx="218">
                  <c:v>-49.741230774414589</c:v>
                </c:pt>
                <c:pt idx="219">
                  <c:v>-50.753324222038465</c:v>
                </c:pt>
                <c:pt idx="220">
                  <c:v>-51.731917905092047</c:v>
                </c:pt>
                <c:pt idx="221">
                  <c:v>-52.674620807053785</c:v>
                </c:pt>
                <c:pt idx="222">
                  <c:v>-53.578997906712083</c:v>
                </c:pt>
                <c:pt idx="223">
                  <c:v>-54.442591224662408</c:v>
                </c:pt>
                <c:pt idx="224">
                  <c:v>-55.262942586197084</c:v>
                </c:pt>
                <c:pt idx="225">
                  <c:v>-56.037617560739605</c:v>
                </c:pt>
                <c:pt idx="226">
                  <c:v>-56.764229965340405</c:v>
                </c:pt>
                <c:pt idx="227">
                  <c:v>-57.440466273599569</c:v>
                </c:pt>
                <c:pt idx="228">
                  <c:v>-58.064109256288212</c:v>
                </c:pt>
                <c:pt idx="229">
                  <c:v>-58.633060198267984</c:v>
                </c:pt>
                <c:pt idx="230">
                  <c:v>-59.145359087855262</c:v>
                </c:pt>
                <c:pt idx="231">
                  <c:v>-59.599202256688159</c:v>
                </c:pt>
                <c:pt idx="232">
                  <c:v>-59.992957055132891</c:v>
                </c:pt>
                <c:pt idx="233">
                  <c:v>-60.325173273076174</c:v>
                </c:pt>
                <c:pt idx="234">
                  <c:v>-60.594591150128096</c:v>
                </c:pt>
                <c:pt idx="235">
                  <c:v>-60.800145953957085</c:v>
                </c:pt>
                <c:pt idx="236">
                  <c:v>-60.940969232303956</c:v>
                </c:pt>
                <c:pt idx="237">
                  <c:v>-61.016386955989681</c:v>
                </c:pt>
                <c:pt idx="238">
                  <c:v>-61.025914861512376</c:v>
                </c:pt>
                <c:pt idx="239">
                  <c:v>-60.969251369261414</c:v>
                </c:pt>
              </c:numCache>
            </c:numRef>
          </c:xVal>
          <c:yVal>
            <c:numRef>
              <c:f>CALC60!$DB$6:$DB$581</c:f>
              <c:numCache>
                <c:formatCode>General</c:formatCode>
                <c:ptCount val="576"/>
              </c:numCache>
            </c:numRef>
          </c:yVal>
          <c:smooth val="0"/>
        </c:ser>
        <c:ser>
          <c:idx val="55"/>
          <c:order val="55"/>
          <c:tx>
            <c:strRef>
              <c:f>CALC60!$DC$5</c:f>
              <c:strCache>
                <c:ptCount val="1"/>
                <c:pt idx="0">
                  <c:v>R54</c:v>
                </c:pt>
              </c:strCache>
            </c:strRef>
          </c:tx>
          <c:spPr>
            <a:ln w="28575">
              <a:noFill/>
            </a:ln>
          </c:spPr>
          <c:xVal>
            <c:numRef>
              <c:f>CALC60!$AY$6:$AY$581</c:f>
              <c:numCache>
                <c:formatCode>General</c:formatCode>
                <c:ptCount val="576"/>
                <c:pt idx="0">
                  <c:v>-19.833506546880365</c:v>
                </c:pt>
                <c:pt idx="1">
                  <c:v>-18.245852614565919</c:v>
                </c:pt>
                <c:pt idx="2">
                  <c:v>-16.629666681765414</c:v>
                </c:pt>
                <c:pt idx="3">
                  <c:v>-14.98231154257417</c:v>
                </c:pt>
                <c:pt idx="4">
                  <c:v>-13.301143585556035</c:v>
                </c:pt>
                <c:pt idx="5">
                  <c:v>-11.583569246398675</c:v>
                </c:pt>
                <c:pt idx="6">
                  <c:v>-9.8270793278644781</c:v>
                </c:pt>
                <c:pt idx="7">
                  <c:v>-8.029252658232803</c:v>
                </c:pt>
                <c:pt idx="8">
                  <c:v>-6.1877185053343773</c:v>
                </c:pt>
                <c:pt idx="9">
                  <c:v>-4.3000630515963358</c:v>
                </c:pt>
                <c:pt idx="10">
                  <c:v>-2.3636564525099644</c:v>
                </c:pt>
                <c:pt idx="11">
                  <c:v>-0.37535794962416702</c:v>
                </c:pt>
                <c:pt idx="12">
                  <c:v>-3.0678010204149508</c:v>
                </c:pt>
                <c:pt idx="13">
                  <c:v>5.8156608222448263</c:v>
                </c:pt>
                <c:pt idx="14">
                  <c:v>-8.9906603193697858</c:v>
                </c:pt>
                <c:pt idx="15">
                  <c:v>-19.434156555154736</c:v>
                </c:pt>
                <c:pt idx="16">
                  <c:v>-12</c:v>
                </c:pt>
                <c:pt idx="17">
                  <c:v>-29.167117021908272</c:v>
                </c:pt>
                <c:pt idx="18">
                  <c:v>-14</c:v>
                </c:pt>
                <c:pt idx="19">
                  <c:v>-19.833506546880365</c:v>
                </c:pt>
                <c:pt idx="20">
                  <c:v>1.5130248501190131</c:v>
                </c:pt>
                <c:pt idx="21">
                  <c:v>12</c:v>
                </c:pt>
                <c:pt idx="22">
                  <c:v>-12</c:v>
                </c:pt>
                <c:pt idx="23">
                  <c:v>-28.772550131225248</c:v>
                </c:pt>
                <c:pt idx="24">
                  <c:v>-11.666666666666666</c:v>
                </c:pt>
                <c:pt idx="25">
                  <c:v>-18.245852614565919</c:v>
                </c:pt>
                <c:pt idx="26">
                  <c:v>4.3925078710812571</c:v>
                </c:pt>
                <c:pt idx="27">
                  <c:v>12</c:v>
                </c:pt>
                <c:pt idx="28">
                  <c:v>-12</c:v>
                </c:pt>
                <c:pt idx="29">
                  <c:v>-28.303800039278563</c:v>
                </c:pt>
                <c:pt idx="30">
                  <c:v>-9.3333333333333321</c:v>
                </c:pt>
                <c:pt idx="31">
                  <c:v>-16.629666681765414</c:v>
                </c:pt>
                <c:pt idx="32">
                  <c:v>6.4527131206909987</c:v>
                </c:pt>
                <c:pt idx="33">
                  <c:v>12</c:v>
                </c:pt>
                <c:pt idx="34">
                  <c:v>-12</c:v>
                </c:pt>
                <c:pt idx="35">
                  <c:v>-27.754010010716058</c:v>
                </c:pt>
                <c:pt idx="36">
                  <c:v>-6.9999999999999982</c:v>
                </c:pt>
                <c:pt idx="37">
                  <c:v>-14.98231154257417</c:v>
                </c:pt>
                <c:pt idx="38">
                  <c:v>8.2375052570320868</c:v>
                </c:pt>
                <c:pt idx="39">
                  <c:v>12</c:v>
                </c:pt>
                <c:pt idx="40">
                  <c:v>-12</c:v>
                </c:pt>
                <c:pt idx="41">
                  <c:v>-27.116306655803694</c:v>
                </c:pt>
                <c:pt idx="42">
                  <c:v>-4.6666666666666643</c:v>
                </c:pt>
                <c:pt idx="43">
                  <c:v>-13.301143585556035</c:v>
                </c:pt>
                <c:pt idx="44">
                  <c:v>9.8664661885771885</c:v>
                </c:pt>
                <c:pt idx="45">
                  <c:v>12</c:v>
                </c:pt>
                <c:pt idx="46">
                  <c:v>-12</c:v>
                </c:pt>
                <c:pt idx="47">
                  <c:v>-26.383946707329393</c:v>
                </c:pt>
                <c:pt idx="48">
                  <c:v>-2.3333333333333308</c:v>
                </c:pt>
                <c:pt idx="49">
                  <c:v>-11.583569246398675</c:v>
                </c:pt>
                <c:pt idx="50">
                  <c:v>11.388844623449907</c:v>
                </c:pt>
                <c:pt idx="51">
                  <c:v>12</c:v>
                </c:pt>
                <c:pt idx="52">
                  <c:v>-12</c:v>
                </c:pt>
                <c:pt idx="53">
                  <c:v>-25.550406252475348</c:v>
                </c:pt>
                <c:pt idx="54">
                  <c:v>0</c:v>
                </c:pt>
                <c:pt idx="55">
                  <c:v>-9.8270793278644781</c:v>
                </c:pt>
                <c:pt idx="56">
                  <c:v>12.829698097369761</c:v>
                </c:pt>
                <c:pt idx="57">
                  <c:v>12</c:v>
                </c:pt>
                <c:pt idx="58">
                  <c:v>-12</c:v>
                </c:pt>
                <c:pt idx="59">
                  <c:v>-24.609390244767855</c:v>
                </c:pt>
                <c:pt idx="60">
                  <c:v>2.3333333333333335</c:v>
                </c:pt>
                <c:pt idx="61">
                  <c:v>-8.029252658232803</c:v>
                </c:pt>
                <c:pt idx="62">
                  <c:v>14.203132463376605</c:v>
                </c:pt>
                <c:pt idx="63">
                  <c:v>12</c:v>
                </c:pt>
                <c:pt idx="64">
                  <c:v>-12</c:v>
                </c:pt>
                <c:pt idx="65">
                  <c:v>-23.554734780566797</c:v>
                </c:pt>
                <c:pt idx="66">
                  <c:v>4.666666666666667</c:v>
                </c:pt>
                <c:pt idx="67">
                  <c:v>-6.1877185053343773</c:v>
                </c:pt>
                <c:pt idx="68">
                  <c:v>15.517506829265256</c:v>
                </c:pt>
                <c:pt idx="69">
                  <c:v>12</c:v>
                </c:pt>
                <c:pt idx="70">
                  <c:v>-12</c:v>
                </c:pt>
                <c:pt idx="71">
                  <c:v>-22.380163934182676</c:v>
                </c:pt>
                <c:pt idx="72">
                  <c:v>7</c:v>
                </c:pt>
                <c:pt idx="73">
                  <c:v>-4.3000630515963358</c:v>
                </c:pt>
                <c:pt idx="74">
                  <c:v>16.777941702150098</c:v>
                </c:pt>
                <c:pt idx="75">
                  <c:v>12</c:v>
                </c:pt>
                <c:pt idx="76">
                  <c:v>-12</c:v>
                </c:pt>
                <c:pt idx="77">
                  <c:v>-21.078840109892809</c:v>
                </c:pt>
                <c:pt idx="78">
                  <c:v>9.3333333333333339</c:v>
                </c:pt>
                <c:pt idx="79">
                  <c:v>-2.3636564525099644</c:v>
                </c:pt>
                <c:pt idx="80">
                  <c:v>17.987756355580007</c:v>
                </c:pt>
                <c:pt idx="81">
                  <c:v>12</c:v>
                </c:pt>
                <c:pt idx="82">
                  <c:v>-12</c:v>
                </c:pt>
                <c:pt idx="83">
                  <c:v>-19.642597335724307</c:v>
                </c:pt>
                <c:pt idx="84">
                  <c:v>11.666666666666668</c:v>
                </c:pt>
                <c:pt idx="85">
                  <c:v>-0.37535794962416702</c:v>
                </c:pt>
                <c:pt idx="86">
                  <c:v>19.149459663035739</c:v>
                </c:pt>
                <c:pt idx="87">
                  <c:v>12</c:v>
                </c:pt>
                <c:pt idx="88">
                  <c:v>-12</c:v>
                </c:pt>
                <c:pt idx="89">
                  <c:v>-30.376282653093735</c:v>
                </c:pt>
                <c:pt idx="90">
                  <c:v>14.000000000000002</c:v>
                </c:pt>
                <c:pt idx="91">
                  <c:v>-3.0678010204149508</c:v>
                </c:pt>
                <c:pt idx="92">
                  <c:v>26.896999319700733</c:v>
                </c:pt>
                <c:pt idx="93">
                  <c:v>12</c:v>
                </c:pt>
                <c:pt idx="94">
                  <c:v>-12</c:v>
                </c:pt>
                <c:pt idx="95">
                  <c:v>-24.879281862192261</c:v>
                </c:pt>
                <c:pt idx="96">
                  <c:v>25</c:v>
                </c:pt>
                <c:pt idx="97">
                  <c:v>5.8156608222448263</c:v>
                </c:pt>
                <c:pt idx="98">
                  <c:v>31.34962606454722</c:v>
                </c:pt>
                <c:pt idx="99">
                  <c:v>12</c:v>
                </c:pt>
                <c:pt idx="100">
                  <c:v>-12</c:v>
                </c:pt>
                <c:pt idx="101">
                  <c:v>-23.375716830330454</c:v>
                </c:pt>
                <c:pt idx="102">
                  <c:v>0</c:v>
                </c:pt>
                <c:pt idx="103">
                  <c:v>-8.9906603193697858</c:v>
                </c:pt>
                <c:pt idx="104">
                  <c:v>22.648032351271631</c:v>
                </c:pt>
                <c:pt idx="105">
                  <c:v>12</c:v>
                </c:pt>
                <c:pt idx="106">
                  <c:v>-12</c:v>
                </c:pt>
                <c:pt idx="107">
                  <c:v>-10.52880704336475</c:v>
                </c:pt>
                <c:pt idx="108">
                  <c:v>-25</c:v>
                </c:pt>
                <c:pt idx="109">
                  <c:v>-19.434156555154736</c:v>
                </c:pt>
                <c:pt idx="110">
                  <c:v>20.32293673094285</c:v>
                </c:pt>
                <c:pt idx="111">
                  <c:v>12</c:v>
                </c:pt>
                <c:pt idx="112">
                  <c:v>60</c:v>
                </c:pt>
                <c:pt idx="113">
                  <c:v>59.977621104822219</c:v>
                </c:pt>
                <c:pt idx="114">
                  <c:v>59.910498330815244</c:v>
                </c:pt>
                <c:pt idx="115">
                  <c:v>59.7986734039103</c:v>
                </c:pt>
                <c:pt idx="116">
                  <c:v>59.642215838505066</c:v>
                </c:pt>
                <c:pt idx="117">
                  <c:v>59.441222894251112</c:v>
                </c:pt>
                <c:pt idx="118">
                  <c:v>59.195819515593755</c:v>
                </c:pt>
                <c:pt idx="119">
                  <c:v>58.906158254102053</c:v>
                </c:pt>
                <c:pt idx="120">
                  <c:v>58.572419173637371</c:v>
                </c:pt>
                <c:pt idx="121">
                  <c:v>58.19480973841911</c:v>
                </c:pt>
                <c:pt idx="122">
                  <c:v>57.77356468405749</c:v>
                </c:pt>
                <c:pt idx="123">
                  <c:v>57.308945871633512</c:v>
                </c:pt>
                <c:pt idx="124">
                  <c:v>56.801242124916655</c:v>
                </c:pt>
                <c:pt idx="125">
                  <c:v>56.250769050821617</c:v>
                </c:pt>
                <c:pt idx="126">
                  <c:v>55.657868843215709</c:v>
                </c:pt>
                <c:pt idx="127">
                  <c:v>55.022910070198847</c:v>
                </c:pt>
                <c:pt idx="128">
                  <c:v>54.346287444988349</c:v>
                </c:pt>
                <c:pt idx="129">
                  <c:v>53.628421580551006</c:v>
                </c:pt>
                <c:pt idx="130">
                  <c:v>52.869758728134926</c:v>
                </c:pt>
                <c:pt idx="131">
                  <c:v>52.070770499863713</c:v>
                </c:pt>
                <c:pt idx="132">
                  <c:v>51.231953575565385</c:v>
                </c:pt>
                <c:pt idx="133">
                  <c:v>50.353829394018334</c:v>
                </c:pt>
                <c:pt idx="134">
                  <c:v>49.436943828806236</c:v>
                </c:pt>
                <c:pt idx="135">
                  <c:v>48.481866848983351</c:v>
                </c:pt>
                <c:pt idx="136">
                  <c:v>47.489192164761299</c:v>
                </c:pt>
                <c:pt idx="137">
                  <c:v>46.45953685843741</c:v>
                </c:pt>
                <c:pt idx="138">
                  <c:v>45.39354100079418</c:v>
                </c:pt>
                <c:pt idx="139">
                  <c:v>44.29186725320821</c:v>
                </c:pt>
                <c:pt idx="140">
                  <c:v>43.155200455716098</c:v>
                </c:pt>
                <c:pt idx="141">
                  <c:v>41.984247201293201</c:v>
                </c:pt>
                <c:pt idx="142">
                  <c:v>40.779735396610057</c:v>
                </c:pt>
                <c:pt idx="143">
                  <c:v>39.542413809539362</c:v>
                </c:pt>
                <c:pt idx="144">
                  <c:v>38.27305160369496</c:v>
                </c:pt>
                <c:pt idx="145">
                  <c:v>36.97243786029204</c:v>
                </c:pt>
                <c:pt idx="146">
                  <c:v>35.641381087625909</c:v>
                </c:pt>
                <c:pt idx="147">
                  <c:v>34.280708718474088</c:v>
                </c:pt>
                <c:pt idx="148">
                  <c:v>32.891266595734379</c:v>
                </c:pt>
                <c:pt idx="149">
                  <c:v>31.473918446618441</c:v>
                </c:pt>
                <c:pt idx="150">
                  <c:v>30.029545345727961</c:v>
                </c:pt>
                <c:pt idx="151">
                  <c:v>28.559045167346859</c:v>
                </c:pt>
                <c:pt idx="152">
                  <c:v>27.063332027290457</c:v>
                </c:pt>
                <c:pt idx="153">
                  <c:v>25.54333571465812</c:v>
                </c:pt>
                <c:pt idx="154">
                  <c:v>24.00000111384292</c:v>
                </c:pt>
                <c:pt idx="155">
                  <c:v>22.434287617157558</c:v>
                </c:pt>
                <c:pt idx="156">
                  <c:v>20.847168528441451</c:v>
                </c:pt>
                <c:pt idx="157">
                  <c:v>19.239630458020226</c:v>
                </c:pt>
                <c:pt idx="158">
                  <c:v>17.612672709393095</c:v>
                </c:pt>
                <c:pt idx="159">
                  <c:v>15.967306658029923</c:v>
                </c:pt>
                <c:pt idx="160">
                  <c:v>14.304555122663807</c:v>
                </c:pt>
                <c:pt idx="161">
                  <c:v>12.625451729470267</c:v>
                </c:pt>
                <c:pt idx="162">
                  <c:v>10.931040269527855</c:v>
                </c:pt>
                <c:pt idx="163">
                  <c:v>9.2223740499601874</c:v>
                </c:pt>
                <c:pt idx="164">
                  <c:v>7.50051523916229</c:v>
                </c:pt>
                <c:pt idx="165">
                  <c:v>5.7665342065185783</c:v>
                </c:pt>
                <c:pt idx="166">
                  <c:v>4.0215088570226385</c:v>
                </c:pt>
                <c:pt idx="167">
                  <c:v>2.2665239612127621</c:v>
                </c:pt>
                <c:pt idx="168">
                  <c:v>0.50267048083958699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2.8515696384297637</c:v>
                </c:pt>
                <c:pt idx="177">
                  <c:v>1.9753111994832171</c:v>
                </c:pt>
                <c:pt idx="178">
                  <c:v>0.92563316887902047</c:v>
                </c:pt>
                <c:pt idx="179">
                  <c:v>-0.21601377837397351</c:v>
                </c:pt>
                <c:pt idx="180">
                  <c:v>-1.4157664759720063</c:v>
                </c:pt>
                <c:pt idx="181">
                  <c:v>-2.6556123420946562</c:v>
                </c:pt>
                <c:pt idx="182">
                  <c:v>-3.9245681685754725</c:v>
                </c:pt>
                <c:pt idx="183">
                  <c:v>-5.2153144569239593</c:v>
                </c:pt>
                <c:pt idx="184">
                  <c:v>-6.5226550874579061</c:v>
                </c:pt>
                <c:pt idx="185">
                  <c:v>-7.8427215966531474</c:v>
                </c:pt>
                <c:pt idx="186">
                  <c:v>-9.1725245020797033</c:v>
                </c:pt>
                <c:pt idx="187">
                  <c:v>-10.509682805443534</c:v>
                </c:pt>
                <c:pt idx="188">
                  <c:v>-11.852251962601201</c:v>
                </c:pt>
                <c:pt idx="189">
                  <c:v>-13.198609507350314</c:v>
                </c:pt>
                <c:pt idx="190">
                  <c:v>-14.547376030315508</c:v>
                </c:pt>
                <c:pt idx="191">
                  <c:v>-15.897358663204308</c:v>
                </c:pt>
                <c:pt idx="192">
                  <c:v>-17.247509325359044</c:v>
                </c:pt>
                <c:pt idx="193">
                  <c:v>-18.596892885306229</c:v>
                </c:pt>
                <c:pt idx="194">
                  <c:v>-19.944662101015112</c:v>
                </c:pt>
                <c:pt idx="195">
                  <c:v>-21.290037250525245</c:v>
                </c:pt>
                <c:pt idx="196">
                  <c:v>-22.632289027455251</c:v>
                </c:pt>
                <c:pt idx="197">
                  <c:v>-23.97072370792359</c:v>
                </c:pt>
                <c:pt idx="198">
                  <c:v>-25.30466988534544</c:v>
                </c:pt>
                <c:pt idx="199">
                  <c:v>-26.633466270137497</c:v>
                </c:pt>
                <c:pt idx="200">
                  <c:v>-27.956450194805811</c:v>
                </c:pt>
                <c:pt idx="201">
                  <c:v>-29.272946571435931</c:v>
                </c:pt>
                <c:pt idx="202">
                  <c:v>-30.582257131227855</c:v>
                </c:pt>
                <c:pt idx="203">
                  <c:v>-31.883649842884822</c:v>
                </c:pt>
                <c:pt idx="204">
                  <c:v>-33.176348463939625</c:v>
                </c:pt>
                <c:pt idx="205">
                  <c:v>-34.459522230103559</c:v>
                </c:pt>
                <c:pt idx="206">
                  <c:v>-35.732275734705851</c:v>
                </c:pt>
                <c:pt idx="207">
                  <c:v>-36.99363909448315</c:v>
                </c:pt>
                <c:pt idx="208">
                  <c:v>-38.242558539797471</c:v>
                </c:pt>
                <c:pt idx="209">
                  <c:v>-39.477887606536221</c:v>
                </c:pt>
                <c:pt idx="210">
                  <c:v>-40.698379142616446</c:v>
                </c:pt>
                <c:pt idx="211">
                  <c:v>-41.902678372794895</c:v>
                </c:pt>
                <c:pt idx="212">
                  <c:v>-43.089317289558807</c:v>
                </c:pt>
                <c:pt idx="213">
                  <c:v>-44.25671065311036</c:v>
                </c:pt>
                <c:pt idx="214">
                  <c:v>-45.403153887555582</c:v>
                </c:pt>
                <c:pt idx="215">
                  <c:v>-46.526823151096757</c:v>
                </c:pt>
                <c:pt idx="216">
                  <c:v>-47.625777833297384</c:v>
                </c:pt>
                <c:pt idx="217">
                  <c:v>-48.697965690882285</c:v>
                </c:pt>
                <c:pt idx="218">
                  <c:v>-49.741230774414589</c:v>
                </c:pt>
                <c:pt idx="219">
                  <c:v>-50.753324222038465</c:v>
                </c:pt>
                <c:pt idx="220">
                  <c:v>-51.731917905092047</c:v>
                </c:pt>
                <c:pt idx="221">
                  <c:v>-52.674620807053785</c:v>
                </c:pt>
                <c:pt idx="222">
                  <c:v>-53.578997906712083</c:v>
                </c:pt>
                <c:pt idx="223">
                  <c:v>-54.442591224662408</c:v>
                </c:pt>
                <c:pt idx="224">
                  <c:v>-55.262942586197084</c:v>
                </c:pt>
                <c:pt idx="225">
                  <c:v>-56.037617560739605</c:v>
                </c:pt>
                <c:pt idx="226">
                  <c:v>-56.764229965340405</c:v>
                </c:pt>
                <c:pt idx="227">
                  <c:v>-57.440466273599569</c:v>
                </c:pt>
                <c:pt idx="228">
                  <c:v>-58.064109256288212</c:v>
                </c:pt>
                <c:pt idx="229">
                  <c:v>-58.633060198267984</c:v>
                </c:pt>
                <c:pt idx="230">
                  <c:v>-59.145359087855262</c:v>
                </c:pt>
                <c:pt idx="231">
                  <c:v>-59.599202256688159</c:v>
                </c:pt>
                <c:pt idx="232">
                  <c:v>-59.992957055132891</c:v>
                </c:pt>
                <c:pt idx="233">
                  <c:v>-60.325173273076174</c:v>
                </c:pt>
                <c:pt idx="234">
                  <c:v>-60.594591150128096</c:v>
                </c:pt>
                <c:pt idx="235">
                  <c:v>-60.800145953957085</c:v>
                </c:pt>
                <c:pt idx="236">
                  <c:v>-60.940969232303956</c:v>
                </c:pt>
                <c:pt idx="237">
                  <c:v>-61.016386955989681</c:v>
                </c:pt>
                <c:pt idx="238">
                  <c:v>-61.025914861512376</c:v>
                </c:pt>
                <c:pt idx="239">
                  <c:v>-60.969251369261414</c:v>
                </c:pt>
              </c:numCache>
            </c:numRef>
          </c:xVal>
          <c:yVal>
            <c:numRef>
              <c:f>CALC60!$DC$6:$DC$581</c:f>
              <c:numCache>
                <c:formatCode>General</c:formatCode>
                <c:ptCount val="576"/>
              </c:numCache>
            </c:numRef>
          </c:yVal>
          <c:smooth val="0"/>
        </c:ser>
        <c:ser>
          <c:idx val="56"/>
          <c:order val="56"/>
          <c:tx>
            <c:strRef>
              <c:f>CALC60!$DD$5</c:f>
              <c:strCache>
                <c:ptCount val="1"/>
                <c:pt idx="0">
                  <c:v>R55</c:v>
                </c:pt>
              </c:strCache>
            </c:strRef>
          </c:tx>
          <c:spPr>
            <a:ln w="28575">
              <a:noFill/>
            </a:ln>
          </c:spPr>
          <c:xVal>
            <c:numRef>
              <c:f>CALC60!$AY$6:$AY$581</c:f>
              <c:numCache>
                <c:formatCode>General</c:formatCode>
                <c:ptCount val="576"/>
                <c:pt idx="0">
                  <c:v>-19.833506546880365</c:v>
                </c:pt>
                <c:pt idx="1">
                  <c:v>-18.245852614565919</c:v>
                </c:pt>
                <c:pt idx="2">
                  <c:v>-16.629666681765414</c:v>
                </c:pt>
                <c:pt idx="3">
                  <c:v>-14.98231154257417</c:v>
                </c:pt>
                <c:pt idx="4">
                  <c:v>-13.301143585556035</c:v>
                </c:pt>
                <c:pt idx="5">
                  <c:v>-11.583569246398675</c:v>
                </c:pt>
                <c:pt idx="6">
                  <c:v>-9.8270793278644781</c:v>
                </c:pt>
                <c:pt idx="7">
                  <c:v>-8.029252658232803</c:v>
                </c:pt>
                <c:pt idx="8">
                  <c:v>-6.1877185053343773</c:v>
                </c:pt>
                <c:pt idx="9">
                  <c:v>-4.3000630515963358</c:v>
                </c:pt>
                <c:pt idx="10">
                  <c:v>-2.3636564525099644</c:v>
                </c:pt>
                <c:pt idx="11">
                  <c:v>-0.37535794962416702</c:v>
                </c:pt>
                <c:pt idx="12">
                  <c:v>-3.0678010204149508</c:v>
                </c:pt>
                <c:pt idx="13">
                  <c:v>5.8156608222448263</c:v>
                </c:pt>
                <c:pt idx="14">
                  <c:v>-8.9906603193697858</c:v>
                </c:pt>
                <c:pt idx="15">
                  <c:v>-19.434156555154736</c:v>
                </c:pt>
                <c:pt idx="16">
                  <c:v>-12</c:v>
                </c:pt>
                <c:pt idx="17">
                  <c:v>-29.167117021908272</c:v>
                </c:pt>
                <c:pt idx="18">
                  <c:v>-14</c:v>
                </c:pt>
                <c:pt idx="19">
                  <c:v>-19.833506546880365</c:v>
                </c:pt>
                <c:pt idx="20">
                  <c:v>1.5130248501190131</c:v>
                </c:pt>
                <c:pt idx="21">
                  <c:v>12</c:v>
                </c:pt>
                <c:pt idx="22">
                  <c:v>-12</c:v>
                </c:pt>
                <c:pt idx="23">
                  <c:v>-28.772550131225248</c:v>
                </c:pt>
                <c:pt idx="24">
                  <c:v>-11.666666666666666</c:v>
                </c:pt>
                <c:pt idx="25">
                  <c:v>-18.245852614565919</c:v>
                </c:pt>
                <c:pt idx="26">
                  <c:v>4.3925078710812571</c:v>
                </c:pt>
                <c:pt idx="27">
                  <c:v>12</c:v>
                </c:pt>
                <c:pt idx="28">
                  <c:v>-12</c:v>
                </c:pt>
                <c:pt idx="29">
                  <c:v>-28.303800039278563</c:v>
                </c:pt>
                <c:pt idx="30">
                  <c:v>-9.3333333333333321</c:v>
                </c:pt>
                <c:pt idx="31">
                  <c:v>-16.629666681765414</c:v>
                </c:pt>
                <c:pt idx="32">
                  <c:v>6.4527131206909987</c:v>
                </c:pt>
                <c:pt idx="33">
                  <c:v>12</c:v>
                </c:pt>
                <c:pt idx="34">
                  <c:v>-12</c:v>
                </c:pt>
                <c:pt idx="35">
                  <c:v>-27.754010010716058</c:v>
                </c:pt>
                <c:pt idx="36">
                  <c:v>-6.9999999999999982</c:v>
                </c:pt>
                <c:pt idx="37">
                  <c:v>-14.98231154257417</c:v>
                </c:pt>
                <c:pt idx="38">
                  <c:v>8.2375052570320868</c:v>
                </c:pt>
                <c:pt idx="39">
                  <c:v>12</c:v>
                </c:pt>
                <c:pt idx="40">
                  <c:v>-12</c:v>
                </c:pt>
                <c:pt idx="41">
                  <c:v>-27.116306655803694</c:v>
                </c:pt>
                <c:pt idx="42">
                  <c:v>-4.6666666666666643</c:v>
                </c:pt>
                <c:pt idx="43">
                  <c:v>-13.301143585556035</c:v>
                </c:pt>
                <c:pt idx="44">
                  <c:v>9.8664661885771885</c:v>
                </c:pt>
                <c:pt idx="45">
                  <c:v>12</c:v>
                </c:pt>
                <c:pt idx="46">
                  <c:v>-12</c:v>
                </c:pt>
                <c:pt idx="47">
                  <c:v>-26.383946707329393</c:v>
                </c:pt>
                <c:pt idx="48">
                  <c:v>-2.3333333333333308</c:v>
                </c:pt>
                <c:pt idx="49">
                  <c:v>-11.583569246398675</c:v>
                </c:pt>
                <c:pt idx="50">
                  <c:v>11.388844623449907</c:v>
                </c:pt>
                <c:pt idx="51">
                  <c:v>12</c:v>
                </c:pt>
                <c:pt idx="52">
                  <c:v>-12</c:v>
                </c:pt>
                <c:pt idx="53">
                  <c:v>-25.550406252475348</c:v>
                </c:pt>
                <c:pt idx="54">
                  <c:v>0</c:v>
                </c:pt>
                <c:pt idx="55">
                  <c:v>-9.8270793278644781</c:v>
                </c:pt>
                <c:pt idx="56">
                  <c:v>12.829698097369761</c:v>
                </c:pt>
                <c:pt idx="57">
                  <c:v>12</c:v>
                </c:pt>
                <c:pt idx="58">
                  <c:v>-12</c:v>
                </c:pt>
                <c:pt idx="59">
                  <c:v>-24.609390244767855</c:v>
                </c:pt>
                <c:pt idx="60">
                  <c:v>2.3333333333333335</c:v>
                </c:pt>
                <c:pt idx="61">
                  <c:v>-8.029252658232803</c:v>
                </c:pt>
                <c:pt idx="62">
                  <c:v>14.203132463376605</c:v>
                </c:pt>
                <c:pt idx="63">
                  <c:v>12</c:v>
                </c:pt>
                <c:pt idx="64">
                  <c:v>-12</c:v>
                </c:pt>
                <c:pt idx="65">
                  <c:v>-23.554734780566797</c:v>
                </c:pt>
                <c:pt idx="66">
                  <c:v>4.666666666666667</c:v>
                </c:pt>
                <c:pt idx="67">
                  <c:v>-6.1877185053343773</c:v>
                </c:pt>
                <c:pt idx="68">
                  <c:v>15.517506829265256</c:v>
                </c:pt>
                <c:pt idx="69">
                  <c:v>12</c:v>
                </c:pt>
                <c:pt idx="70">
                  <c:v>-12</c:v>
                </c:pt>
                <c:pt idx="71">
                  <c:v>-22.380163934182676</c:v>
                </c:pt>
                <c:pt idx="72">
                  <c:v>7</c:v>
                </c:pt>
                <c:pt idx="73">
                  <c:v>-4.3000630515963358</c:v>
                </c:pt>
                <c:pt idx="74">
                  <c:v>16.777941702150098</c:v>
                </c:pt>
                <c:pt idx="75">
                  <c:v>12</c:v>
                </c:pt>
                <c:pt idx="76">
                  <c:v>-12</c:v>
                </c:pt>
                <c:pt idx="77">
                  <c:v>-21.078840109892809</c:v>
                </c:pt>
                <c:pt idx="78">
                  <c:v>9.3333333333333339</c:v>
                </c:pt>
                <c:pt idx="79">
                  <c:v>-2.3636564525099644</c:v>
                </c:pt>
                <c:pt idx="80">
                  <c:v>17.987756355580007</c:v>
                </c:pt>
                <c:pt idx="81">
                  <c:v>12</c:v>
                </c:pt>
                <c:pt idx="82">
                  <c:v>-12</c:v>
                </c:pt>
                <c:pt idx="83">
                  <c:v>-19.642597335724307</c:v>
                </c:pt>
                <c:pt idx="84">
                  <c:v>11.666666666666668</c:v>
                </c:pt>
                <c:pt idx="85">
                  <c:v>-0.37535794962416702</c:v>
                </c:pt>
                <c:pt idx="86">
                  <c:v>19.149459663035739</c:v>
                </c:pt>
                <c:pt idx="87">
                  <c:v>12</c:v>
                </c:pt>
                <c:pt idx="88">
                  <c:v>-12</c:v>
                </c:pt>
                <c:pt idx="89">
                  <c:v>-30.376282653093735</c:v>
                </c:pt>
                <c:pt idx="90">
                  <c:v>14.000000000000002</c:v>
                </c:pt>
                <c:pt idx="91">
                  <c:v>-3.0678010204149508</c:v>
                </c:pt>
                <c:pt idx="92">
                  <c:v>26.896999319700733</c:v>
                </c:pt>
                <c:pt idx="93">
                  <c:v>12</c:v>
                </c:pt>
                <c:pt idx="94">
                  <c:v>-12</c:v>
                </c:pt>
                <c:pt idx="95">
                  <c:v>-24.879281862192261</c:v>
                </c:pt>
                <c:pt idx="96">
                  <c:v>25</c:v>
                </c:pt>
                <c:pt idx="97">
                  <c:v>5.8156608222448263</c:v>
                </c:pt>
                <c:pt idx="98">
                  <c:v>31.34962606454722</c:v>
                </c:pt>
                <c:pt idx="99">
                  <c:v>12</c:v>
                </c:pt>
                <c:pt idx="100">
                  <c:v>-12</c:v>
                </c:pt>
                <c:pt idx="101">
                  <c:v>-23.375716830330454</c:v>
                </c:pt>
                <c:pt idx="102">
                  <c:v>0</c:v>
                </c:pt>
                <c:pt idx="103">
                  <c:v>-8.9906603193697858</c:v>
                </c:pt>
                <c:pt idx="104">
                  <c:v>22.648032351271631</c:v>
                </c:pt>
                <c:pt idx="105">
                  <c:v>12</c:v>
                </c:pt>
                <c:pt idx="106">
                  <c:v>-12</c:v>
                </c:pt>
                <c:pt idx="107">
                  <c:v>-10.52880704336475</c:v>
                </c:pt>
                <c:pt idx="108">
                  <c:v>-25</c:v>
                </c:pt>
                <c:pt idx="109">
                  <c:v>-19.434156555154736</c:v>
                </c:pt>
                <c:pt idx="110">
                  <c:v>20.32293673094285</c:v>
                </c:pt>
                <c:pt idx="111">
                  <c:v>12</c:v>
                </c:pt>
                <c:pt idx="112">
                  <c:v>60</c:v>
                </c:pt>
                <c:pt idx="113">
                  <c:v>59.977621104822219</c:v>
                </c:pt>
                <c:pt idx="114">
                  <c:v>59.910498330815244</c:v>
                </c:pt>
                <c:pt idx="115">
                  <c:v>59.7986734039103</c:v>
                </c:pt>
                <c:pt idx="116">
                  <c:v>59.642215838505066</c:v>
                </c:pt>
                <c:pt idx="117">
                  <c:v>59.441222894251112</c:v>
                </c:pt>
                <c:pt idx="118">
                  <c:v>59.195819515593755</c:v>
                </c:pt>
                <c:pt idx="119">
                  <c:v>58.906158254102053</c:v>
                </c:pt>
                <c:pt idx="120">
                  <c:v>58.572419173637371</c:v>
                </c:pt>
                <c:pt idx="121">
                  <c:v>58.19480973841911</c:v>
                </c:pt>
                <c:pt idx="122">
                  <c:v>57.77356468405749</c:v>
                </c:pt>
                <c:pt idx="123">
                  <c:v>57.308945871633512</c:v>
                </c:pt>
                <c:pt idx="124">
                  <c:v>56.801242124916655</c:v>
                </c:pt>
                <c:pt idx="125">
                  <c:v>56.250769050821617</c:v>
                </c:pt>
                <c:pt idx="126">
                  <c:v>55.657868843215709</c:v>
                </c:pt>
                <c:pt idx="127">
                  <c:v>55.022910070198847</c:v>
                </c:pt>
                <c:pt idx="128">
                  <c:v>54.346287444988349</c:v>
                </c:pt>
                <c:pt idx="129">
                  <c:v>53.628421580551006</c:v>
                </c:pt>
                <c:pt idx="130">
                  <c:v>52.869758728134926</c:v>
                </c:pt>
                <c:pt idx="131">
                  <c:v>52.070770499863713</c:v>
                </c:pt>
                <c:pt idx="132">
                  <c:v>51.231953575565385</c:v>
                </c:pt>
                <c:pt idx="133">
                  <c:v>50.353829394018334</c:v>
                </c:pt>
                <c:pt idx="134">
                  <c:v>49.436943828806236</c:v>
                </c:pt>
                <c:pt idx="135">
                  <c:v>48.481866848983351</c:v>
                </c:pt>
                <c:pt idx="136">
                  <c:v>47.489192164761299</c:v>
                </c:pt>
                <c:pt idx="137">
                  <c:v>46.45953685843741</c:v>
                </c:pt>
                <c:pt idx="138">
                  <c:v>45.39354100079418</c:v>
                </c:pt>
                <c:pt idx="139">
                  <c:v>44.29186725320821</c:v>
                </c:pt>
                <c:pt idx="140">
                  <c:v>43.155200455716098</c:v>
                </c:pt>
                <c:pt idx="141">
                  <c:v>41.984247201293201</c:v>
                </c:pt>
                <c:pt idx="142">
                  <c:v>40.779735396610057</c:v>
                </c:pt>
                <c:pt idx="143">
                  <c:v>39.542413809539362</c:v>
                </c:pt>
                <c:pt idx="144">
                  <c:v>38.27305160369496</c:v>
                </c:pt>
                <c:pt idx="145">
                  <c:v>36.97243786029204</c:v>
                </c:pt>
                <c:pt idx="146">
                  <c:v>35.641381087625909</c:v>
                </c:pt>
                <c:pt idx="147">
                  <c:v>34.280708718474088</c:v>
                </c:pt>
                <c:pt idx="148">
                  <c:v>32.891266595734379</c:v>
                </c:pt>
                <c:pt idx="149">
                  <c:v>31.473918446618441</c:v>
                </c:pt>
                <c:pt idx="150">
                  <c:v>30.029545345727961</c:v>
                </c:pt>
                <c:pt idx="151">
                  <c:v>28.559045167346859</c:v>
                </c:pt>
                <c:pt idx="152">
                  <c:v>27.063332027290457</c:v>
                </c:pt>
                <c:pt idx="153">
                  <c:v>25.54333571465812</c:v>
                </c:pt>
                <c:pt idx="154">
                  <c:v>24.00000111384292</c:v>
                </c:pt>
                <c:pt idx="155">
                  <c:v>22.434287617157558</c:v>
                </c:pt>
                <c:pt idx="156">
                  <c:v>20.847168528441451</c:v>
                </c:pt>
                <c:pt idx="157">
                  <c:v>19.239630458020226</c:v>
                </c:pt>
                <c:pt idx="158">
                  <c:v>17.612672709393095</c:v>
                </c:pt>
                <c:pt idx="159">
                  <c:v>15.967306658029923</c:v>
                </c:pt>
                <c:pt idx="160">
                  <c:v>14.304555122663807</c:v>
                </c:pt>
                <c:pt idx="161">
                  <c:v>12.625451729470267</c:v>
                </c:pt>
                <c:pt idx="162">
                  <c:v>10.931040269527855</c:v>
                </c:pt>
                <c:pt idx="163">
                  <c:v>9.2223740499601874</c:v>
                </c:pt>
                <c:pt idx="164">
                  <c:v>7.50051523916229</c:v>
                </c:pt>
                <c:pt idx="165">
                  <c:v>5.7665342065185783</c:v>
                </c:pt>
                <c:pt idx="166">
                  <c:v>4.0215088570226385</c:v>
                </c:pt>
                <c:pt idx="167">
                  <c:v>2.2665239612127621</c:v>
                </c:pt>
                <c:pt idx="168">
                  <c:v>0.50267048083958699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2.8515696384297637</c:v>
                </c:pt>
                <c:pt idx="177">
                  <c:v>1.9753111994832171</c:v>
                </c:pt>
                <c:pt idx="178">
                  <c:v>0.92563316887902047</c:v>
                </c:pt>
                <c:pt idx="179">
                  <c:v>-0.21601377837397351</c:v>
                </c:pt>
                <c:pt idx="180">
                  <c:v>-1.4157664759720063</c:v>
                </c:pt>
                <c:pt idx="181">
                  <c:v>-2.6556123420946562</c:v>
                </c:pt>
                <c:pt idx="182">
                  <c:v>-3.9245681685754725</c:v>
                </c:pt>
                <c:pt idx="183">
                  <c:v>-5.2153144569239593</c:v>
                </c:pt>
                <c:pt idx="184">
                  <c:v>-6.5226550874579061</c:v>
                </c:pt>
                <c:pt idx="185">
                  <c:v>-7.8427215966531474</c:v>
                </c:pt>
                <c:pt idx="186">
                  <c:v>-9.1725245020797033</c:v>
                </c:pt>
                <c:pt idx="187">
                  <c:v>-10.509682805443534</c:v>
                </c:pt>
                <c:pt idx="188">
                  <c:v>-11.852251962601201</c:v>
                </c:pt>
                <c:pt idx="189">
                  <c:v>-13.198609507350314</c:v>
                </c:pt>
                <c:pt idx="190">
                  <c:v>-14.547376030315508</c:v>
                </c:pt>
                <c:pt idx="191">
                  <c:v>-15.897358663204308</c:v>
                </c:pt>
                <c:pt idx="192">
                  <c:v>-17.247509325359044</c:v>
                </c:pt>
                <c:pt idx="193">
                  <c:v>-18.596892885306229</c:v>
                </c:pt>
                <c:pt idx="194">
                  <c:v>-19.944662101015112</c:v>
                </c:pt>
                <c:pt idx="195">
                  <c:v>-21.290037250525245</c:v>
                </c:pt>
                <c:pt idx="196">
                  <c:v>-22.632289027455251</c:v>
                </c:pt>
                <c:pt idx="197">
                  <c:v>-23.97072370792359</c:v>
                </c:pt>
                <c:pt idx="198">
                  <c:v>-25.30466988534544</c:v>
                </c:pt>
                <c:pt idx="199">
                  <c:v>-26.633466270137497</c:v>
                </c:pt>
                <c:pt idx="200">
                  <c:v>-27.956450194805811</c:v>
                </c:pt>
                <c:pt idx="201">
                  <c:v>-29.272946571435931</c:v>
                </c:pt>
                <c:pt idx="202">
                  <c:v>-30.582257131227855</c:v>
                </c:pt>
                <c:pt idx="203">
                  <c:v>-31.883649842884822</c:v>
                </c:pt>
                <c:pt idx="204">
                  <c:v>-33.176348463939625</c:v>
                </c:pt>
                <c:pt idx="205">
                  <c:v>-34.459522230103559</c:v>
                </c:pt>
                <c:pt idx="206">
                  <c:v>-35.732275734705851</c:v>
                </c:pt>
                <c:pt idx="207">
                  <c:v>-36.99363909448315</c:v>
                </c:pt>
                <c:pt idx="208">
                  <c:v>-38.242558539797471</c:v>
                </c:pt>
                <c:pt idx="209">
                  <c:v>-39.477887606536221</c:v>
                </c:pt>
                <c:pt idx="210">
                  <c:v>-40.698379142616446</c:v>
                </c:pt>
                <c:pt idx="211">
                  <c:v>-41.902678372794895</c:v>
                </c:pt>
                <c:pt idx="212">
                  <c:v>-43.089317289558807</c:v>
                </c:pt>
                <c:pt idx="213">
                  <c:v>-44.25671065311036</c:v>
                </c:pt>
                <c:pt idx="214">
                  <c:v>-45.403153887555582</c:v>
                </c:pt>
                <c:pt idx="215">
                  <c:v>-46.526823151096757</c:v>
                </c:pt>
                <c:pt idx="216">
                  <c:v>-47.625777833297384</c:v>
                </c:pt>
                <c:pt idx="217">
                  <c:v>-48.697965690882285</c:v>
                </c:pt>
                <c:pt idx="218">
                  <c:v>-49.741230774414589</c:v>
                </c:pt>
                <c:pt idx="219">
                  <c:v>-50.753324222038465</c:v>
                </c:pt>
                <c:pt idx="220">
                  <c:v>-51.731917905092047</c:v>
                </c:pt>
                <c:pt idx="221">
                  <c:v>-52.674620807053785</c:v>
                </c:pt>
                <c:pt idx="222">
                  <c:v>-53.578997906712083</c:v>
                </c:pt>
                <c:pt idx="223">
                  <c:v>-54.442591224662408</c:v>
                </c:pt>
                <c:pt idx="224">
                  <c:v>-55.262942586197084</c:v>
                </c:pt>
                <c:pt idx="225">
                  <c:v>-56.037617560739605</c:v>
                </c:pt>
                <c:pt idx="226">
                  <c:v>-56.764229965340405</c:v>
                </c:pt>
                <c:pt idx="227">
                  <c:v>-57.440466273599569</c:v>
                </c:pt>
                <c:pt idx="228">
                  <c:v>-58.064109256288212</c:v>
                </c:pt>
                <c:pt idx="229">
                  <c:v>-58.633060198267984</c:v>
                </c:pt>
                <c:pt idx="230">
                  <c:v>-59.145359087855262</c:v>
                </c:pt>
                <c:pt idx="231">
                  <c:v>-59.599202256688159</c:v>
                </c:pt>
                <c:pt idx="232">
                  <c:v>-59.992957055132891</c:v>
                </c:pt>
                <c:pt idx="233">
                  <c:v>-60.325173273076174</c:v>
                </c:pt>
                <c:pt idx="234">
                  <c:v>-60.594591150128096</c:v>
                </c:pt>
                <c:pt idx="235">
                  <c:v>-60.800145953957085</c:v>
                </c:pt>
                <c:pt idx="236">
                  <c:v>-60.940969232303956</c:v>
                </c:pt>
                <c:pt idx="237">
                  <c:v>-61.016386955989681</c:v>
                </c:pt>
                <c:pt idx="238">
                  <c:v>-61.025914861512376</c:v>
                </c:pt>
                <c:pt idx="239">
                  <c:v>-60.969251369261414</c:v>
                </c:pt>
              </c:numCache>
            </c:numRef>
          </c:xVal>
          <c:yVal>
            <c:numRef>
              <c:f>CALC60!$DD$6:$DD$581</c:f>
              <c:numCache>
                <c:formatCode>General</c:formatCode>
                <c:ptCount val="576"/>
              </c:numCache>
            </c:numRef>
          </c:yVal>
          <c:smooth val="0"/>
        </c:ser>
        <c:ser>
          <c:idx val="57"/>
          <c:order val="57"/>
          <c:tx>
            <c:strRef>
              <c:f>CALC60!$DE$5</c:f>
              <c:strCache>
                <c:ptCount val="1"/>
                <c:pt idx="0">
                  <c:v>R56</c:v>
                </c:pt>
              </c:strCache>
            </c:strRef>
          </c:tx>
          <c:xVal>
            <c:numRef>
              <c:f>CALC60!$AY$6:$AY$581</c:f>
              <c:numCache>
                <c:formatCode>General</c:formatCode>
                <c:ptCount val="576"/>
                <c:pt idx="0">
                  <c:v>-19.833506546880365</c:v>
                </c:pt>
                <c:pt idx="1">
                  <c:v>-18.245852614565919</c:v>
                </c:pt>
                <c:pt idx="2">
                  <c:v>-16.629666681765414</c:v>
                </c:pt>
                <c:pt idx="3">
                  <c:v>-14.98231154257417</c:v>
                </c:pt>
                <c:pt idx="4">
                  <c:v>-13.301143585556035</c:v>
                </c:pt>
                <c:pt idx="5">
                  <c:v>-11.583569246398675</c:v>
                </c:pt>
                <c:pt idx="6">
                  <c:v>-9.8270793278644781</c:v>
                </c:pt>
                <c:pt idx="7">
                  <c:v>-8.029252658232803</c:v>
                </c:pt>
                <c:pt idx="8">
                  <c:v>-6.1877185053343773</c:v>
                </c:pt>
                <c:pt idx="9">
                  <c:v>-4.3000630515963358</c:v>
                </c:pt>
                <c:pt idx="10">
                  <c:v>-2.3636564525099644</c:v>
                </c:pt>
                <c:pt idx="11">
                  <c:v>-0.37535794962416702</c:v>
                </c:pt>
                <c:pt idx="12">
                  <c:v>-3.0678010204149508</c:v>
                </c:pt>
                <c:pt idx="13">
                  <c:v>5.8156608222448263</c:v>
                </c:pt>
                <c:pt idx="14">
                  <c:v>-8.9906603193697858</c:v>
                </c:pt>
                <c:pt idx="15">
                  <c:v>-19.434156555154736</c:v>
                </c:pt>
                <c:pt idx="16">
                  <c:v>-12</c:v>
                </c:pt>
                <c:pt idx="17">
                  <c:v>-29.167117021908272</c:v>
                </c:pt>
                <c:pt idx="18">
                  <c:v>-14</c:v>
                </c:pt>
                <c:pt idx="19">
                  <c:v>-19.833506546880365</c:v>
                </c:pt>
                <c:pt idx="20">
                  <c:v>1.5130248501190131</c:v>
                </c:pt>
                <c:pt idx="21">
                  <c:v>12</c:v>
                </c:pt>
                <c:pt idx="22">
                  <c:v>-12</c:v>
                </c:pt>
                <c:pt idx="23">
                  <c:v>-28.772550131225248</c:v>
                </c:pt>
                <c:pt idx="24">
                  <c:v>-11.666666666666666</c:v>
                </c:pt>
                <c:pt idx="25">
                  <c:v>-18.245852614565919</c:v>
                </c:pt>
                <c:pt idx="26">
                  <c:v>4.3925078710812571</c:v>
                </c:pt>
                <c:pt idx="27">
                  <c:v>12</c:v>
                </c:pt>
                <c:pt idx="28">
                  <c:v>-12</c:v>
                </c:pt>
                <c:pt idx="29">
                  <c:v>-28.303800039278563</c:v>
                </c:pt>
                <c:pt idx="30">
                  <c:v>-9.3333333333333321</c:v>
                </c:pt>
                <c:pt idx="31">
                  <c:v>-16.629666681765414</c:v>
                </c:pt>
                <c:pt idx="32">
                  <c:v>6.4527131206909987</c:v>
                </c:pt>
                <c:pt idx="33">
                  <c:v>12</c:v>
                </c:pt>
                <c:pt idx="34">
                  <c:v>-12</c:v>
                </c:pt>
                <c:pt idx="35">
                  <c:v>-27.754010010716058</c:v>
                </c:pt>
                <c:pt idx="36">
                  <c:v>-6.9999999999999982</c:v>
                </c:pt>
                <c:pt idx="37">
                  <c:v>-14.98231154257417</c:v>
                </c:pt>
                <c:pt idx="38">
                  <c:v>8.2375052570320868</c:v>
                </c:pt>
                <c:pt idx="39">
                  <c:v>12</c:v>
                </c:pt>
                <c:pt idx="40">
                  <c:v>-12</c:v>
                </c:pt>
                <c:pt idx="41">
                  <c:v>-27.116306655803694</c:v>
                </c:pt>
                <c:pt idx="42">
                  <c:v>-4.6666666666666643</c:v>
                </c:pt>
                <c:pt idx="43">
                  <c:v>-13.301143585556035</c:v>
                </c:pt>
                <c:pt idx="44">
                  <c:v>9.8664661885771885</c:v>
                </c:pt>
                <c:pt idx="45">
                  <c:v>12</c:v>
                </c:pt>
                <c:pt idx="46">
                  <c:v>-12</c:v>
                </c:pt>
                <c:pt idx="47">
                  <c:v>-26.383946707329393</c:v>
                </c:pt>
                <c:pt idx="48">
                  <c:v>-2.3333333333333308</c:v>
                </c:pt>
                <c:pt idx="49">
                  <c:v>-11.583569246398675</c:v>
                </c:pt>
                <c:pt idx="50">
                  <c:v>11.388844623449907</c:v>
                </c:pt>
                <c:pt idx="51">
                  <c:v>12</c:v>
                </c:pt>
                <c:pt idx="52">
                  <c:v>-12</c:v>
                </c:pt>
                <c:pt idx="53">
                  <c:v>-25.550406252475348</c:v>
                </c:pt>
                <c:pt idx="54">
                  <c:v>0</c:v>
                </c:pt>
                <c:pt idx="55">
                  <c:v>-9.8270793278644781</c:v>
                </c:pt>
                <c:pt idx="56">
                  <c:v>12.829698097369761</c:v>
                </c:pt>
                <c:pt idx="57">
                  <c:v>12</c:v>
                </c:pt>
                <c:pt idx="58">
                  <c:v>-12</c:v>
                </c:pt>
                <c:pt idx="59">
                  <c:v>-24.609390244767855</c:v>
                </c:pt>
                <c:pt idx="60">
                  <c:v>2.3333333333333335</c:v>
                </c:pt>
                <c:pt idx="61">
                  <c:v>-8.029252658232803</c:v>
                </c:pt>
                <c:pt idx="62">
                  <c:v>14.203132463376605</c:v>
                </c:pt>
                <c:pt idx="63">
                  <c:v>12</c:v>
                </c:pt>
                <c:pt idx="64">
                  <c:v>-12</c:v>
                </c:pt>
                <c:pt idx="65">
                  <c:v>-23.554734780566797</c:v>
                </c:pt>
                <c:pt idx="66">
                  <c:v>4.666666666666667</c:v>
                </c:pt>
                <c:pt idx="67">
                  <c:v>-6.1877185053343773</c:v>
                </c:pt>
                <c:pt idx="68">
                  <c:v>15.517506829265256</c:v>
                </c:pt>
                <c:pt idx="69">
                  <c:v>12</c:v>
                </c:pt>
                <c:pt idx="70">
                  <c:v>-12</c:v>
                </c:pt>
                <c:pt idx="71">
                  <c:v>-22.380163934182676</c:v>
                </c:pt>
                <c:pt idx="72">
                  <c:v>7</c:v>
                </c:pt>
                <c:pt idx="73">
                  <c:v>-4.3000630515963358</c:v>
                </c:pt>
                <c:pt idx="74">
                  <c:v>16.777941702150098</c:v>
                </c:pt>
                <c:pt idx="75">
                  <c:v>12</c:v>
                </c:pt>
                <c:pt idx="76">
                  <c:v>-12</c:v>
                </c:pt>
                <c:pt idx="77">
                  <c:v>-21.078840109892809</c:v>
                </c:pt>
                <c:pt idx="78">
                  <c:v>9.3333333333333339</c:v>
                </c:pt>
                <c:pt idx="79">
                  <c:v>-2.3636564525099644</c:v>
                </c:pt>
                <c:pt idx="80">
                  <c:v>17.987756355580007</c:v>
                </c:pt>
                <c:pt idx="81">
                  <c:v>12</c:v>
                </c:pt>
                <c:pt idx="82">
                  <c:v>-12</c:v>
                </c:pt>
                <c:pt idx="83">
                  <c:v>-19.642597335724307</c:v>
                </c:pt>
                <c:pt idx="84">
                  <c:v>11.666666666666668</c:v>
                </c:pt>
                <c:pt idx="85">
                  <c:v>-0.37535794962416702</c:v>
                </c:pt>
                <c:pt idx="86">
                  <c:v>19.149459663035739</c:v>
                </c:pt>
                <c:pt idx="87">
                  <c:v>12</c:v>
                </c:pt>
                <c:pt idx="88">
                  <c:v>-12</c:v>
                </c:pt>
                <c:pt idx="89">
                  <c:v>-30.376282653093735</c:v>
                </c:pt>
                <c:pt idx="90">
                  <c:v>14.000000000000002</c:v>
                </c:pt>
                <c:pt idx="91">
                  <c:v>-3.0678010204149508</c:v>
                </c:pt>
                <c:pt idx="92">
                  <c:v>26.896999319700733</c:v>
                </c:pt>
                <c:pt idx="93">
                  <c:v>12</c:v>
                </c:pt>
                <c:pt idx="94">
                  <c:v>-12</c:v>
                </c:pt>
                <c:pt idx="95">
                  <c:v>-24.879281862192261</c:v>
                </c:pt>
                <c:pt idx="96">
                  <c:v>25</c:v>
                </c:pt>
                <c:pt idx="97">
                  <c:v>5.8156608222448263</c:v>
                </c:pt>
                <c:pt idx="98">
                  <c:v>31.34962606454722</c:v>
                </c:pt>
                <c:pt idx="99">
                  <c:v>12</c:v>
                </c:pt>
                <c:pt idx="100">
                  <c:v>-12</c:v>
                </c:pt>
                <c:pt idx="101">
                  <c:v>-23.375716830330454</c:v>
                </c:pt>
                <c:pt idx="102">
                  <c:v>0</c:v>
                </c:pt>
                <c:pt idx="103">
                  <c:v>-8.9906603193697858</c:v>
                </c:pt>
                <c:pt idx="104">
                  <c:v>22.648032351271631</c:v>
                </c:pt>
                <c:pt idx="105">
                  <c:v>12</c:v>
                </c:pt>
                <c:pt idx="106">
                  <c:v>-12</c:v>
                </c:pt>
                <c:pt idx="107">
                  <c:v>-10.52880704336475</c:v>
                </c:pt>
                <c:pt idx="108">
                  <c:v>-25</c:v>
                </c:pt>
                <c:pt idx="109">
                  <c:v>-19.434156555154736</c:v>
                </c:pt>
                <c:pt idx="110">
                  <c:v>20.32293673094285</c:v>
                </c:pt>
                <c:pt idx="111">
                  <c:v>12</c:v>
                </c:pt>
                <c:pt idx="112">
                  <c:v>60</c:v>
                </c:pt>
                <c:pt idx="113">
                  <c:v>59.977621104822219</c:v>
                </c:pt>
                <c:pt idx="114">
                  <c:v>59.910498330815244</c:v>
                </c:pt>
                <c:pt idx="115">
                  <c:v>59.7986734039103</c:v>
                </c:pt>
                <c:pt idx="116">
                  <c:v>59.642215838505066</c:v>
                </c:pt>
                <c:pt idx="117">
                  <c:v>59.441222894251112</c:v>
                </c:pt>
                <c:pt idx="118">
                  <c:v>59.195819515593755</c:v>
                </c:pt>
                <c:pt idx="119">
                  <c:v>58.906158254102053</c:v>
                </c:pt>
                <c:pt idx="120">
                  <c:v>58.572419173637371</c:v>
                </c:pt>
                <c:pt idx="121">
                  <c:v>58.19480973841911</c:v>
                </c:pt>
                <c:pt idx="122">
                  <c:v>57.77356468405749</c:v>
                </c:pt>
                <c:pt idx="123">
                  <c:v>57.308945871633512</c:v>
                </c:pt>
                <c:pt idx="124">
                  <c:v>56.801242124916655</c:v>
                </c:pt>
                <c:pt idx="125">
                  <c:v>56.250769050821617</c:v>
                </c:pt>
                <c:pt idx="126">
                  <c:v>55.657868843215709</c:v>
                </c:pt>
                <c:pt idx="127">
                  <c:v>55.022910070198847</c:v>
                </c:pt>
                <c:pt idx="128">
                  <c:v>54.346287444988349</c:v>
                </c:pt>
                <c:pt idx="129">
                  <c:v>53.628421580551006</c:v>
                </c:pt>
                <c:pt idx="130">
                  <c:v>52.869758728134926</c:v>
                </c:pt>
                <c:pt idx="131">
                  <c:v>52.070770499863713</c:v>
                </c:pt>
                <c:pt idx="132">
                  <c:v>51.231953575565385</c:v>
                </c:pt>
                <c:pt idx="133">
                  <c:v>50.353829394018334</c:v>
                </c:pt>
                <c:pt idx="134">
                  <c:v>49.436943828806236</c:v>
                </c:pt>
                <c:pt idx="135">
                  <c:v>48.481866848983351</c:v>
                </c:pt>
                <c:pt idx="136">
                  <c:v>47.489192164761299</c:v>
                </c:pt>
                <c:pt idx="137">
                  <c:v>46.45953685843741</c:v>
                </c:pt>
                <c:pt idx="138">
                  <c:v>45.39354100079418</c:v>
                </c:pt>
                <c:pt idx="139">
                  <c:v>44.29186725320821</c:v>
                </c:pt>
                <c:pt idx="140">
                  <c:v>43.155200455716098</c:v>
                </c:pt>
                <c:pt idx="141">
                  <c:v>41.984247201293201</c:v>
                </c:pt>
                <c:pt idx="142">
                  <c:v>40.779735396610057</c:v>
                </c:pt>
                <c:pt idx="143">
                  <c:v>39.542413809539362</c:v>
                </c:pt>
                <c:pt idx="144">
                  <c:v>38.27305160369496</c:v>
                </c:pt>
                <c:pt idx="145">
                  <c:v>36.97243786029204</c:v>
                </c:pt>
                <c:pt idx="146">
                  <c:v>35.641381087625909</c:v>
                </c:pt>
                <c:pt idx="147">
                  <c:v>34.280708718474088</c:v>
                </c:pt>
                <c:pt idx="148">
                  <c:v>32.891266595734379</c:v>
                </c:pt>
                <c:pt idx="149">
                  <c:v>31.473918446618441</c:v>
                </c:pt>
                <c:pt idx="150">
                  <c:v>30.029545345727961</c:v>
                </c:pt>
                <c:pt idx="151">
                  <c:v>28.559045167346859</c:v>
                </c:pt>
                <c:pt idx="152">
                  <c:v>27.063332027290457</c:v>
                </c:pt>
                <c:pt idx="153">
                  <c:v>25.54333571465812</c:v>
                </c:pt>
                <c:pt idx="154">
                  <c:v>24.00000111384292</c:v>
                </c:pt>
                <c:pt idx="155">
                  <c:v>22.434287617157558</c:v>
                </c:pt>
                <c:pt idx="156">
                  <c:v>20.847168528441451</c:v>
                </c:pt>
                <c:pt idx="157">
                  <c:v>19.239630458020226</c:v>
                </c:pt>
                <c:pt idx="158">
                  <c:v>17.612672709393095</c:v>
                </c:pt>
                <c:pt idx="159">
                  <c:v>15.967306658029923</c:v>
                </c:pt>
                <c:pt idx="160">
                  <c:v>14.304555122663807</c:v>
                </c:pt>
                <c:pt idx="161">
                  <c:v>12.625451729470267</c:v>
                </c:pt>
                <c:pt idx="162">
                  <c:v>10.931040269527855</c:v>
                </c:pt>
                <c:pt idx="163">
                  <c:v>9.2223740499601874</c:v>
                </c:pt>
                <c:pt idx="164">
                  <c:v>7.50051523916229</c:v>
                </c:pt>
                <c:pt idx="165">
                  <c:v>5.7665342065185783</c:v>
                </c:pt>
                <c:pt idx="166">
                  <c:v>4.0215088570226385</c:v>
                </c:pt>
                <c:pt idx="167">
                  <c:v>2.2665239612127621</c:v>
                </c:pt>
                <c:pt idx="168">
                  <c:v>0.50267048083958699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2.8515696384297637</c:v>
                </c:pt>
                <c:pt idx="177">
                  <c:v>1.9753111994832171</c:v>
                </c:pt>
                <c:pt idx="178">
                  <c:v>0.92563316887902047</c:v>
                </c:pt>
                <c:pt idx="179">
                  <c:v>-0.21601377837397351</c:v>
                </c:pt>
                <c:pt idx="180">
                  <c:v>-1.4157664759720063</c:v>
                </c:pt>
                <c:pt idx="181">
                  <c:v>-2.6556123420946562</c:v>
                </c:pt>
                <c:pt idx="182">
                  <c:v>-3.9245681685754725</c:v>
                </c:pt>
                <c:pt idx="183">
                  <c:v>-5.2153144569239593</c:v>
                </c:pt>
                <c:pt idx="184">
                  <c:v>-6.5226550874579061</c:v>
                </c:pt>
                <c:pt idx="185">
                  <c:v>-7.8427215966531474</c:v>
                </c:pt>
                <c:pt idx="186">
                  <c:v>-9.1725245020797033</c:v>
                </c:pt>
                <c:pt idx="187">
                  <c:v>-10.509682805443534</c:v>
                </c:pt>
                <c:pt idx="188">
                  <c:v>-11.852251962601201</c:v>
                </c:pt>
                <c:pt idx="189">
                  <c:v>-13.198609507350314</c:v>
                </c:pt>
                <c:pt idx="190">
                  <c:v>-14.547376030315508</c:v>
                </c:pt>
                <c:pt idx="191">
                  <c:v>-15.897358663204308</c:v>
                </c:pt>
                <c:pt idx="192">
                  <c:v>-17.247509325359044</c:v>
                </c:pt>
                <c:pt idx="193">
                  <c:v>-18.596892885306229</c:v>
                </c:pt>
                <c:pt idx="194">
                  <c:v>-19.944662101015112</c:v>
                </c:pt>
                <c:pt idx="195">
                  <c:v>-21.290037250525245</c:v>
                </c:pt>
                <c:pt idx="196">
                  <c:v>-22.632289027455251</c:v>
                </c:pt>
                <c:pt idx="197">
                  <c:v>-23.97072370792359</c:v>
                </c:pt>
                <c:pt idx="198">
                  <c:v>-25.30466988534544</c:v>
                </c:pt>
                <c:pt idx="199">
                  <c:v>-26.633466270137497</c:v>
                </c:pt>
                <c:pt idx="200">
                  <c:v>-27.956450194805811</c:v>
                </c:pt>
                <c:pt idx="201">
                  <c:v>-29.272946571435931</c:v>
                </c:pt>
                <c:pt idx="202">
                  <c:v>-30.582257131227855</c:v>
                </c:pt>
                <c:pt idx="203">
                  <c:v>-31.883649842884822</c:v>
                </c:pt>
                <c:pt idx="204">
                  <c:v>-33.176348463939625</c:v>
                </c:pt>
                <c:pt idx="205">
                  <c:v>-34.459522230103559</c:v>
                </c:pt>
                <c:pt idx="206">
                  <c:v>-35.732275734705851</c:v>
                </c:pt>
                <c:pt idx="207">
                  <c:v>-36.99363909448315</c:v>
                </c:pt>
                <c:pt idx="208">
                  <c:v>-38.242558539797471</c:v>
                </c:pt>
                <c:pt idx="209">
                  <c:v>-39.477887606536221</c:v>
                </c:pt>
                <c:pt idx="210">
                  <c:v>-40.698379142616446</c:v>
                </c:pt>
                <c:pt idx="211">
                  <c:v>-41.902678372794895</c:v>
                </c:pt>
                <c:pt idx="212">
                  <c:v>-43.089317289558807</c:v>
                </c:pt>
                <c:pt idx="213">
                  <c:v>-44.25671065311036</c:v>
                </c:pt>
                <c:pt idx="214">
                  <c:v>-45.403153887555582</c:v>
                </c:pt>
                <c:pt idx="215">
                  <c:v>-46.526823151096757</c:v>
                </c:pt>
                <c:pt idx="216">
                  <c:v>-47.625777833297384</c:v>
                </c:pt>
                <c:pt idx="217">
                  <c:v>-48.697965690882285</c:v>
                </c:pt>
                <c:pt idx="218">
                  <c:v>-49.741230774414589</c:v>
                </c:pt>
                <c:pt idx="219">
                  <c:v>-50.753324222038465</c:v>
                </c:pt>
                <c:pt idx="220">
                  <c:v>-51.731917905092047</c:v>
                </c:pt>
                <c:pt idx="221">
                  <c:v>-52.674620807053785</c:v>
                </c:pt>
                <c:pt idx="222">
                  <c:v>-53.578997906712083</c:v>
                </c:pt>
                <c:pt idx="223">
                  <c:v>-54.442591224662408</c:v>
                </c:pt>
                <c:pt idx="224">
                  <c:v>-55.262942586197084</c:v>
                </c:pt>
                <c:pt idx="225">
                  <c:v>-56.037617560739605</c:v>
                </c:pt>
                <c:pt idx="226">
                  <c:v>-56.764229965340405</c:v>
                </c:pt>
                <c:pt idx="227">
                  <c:v>-57.440466273599569</c:v>
                </c:pt>
                <c:pt idx="228">
                  <c:v>-58.064109256288212</c:v>
                </c:pt>
                <c:pt idx="229">
                  <c:v>-58.633060198267984</c:v>
                </c:pt>
                <c:pt idx="230">
                  <c:v>-59.145359087855262</c:v>
                </c:pt>
                <c:pt idx="231">
                  <c:v>-59.599202256688159</c:v>
                </c:pt>
                <c:pt idx="232">
                  <c:v>-59.992957055132891</c:v>
                </c:pt>
                <c:pt idx="233">
                  <c:v>-60.325173273076174</c:v>
                </c:pt>
                <c:pt idx="234">
                  <c:v>-60.594591150128096</c:v>
                </c:pt>
                <c:pt idx="235">
                  <c:v>-60.800145953957085</c:v>
                </c:pt>
                <c:pt idx="236">
                  <c:v>-60.940969232303956</c:v>
                </c:pt>
                <c:pt idx="237">
                  <c:v>-61.016386955989681</c:v>
                </c:pt>
                <c:pt idx="238">
                  <c:v>-61.025914861512376</c:v>
                </c:pt>
                <c:pt idx="239">
                  <c:v>-60.969251369261414</c:v>
                </c:pt>
              </c:numCache>
            </c:numRef>
          </c:xVal>
          <c:yVal>
            <c:numRef>
              <c:f>CALC60!$DE$6:$DE$581</c:f>
              <c:numCache>
                <c:formatCode>General</c:formatCode>
                <c:ptCount val="576"/>
              </c:numCache>
            </c:numRef>
          </c:yVal>
          <c:smooth val="0"/>
        </c:ser>
        <c:ser>
          <c:idx val="58"/>
          <c:order val="58"/>
          <c:tx>
            <c:strRef>
              <c:f>CALC60!$DF$5</c:f>
              <c:strCache>
                <c:ptCount val="1"/>
                <c:pt idx="0">
                  <c:v>R57</c:v>
                </c:pt>
              </c:strCache>
            </c:strRef>
          </c:tx>
          <c:xVal>
            <c:numRef>
              <c:f>CALC60!$AY$6:$AY$581</c:f>
              <c:numCache>
                <c:formatCode>General</c:formatCode>
                <c:ptCount val="576"/>
                <c:pt idx="0">
                  <c:v>-19.833506546880365</c:v>
                </c:pt>
                <c:pt idx="1">
                  <c:v>-18.245852614565919</c:v>
                </c:pt>
                <c:pt idx="2">
                  <c:v>-16.629666681765414</c:v>
                </c:pt>
                <c:pt idx="3">
                  <c:v>-14.98231154257417</c:v>
                </c:pt>
                <c:pt idx="4">
                  <c:v>-13.301143585556035</c:v>
                </c:pt>
                <c:pt idx="5">
                  <c:v>-11.583569246398675</c:v>
                </c:pt>
                <c:pt idx="6">
                  <c:v>-9.8270793278644781</c:v>
                </c:pt>
                <c:pt idx="7">
                  <c:v>-8.029252658232803</c:v>
                </c:pt>
                <c:pt idx="8">
                  <c:v>-6.1877185053343773</c:v>
                </c:pt>
                <c:pt idx="9">
                  <c:v>-4.3000630515963358</c:v>
                </c:pt>
                <c:pt idx="10">
                  <c:v>-2.3636564525099644</c:v>
                </c:pt>
                <c:pt idx="11">
                  <c:v>-0.37535794962416702</c:v>
                </c:pt>
                <c:pt idx="12">
                  <c:v>-3.0678010204149508</c:v>
                </c:pt>
                <c:pt idx="13">
                  <c:v>5.8156608222448263</c:v>
                </c:pt>
                <c:pt idx="14">
                  <c:v>-8.9906603193697858</c:v>
                </c:pt>
                <c:pt idx="15">
                  <c:v>-19.434156555154736</c:v>
                </c:pt>
                <c:pt idx="16">
                  <c:v>-12</c:v>
                </c:pt>
                <c:pt idx="17">
                  <c:v>-29.167117021908272</c:v>
                </c:pt>
                <c:pt idx="18">
                  <c:v>-14</c:v>
                </c:pt>
                <c:pt idx="19">
                  <c:v>-19.833506546880365</c:v>
                </c:pt>
                <c:pt idx="20">
                  <c:v>1.5130248501190131</c:v>
                </c:pt>
                <c:pt idx="21">
                  <c:v>12</c:v>
                </c:pt>
                <c:pt idx="22">
                  <c:v>-12</c:v>
                </c:pt>
                <c:pt idx="23">
                  <c:v>-28.772550131225248</c:v>
                </c:pt>
                <c:pt idx="24">
                  <c:v>-11.666666666666666</c:v>
                </c:pt>
                <c:pt idx="25">
                  <c:v>-18.245852614565919</c:v>
                </c:pt>
                <c:pt idx="26">
                  <c:v>4.3925078710812571</c:v>
                </c:pt>
                <c:pt idx="27">
                  <c:v>12</c:v>
                </c:pt>
                <c:pt idx="28">
                  <c:v>-12</c:v>
                </c:pt>
                <c:pt idx="29">
                  <c:v>-28.303800039278563</c:v>
                </c:pt>
                <c:pt idx="30">
                  <c:v>-9.3333333333333321</c:v>
                </c:pt>
                <c:pt idx="31">
                  <c:v>-16.629666681765414</c:v>
                </c:pt>
                <c:pt idx="32">
                  <c:v>6.4527131206909987</c:v>
                </c:pt>
                <c:pt idx="33">
                  <c:v>12</c:v>
                </c:pt>
                <c:pt idx="34">
                  <c:v>-12</c:v>
                </c:pt>
                <c:pt idx="35">
                  <c:v>-27.754010010716058</c:v>
                </c:pt>
                <c:pt idx="36">
                  <c:v>-6.9999999999999982</c:v>
                </c:pt>
                <c:pt idx="37">
                  <c:v>-14.98231154257417</c:v>
                </c:pt>
                <c:pt idx="38">
                  <c:v>8.2375052570320868</c:v>
                </c:pt>
                <c:pt idx="39">
                  <c:v>12</c:v>
                </c:pt>
                <c:pt idx="40">
                  <c:v>-12</c:v>
                </c:pt>
                <c:pt idx="41">
                  <c:v>-27.116306655803694</c:v>
                </c:pt>
                <c:pt idx="42">
                  <c:v>-4.6666666666666643</c:v>
                </c:pt>
                <c:pt idx="43">
                  <c:v>-13.301143585556035</c:v>
                </c:pt>
                <c:pt idx="44">
                  <c:v>9.8664661885771885</c:v>
                </c:pt>
                <c:pt idx="45">
                  <c:v>12</c:v>
                </c:pt>
                <c:pt idx="46">
                  <c:v>-12</c:v>
                </c:pt>
                <c:pt idx="47">
                  <c:v>-26.383946707329393</c:v>
                </c:pt>
                <c:pt idx="48">
                  <c:v>-2.3333333333333308</c:v>
                </c:pt>
                <c:pt idx="49">
                  <c:v>-11.583569246398675</c:v>
                </c:pt>
                <c:pt idx="50">
                  <c:v>11.388844623449907</c:v>
                </c:pt>
                <c:pt idx="51">
                  <c:v>12</c:v>
                </c:pt>
                <c:pt idx="52">
                  <c:v>-12</c:v>
                </c:pt>
                <c:pt idx="53">
                  <c:v>-25.550406252475348</c:v>
                </c:pt>
                <c:pt idx="54">
                  <c:v>0</c:v>
                </c:pt>
                <c:pt idx="55">
                  <c:v>-9.8270793278644781</c:v>
                </c:pt>
                <c:pt idx="56">
                  <c:v>12.829698097369761</c:v>
                </c:pt>
                <c:pt idx="57">
                  <c:v>12</c:v>
                </c:pt>
                <c:pt idx="58">
                  <c:v>-12</c:v>
                </c:pt>
                <c:pt idx="59">
                  <c:v>-24.609390244767855</c:v>
                </c:pt>
                <c:pt idx="60">
                  <c:v>2.3333333333333335</c:v>
                </c:pt>
                <c:pt idx="61">
                  <c:v>-8.029252658232803</c:v>
                </c:pt>
                <c:pt idx="62">
                  <c:v>14.203132463376605</c:v>
                </c:pt>
                <c:pt idx="63">
                  <c:v>12</c:v>
                </c:pt>
                <c:pt idx="64">
                  <c:v>-12</c:v>
                </c:pt>
                <c:pt idx="65">
                  <c:v>-23.554734780566797</c:v>
                </c:pt>
                <c:pt idx="66">
                  <c:v>4.666666666666667</c:v>
                </c:pt>
                <c:pt idx="67">
                  <c:v>-6.1877185053343773</c:v>
                </c:pt>
                <c:pt idx="68">
                  <c:v>15.517506829265256</c:v>
                </c:pt>
                <c:pt idx="69">
                  <c:v>12</c:v>
                </c:pt>
                <c:pt idx="70">
                  <c:v>-12</c:v>
                </c:pt>
                <c:pt idx="71">
                  <c:v>-22.380163934182676</c:v>
                </c:pt>
                <c:pt idx="72">
                  <c:v>7</c:v>
                </c:pt>
                <c:pt idx="73">
                  <c:v>-4.3000630515963358</c:v>
                </c:pt>
                <c:pt idx="74">
                  <c:v>16.777941702150098</c:v>
                </c:pt>
                <c:pt idx="75">
                  <c:v>12</c:v>
                </c:pt>
                <c:pt idx="76">
                  <c:v>-12</c:v>
                </c:pt>
                <c:pt idx="77">
                  <c:v>-21.078840109892809</c:v>
                </c:pt>
                <c:pt idx="78">
                  <c:v>9.3333333333333339</c:v>
                </c:pt>
                <c:pt idx="79">
                  <c:v>-2.3636564525099644</c:v>
                </c:pt>
                <c:pt idx="80">
                  <c:v>17.987756355580007</c:v>
                </c:pt>
                <c:pt idx="81">
                  <c:v>12</c:v>
                </c:pt>
                <c:pt idx="82">
                  <c:v>-12</c:v>
                </c:pt>
                <c:pt idx="83">
                  <c:v>-19.642597335724307</c:v>
                </c:pt>
                <c:pt idx="84">
                  <c:v>11.666666666666668</c:v>
                </c:pt>
                <c:pt idx="85">
                  <c:v>-0.37535794962416702</c:v>
                </c:pt>
                <c:pt idx="86">
                  <c:v>19.149459663035739</c:v>
                </c:pt>
                <c:pt idx="87">
                  <c:v>12</c:v>
                </c:pt>
                <c:pt idx="88">
                  <c:v>-12</c:v>
                </c:pt>
                <c:pt idx="89">
                  <c:v>-30.376282653093735</c:v>
                </c:pt>
                <c:pt idx="90">
                  <c:v>14.000000000000002</c:v>
                </c:pt>
                <c:pt idx="91">
                  <c:v>-3.0678010204149508</c:v>
                </c:pt>
                <c:pt idx="92">
                  <c:v>26.896999319700733</c:v>
                </c:pt>
                <c:pt idx="93">
                  <c:v>12</c:v>
                </c:pt>
                <c:pt idx="94">
                  <c:v>-12</c:v>
                </c:pt>
                <c:pt idx="95">
                  <c:v>-24.879281862192261</c:v>
                </c:pt>
                <c:pt idx="96">
                  <c:v>25</c:v>
                </c:pt>
                <c:pt idx="97">
                  <c:v>5.8156608222448263</c:v>
                </c:pt>
                <c:pt idx="98">
                  <c:v>31.34962606454722</c:v>
                </c:pt>
                <c:pt idx="99">
                  <c:v>12</c:v>
                </c:pt>
                <c:pt idx="100">
                  <c:v>-12</c:v>
                </c:pt>
                <c:pt idx="101">
                  <c:v>-23.375716830330454</c:v>
                </c:pt>
                <c:pt idx="102">
                  <c:v>0</c:v>
                </c:pt>
                <c:pt idx="103">
                  <c:v>-8.9906603193697858</c:v>
                </c:pt>
                <c:pt idx="104">
                  <c:v>22.648032351271631</c:v>
                </c:pt>
                <c:pt idx="105">
                  <c:v>12</c:v>
                </c:pt>
                <c:pt idx="106">
                  <c:v>-12</c:v>
                </c:pt>
                <c:pt idx="107">
                  <c:v>-10.52880704336475</c:v>
                </c:pt>
                <c:pt idx="108">
                  <c:v>-25</c:v>
                </c:pt>
                <c:pt idx="109">
                  <c:v>-19.434156555154736</c:v>
                </c:pt>
                <c:pt idx="110">
                  <c:v>20.32293673094285</c:v>
                </c:pt>
                <c:pt idx="111">
                  <c:v>12</c:v>
                </c:pt>
                <c:pt idx="112">
                  <c:v>60</c:v>
                </c:pt>
                <c:pt idx="113">
                  <c:v>59.977621104822219</c:v>
                </c:pt>
                <c:pt idx="114">
                  <c:v>59.910498330815244</c:v>
                </c:pt>
                <c:pt idx="115">
                  <c:v>59.7986734039103</c:v>
                </c:pt>
                <c:pt idx="116">
                  <c:v>59.642215838505066</c:v>
                </c:pt>
                <c:pt idx="117">
                  <c:v>59.441222894251112</c:v>
                </c:pt>
                <c:pt idx="118">
                  <c:v>59.195819515593755</c:v>
                </c:pt>
                <c:pt idx="119">
                  <c:v>58.906158254102053</c:v>
                </c:pt>
                <c:pt idx="120">
                  <c:v>58.572419173637371</c:v>
                </c:pt>
                <c:pt idx="121">
                  <c:v>58.19480973841911</c:v>
                </c:pt>
                <c:pt idx="122">
                  <c:v>57.77356468405749</c:v>
                </c:pt>
                <c:pt idx="123">
                  <c:v>57.308945871633512</c:v>
                </c:pt>
                <c:pt idx="124">
                  <c:v>56.801242124916655</c:v>
                </c:pt>
                <c:pt idx="125">
                  <c:v>56.250769050821617</c:v>
                </c:pt>
                <c:pt idx="126">
                  <c:v>55.657868843215709</c:v>
                </c:pt>
                <c:pt idx="127">
                  <c:v>55.022910070198847</c:v>
                </c:pt>
                <c:pt idx="128">
                  <c:v>54.346287444988349</c:v>
                </c:pt>
                <c:pt idx="129">
                  <c:v>53.628421580551006</c:v>
                </c:pt>
                <c:pt idx="130">
                  <c:v>52.869758728134926</c:v>
                </c:pt>
                <c:pt idx="131">
                  <c:v>52.070770499863713</c:v>
                </c:pt>
                <c:pt idx="132">
                  <c:v>51.231953575565385</c:v>
                </c:pt>
                <c:pt idx="133">
                  <c:v>50.353829394018334</c:v>
                </c:pt>
                <c:pt idx="134">
                  <c:v>49.436943828806236</c:v>
                </c:pt>
                <c:pt idx="135">
                  <c:v>48.481866848983351</c:v>
                </c:pt>
                <c:pt idx="136">
                  <c:v>47.489192164761299</c:v>
                </c:pt>
                <c:pt idx="137">
                  <c:v>46.45953685843741</c:v>
                </c:pt>
                <c:pt idx="138">
                  <c:v>45.39354100079418</c:v>
                </c:pt>
                <c:pt idx="139">
                  <c:v>44.29186725320821</c:v>
                </c:pt>
                <c:pt idx="140">
                  <c:v>43.155200455716098</c:v>
                </c:pt>
                <c:pt idx="141">
                  <c:v>41.984247201293201</c:v>
                </c:pt>
                <c:pt idx="142">
                  <c:v>40.779735396610057</c:v>
                </c:pt>
                <c:pt idx="143">
                  <c:v>39.542413809539362</c:v>
                </c:pt>
                <c:pt idx="144">
                  <c:v>38.27305160369496</c:v>
                </c:pt>
                <c:pt idx="145">
                  <c:v>36.97243786029204</c:v>
                </c:pt>
                <c:pt idx="146">
                  <c:v>35.641381087625909</c:v>
                </c:pt>
                <c:pt idx="147">
                  <c:v>34.280708718474088</c:v>
                </c:pt>
                <c:pt idx="148">
                  <c:v>32.891266595734379</c:v>
                </c:pt>
                <c:pt idx="149">
                  <c:v>31.473918446618441</c:v>
                </c:pt>
                <c:pt idx="150">
                  <c:v>30.029545345727961</c:v>
                </c:pt>
                <c:pt idx="151">
                  <c:v>28.559045167346859</c:v>
                </c:pt>
                <c:pt idx="152">
                  <c:v>27.063332027290457</c:v>
                </c:pt>
                <c:pt idx="153">
                  <c:v>25.54333571465812</c:v>
                </c:pt>
                <c:pt idx="154">
                  <c:v>24.00000111384292</c:v>
                </c:pt>
                <c:pt idx="155">
                  <c:v>22.434287617157558</c:v>
                </c:pt>
                <c:pt idx="156">
                  <c:v>20.847168528441451</c:v>
                </c:pt>
                <c:pt idx="157">
                  <c:v>19.239630458020226</c:v>
                </c:pt>
                <c:pt idx="158">
                  <c:v>17.612672709393095</c:v>
                </c:pt>
                <c:pt idx="159">
                  <c:v>15.967306658029923</c:v>
                </c:pt>
                <c:pt idx="160">
                  <c:v>14.304555122663807</c:v>
                </c:pt>
                <c:pt idx="161">
                  <c:v>12.625451729470267</c:v>
                </c:pt>
                <c:pt idx="162">
                  <c:v>10.931040269527855</c:v>
                </c:pt>
                <c:pt idx="163">
                  <c:v>9.2223740499601874</c:v>
                </c:pt>
                <c:pt idx="164">
                  <c:v>7.50051523916229</c:v>
                </c:pt>
                <c:pt idx="165">
                  <c:v>5.7665342065185783</c:v>
                </c:pt>
                <c:pt idx="166">
                  <c:v>4.0215088570226385</c:v>
                </c:pt>
                <c:pt idx="167">
                  <c:v>2.2665239612127621</c:v>
                </c:pt>
                <c:pt idx="168">
                  <c:v>0.50267048083958699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2.8515696384297637</c:v>
                </c:pt>
                <c:pt idx="177">
                  <c:v>1.9753111994832171</c:v>
                </c:pt>
                <c:pt idx="178">
                  <c:v>0.92563316887902047</c:v>
                </c:pt>
                <c:pt idx="179">
                  <c:v>-0.21601377837397351</c:v>
                </c:pt>
                <c:pt idx="180">
                  <c:v>-1.4157664759720063</c:v>
                </c:pt>
                <c:pt idx="181">
                  <c:v>-2.6556123420946562</c:v>
                </c:pt>
                <c:pt idx="182">
                  <c:v>-3.9245681685754725</c:v>
                </c:pt>
                <c:pt idx="183">
                  <c:v>-5.2153144569239593</c:v>
                </c:pt>
                <c:pt idx="184">
                  <c:v>-6.5226550874579061</c:v>
                </c:pt>
                <c:pt idx="185">
                  <c:v>-7.8427215966531474</c:v>
                </c:pt>
                <c:pt idx="186">
                  <c:v>-9.1725245020797033</c:v>
                </c:pt>
                <c:pt idx="187">
                  <c:v>-10.509682805443534</c:v>
                </c:pt>
                <c:pt idx="188">
                  <c:v>-11.852251962601201</c:v>
                </c:pt>
                <c:pt idx="189">
                  <c:v>-13.198609507350314</c:v>
                </c:pt>
                <c:pt idx="190">
                  <c:v>-14.547376030315508</c:v>
                </c:pt>
                <c:pt idx="191">
                  <c:v>-15.897358663204308</c:v>
                </c:pt>
                <c:pt idx="192">
                  <c:v>-17.247509325359044</c:v>
                </c:pt>
                <c:pt idx="193">
                  <c:v>-18.596892885306229</c:v>
                </c:pt>
                <c:pt idx="194">
                  <c:v>-19.944662101015112</c:v>
                </c:pt>
                <c:pt idx="195">
                  <c:v>-21.290037250525245</c:v>
                </c:pt>
                <c:pt idx="196">
                  <c:v>-22.632289027455251</c:v>
                </c:pt>
                <c:pt idx="197">
                  <c:v>-23.97072370792359</c:v>
                </c:pt>
                <c:pt idx="198">
                  <c:v>-25.30466988534544</c:v>
                </c:pt>
                <c:pt idx="199">
                  <c:v>-26.633466270137497</c:v>
                </c:pt>
                <c:pt idx="200">
                  <c:v>-27.956450194805811</c:v>
                </c:pt>
                <c:pt idx="201">
                  <c:v>-29.272946571435931</c:v>
                </c:pt>
                <c:pt idx="202">
                  <c:v>-30.582257131227855</c:v>
                </c:pt>
                <c:pt idx="203">
                  <c:v>-31.883649842884822</c:v>
                </c:pt>
                <c:pt idx="204">
                  <c:v>-33.176348463939625</c:v>
                </c:pt>
                <c:pt idx="205">
                  <c:v>-34.459522230103559</c:v>
                </c:pt>
                <c:pt idx="206">
                  <c:v>-35.732275734705851</c:v>
                </c:pt>
                <c:pt idx="207">
                  <c:v>-36.99363909448315</c:v>
                </c:pt>
                <c:pt idx="208">
                  <c:v>-38.242558539797471</c:v>
                </c:pt>
                <c:pt idx="209">
                  <c:v>-39.477887606536221</c:v>
                </c:pt>
                <c:pt idx="210">
                  <c:v>-40.698379142616446</c:v>
                </c:pt>
                <c:pt idx="211">
                  <c:v>-41.902678372794895</c:v>
                </c:pt>
                <c:pt idx="212">
                  <c:v>-43.089317289558807</c:v>
                </c:pt>
                <c:pt idx="213">
                  <c:v>-44.25671065311036</c:v>
                </c:pt>
                <c:pt idx="214">
                  <c:v>-45.403153887555582</c:v>
                </c:pt>
                <c:pt idx="215">
                  <c:v>-46.526823151096757</c:v>
                </c:pt>
                <c:pt idx="216">
                  <c:v>-47.625777833297384</c:v>
                </c:pt>
                <c:pt idx="217">
                  <c:v>-48.697965690882285</c:v>
                </c:pt>
                <c:pt idx="218">
                  <c:v>-49.741230774414589</c:v>
                </c:pt>
                <c:pt idx="219">
                  <c:v>-50.753324222038465</c:v>
                </c:pt>
                <c:pt idx="220">
                  <c:v>-51.731917905092047</c:v>
                </c:pt>
                <c:pt idx="221">
                  <c:v>-52.674620807053785</c:v>
                </c:pt>
                <c:pt idx="222">
                  <c:v>-53.578997906712083</c:v>
                </c:pt>
                <c:pt idx="223">
                  <c:v>-54.442591224662408</c:v>
                </c:pt>
                <c:pt idx="224">
                  <c:v>-55.262942586197084</c:v>
                </c:pt>
                <c:pt idx="225">
                  <c:v>-56.037617560739605</c:v>
                </c:pt>
                <c:pt idx="226">
                  <c:v>-56.764229965340405</c:v>
                </c:pt>
                <c:pt idx="227">
                  <c:v>-57.440466273599569</c:v>
                </c:pt>
                <c:pt idx="228">
                  <c:v>-58.064109256288212</c:v>
                </c:pt>
                <c:pt idx="229">
                  <c:v>-58.633060198267984</c:v>
                </c:pt>
                <c:pt idx="230">
                  <c:v>-59.145359087855262</c:v>
                </c:pt>
                <c:pt idx="231">
                  <c:v>-59.599202256688159</c:v>
                </c:pt>
                <c:pt idx="232">
                  <c:v>-59.992957055132891</c:v>
                </c:pt>
                <c:pt idx="233">
                  <c:v>-60.325173273076174</c:v>
                </c:pt>
                <c:pt idx="234">
                  <c:v>-60.594591150128096</c:v>
                </c:pt>
                <c:pt idx="235">
                  <c:v>-60.800145953957085</c:v>
                </c:pt>
                <c:pt idx="236">
                  <c:v>-60.940969232303956</c:v>
                </c:pt>
                <c:pt idx="237">
                  <c:v>-61.016386955989681</c:v>
                </c:pt>
                <c:pt idx="238">
                  <c:v>-61.025914861512376</c:v>
                </c:pt>
                <c:pt idx="239">
                  <c:v>-60.969251369261414</c:v>
                </c:pt>
              </c:numCache>
            </c:numRef>
          </c:xVal>
          <c:yVal>
            <c:numRef>
              <c:f>CALC60!$DF$6:$DF$581</c:f>
              <c:numCache>
                <c:formatCode>General</c:formatCode>
                <c:ptCount val="576"/>
              </c:numCache>
            </c:numRef>
          </c:yVal>
          <c:smooth val="0"/>
        </c:ser>
        <c:ser>
          <c:idx val="59"/>
          <c:order val="59"/>
          <c:tx>
            <c:strRef>
              <c:f>CALC60!$DG$5</c:f>
              <c:strCache>
                <c:ptCount val="1"/>
                <c:pt idx="0">
                  <c:v>R58</c:v>
                </c:pt>
              </c:strCache>
            </c:strRef>
          </c:tx>
          <c:xVal>
            <c:numRef>
              <c:f>CALC60!$AY$6:$AY$581</c:f>
              <c:numCache>
                <c:formatCode>General</c:formatCode>
                <c:ptCount val="576"/>
                <c:pt idx="0">
                  <c:v>-19.833506546880365</c:v>
                </c:pt>
                <c:pt idx="1">
                  <c:v>-18.245852614565919</c:v>
                </c:pt>
                <c:pt idx="2">
                  <c:v>-16.629666681765414</c:v>
                </c:pt>
                <c:pt idx="3">
                  <c:v>-14.98231154257417</c:v>
                </c:pt>
                <c:pt idx="4">
                  <c:v>-13.301143585556035</c:v>
                </c:pt>
                <c:pt idx="5">
                  <c:v>-11.583569246398675</c:v>
                </c:pt>
                <c:pt idx="6">
                  <c:v>-9.8270793278644781</c:v>
                </c:pt>
                <c:pt idx="7">
                  <c:v>-8.029252658232803</c:v>
                </c:pt>
                <c:pt idx="8">
                  <c:v>-6.1877185053343773</c:v>
                </c:pt>
                <c:pt idx="9">
                  <c:v>-4.3000630515963358</c:v>
                </c:pt>
                <c:pt idx="10">
                  <c:v>-2.3636564525099644</c:v>
                </c:pt>
                <c:pt idx="11">
                  <c:v>-0.37535794962416702</c:v>
                </c:pt>
                <c:pt idx="12">
                  <c:v>-3.0678010204149508</c:v>
                </c:pt>
                <c:pt idx="13">
                  <c:v>5.8156608222448263</c:v>
                </c:pt>
                <c:pt idx="14">
                  <c:v>-8.9906603193697858</c:v>
                </c:pt>
                <c:pt idx="15">
                  <c:v>-19.434156555154736</c:v>
                </c:pt>
                <c:pt idx="16">
                  <c:v>-12</c:v>
                </c:pt>
                <c:pt idx="17">
                  <c:v>-29.167117021908272</c:v>
                </c:pt>
                <c:pt idx="18">
                  <c:v>-14</c:v>
                </c:pt>
                <c:pt idx="19">
                  <c:v>-19.833506546880365</c:v>
                </c:pt>
                <c:pt idx="20">
                  <c:v>1.5130248501190131</c:v>
                </c:pt>
                <c:pt idx="21">
                  <c:v>12</c:v>
                </c:pt>
                <c:pt idx="22">
                  <c:v>-12</c:v>
                </c:pt>
                <c:pt idx="23">
                  <c:v>-28.772550131225248</c:v>
                </c:pt>
                <c:pt idx="24">
                  <c:v>-11.666666666666666</c:v>
                </c:pt>
                <c:pt idx="25">
                  <c:v>-18.245852614565919</c:v>
                </c:pt>
                <c:pt idx="26">
                  <c:v>4.3925078710812571</c:v>
                </c:pt>
                <c:pt idx="27">
                  <c:v>12</c:v>
                </c:pt>
                <c:pt idx="28">
                  <c:v>-12</c:v>
                </c:pt>
                <c:pt idx="29">
                  <c:v>-28.303800039278563</c:v>
                </c:pt>
                <c:pt idx="30">
                  <c:v>-9.3333333333333321</c:v>
                </c:pt>
                <c:pt idx="31">
                  <c:v>-16.629666681765414</c:v>
                </c:pt>
                <c:pt idx="32">
                  <c:v>6.4527131206909987</c:v>
                </c:pt>
                <c:pt idx="33">
                  <c:v>12</c:v>
                </c:pt>
                <c:pt idx="34">
                  <c:v>-12</c:v>
                </c:pt>
                <c:pt idx="35">
                  <c:v>-27.754010010716058</c:v>
                </c:pt>
                <c:pt idx="36">
                  <c:v>-6.9999999999999982</c:v>
                </c:pt>
                <c:pt idx="37">
                  <c:v>-14.98231154257417</c:v>
                </c:pt>
                <c:pt idx="38">
                  <c:v>8.2375052570320868</c:v>
                </c:pt>
                <c:pt idx="39">
                  <c:v>12</c:v>
                </c:pt>
                <c:pt idx="40">
                  <c:v>-12</c:v>
                </c:pt>
                <c:pt idx="41">
                  <c:v>-27.116306655803694</c:v>
                </c:pt>
                <c:pt idx="42">
                  <c:v>-4.6666666666666643</c:v>
                </c:pt>
                <c:pt idx="43">
                  <c:v>-13.301143585556035</c:v>
                </c:pt>
                <c:pt idx="44">
                  <c:v>9.8664661885771885</c:v>
                </c:pt>
                <c:pt idx="45">
                  <c:v>12</c:v>
                </c:pt>
                <c:pt idx="46">
                  <c:v>-12</c:v>
                </c:pt>
                <c:pt idx="47">
                  <c:v>-26.383946707329393</c:v>
                </c:pt>
                <c:pt idx="48">
                  <c:v>-2.3333333333333308</c:v>
                </c:pt>
                <c:pt idx="49">
                  <c:v>-11.583569246398675</c:v>
                </c:pt>
                <c:pt idx="50">
                  <c:v>11.388844623449907</c:v>
                </c:pt>
                <c:pt idx="51">
                  <c:v>12</c:v>
                </c:pt>
                <c:pt idx="52">
                  <c:v>-12</c:v>
                </c:pt>
                <c:pt idx="53">
                  <c:v>-25.550406252475348</c:v>
                </c:pt>
                <c:pt idx="54">
                  <c:v>0</c:v>
                </c:pt>
                <c:pt idx="55">
                  <c:v>-9.8270793278644781</c:v>
                </c:pt>
                <c:pt idx="56">
                  <c:v>12.829698097369761</c:v>
                </c:pt>
                <c:pt idx="57">
                  <c:v>12</c:v>
                </c:pt>
                <c:pt idx="58">
                  <c:v>-12</c:v>
                </c:pt>
                <c:pt idx="59">
                  <c:v>-24.609390244767855</c:v>
                </c:pt>
                <c:pt idx="60">
                  <c:v>2.3333333333333335</c:v>
                </c:pt>
                <c:pt idx="61">
                  <c:v>-8.029252658232803</c:v>
                </c:pt>
                <c:pt idx="62">
                  <c:v>14.203132463376605</c:v>
                </c:pt>
                <c:pt idx="63">
                  <c:v>12</c:v>
                </c:pt>
                <c:pt idx="64">
                  <c:v>-12</c:v>
                </c:pt>
                <c:pt idx="65">
                  <c:v>-23.554734780566797</c:v>
                </c:pt>
                <c:pt idx="66">
                  <c:v>4.666666666666667</c:v>
                </c:pt>
                <c:pt idx="67">
                  <c:v>-6.1877185053343773</c:v>
                </c:pt>
                <c:pt idx="68">
                  <c:v>15.517506829265256</c:v>
                </c:pt>
                <c:pt idx="69">
                  <c:v>12</c:v>
                </c:pt>
                <c:pt idx="70">
                  <c:v>-12</c:v>
                </c:pt>
                <c:pt idx="71">
                  <c:v>-22.380163934182676</c:v>
                </c:pt>
                <c:pt idx="72">
                  <c:v>7</c:v>
                </c:pt>
                <c:pt idx="73">
                  <c:v>-4.3000630515963358</c:v>
                </c:pt>
                <c:pt idx="74">
                  <c:v>16.777941702150098</c:v>
                </c:pt>
                <c:pt idx="75">
                  <c:v>12</c:v>
                </c:pt>
                <c:pt idx="76">
                  <c:v>-12</c:v>
                </c:pt>
                <c:pt idx="77">
                  <c:v>-21.078840109892809</c:v>
                </c:pt>
                <c:pt idx="78">
                  <c:v>9.3333333333333339</c:v>
                </c:pt>
                <c:pt idx="79">
                  <c:v>-2.3636564525099644</c:v>
                </c:pt>
                <c:pt idx="80">
                  <c:v>17.987756355580007</c:v>
                </c:pt>
                <c:pt idx="81">
                  <c:v>12</c:v>
                </c:pt>
                <c:pt idx="82">
                  <c:v>-12</c:v>
                </c:pt>
                <c:pt idx="83">
                  <c:v>-19.642597335724307</c:v>
                </c:pt>
                <c:pt idx="84">
                  <c:v>11.666666666666668</c:v>
                </c:pt>
                <c:pt idx="85">
                  <c:v>-0.37535794962416702</c:v>
                </c:pt>
                <c:pt idx="86">
                  <c:v>19.149459663035739</c:v>
                </c:pt>
                <c:pt idx="87">
                  <c:v>12</c:v>
                </c:pt>
                <c:pt idx="88">
                  <c:v>-12</c:v>
                </c:pt>
                <c:pt idx="89">
                  <c:v>-30.376282653093735</c:v>
                </c:pt>
                <c:pt idx="90">
                  <c:v>14.000000000000002</c:v>
                </c:pt>
                <c:pt idx="91">
                  <c:v>-3.0678010204149508</c:v>
                </c:pt>
                <c:pt idx="92">
                  <c:v>26.896999319700733</c:v>
                </c:pt>
                <c:pt idx="93">
                  <c:v>12</c:v>
                </c:pt>
                <c:pt idx="94">
                  <c:v>-12</c:v>
                </c:pt>
                <c:pt idx="95">
                  <c:v>-24.879281862192261</c:v>
                </c:pt>
                <c:pt idx="96">
                  <c:v>25</c:v>
                </c:pt>
                <c:pt idx="97">
                  <c:v>5.8156608222448263</c:v>
                </c:pt>
                <c:pt idx="98">
                  <c:v>31.34962606454722</c:v>
                </c:pt>
                <c:pt idx="99">
                  <c:v>12</c:v>
                </c:pt>
                <c:pt idx="100">
                  <c:v>-12</c:v>
                </c:pt>
                <c:pt idx="101">
                  <c:v>-23.375716830330454</c:v>
                </c:pt>
                <c:pt idx="102">
                  <c:v>0</c:v>
                </c:pt>
                <c:pt idx="103">
                  <c:v>-8.9906603193697858</c:v>
                </c:pt>
                <c:pt idx="104">
                  <c:v>22.648032351271631</c:v>
                </c:pt>
                <c:pt idx="105">
                  <c:v>12</c:v>
                </c:pt>
                <c:pt idx="106">
                  <c:v>-12</c:v>
                </c:pt>
                <c:pt idx="107">
                  <c:v>-10.52880704336475</c:v>
                </c:pt>
                <c:pt idx="108">
                  <c:v>-25</c:v>
                </c:pt>
                <c:pt idx="109">
                  <c:v>-19.434156555154736</c:v>
                </c:pt>
                <c:pt idx="110">
                  <c:v>20.32293673094285</c:v>
                </c:pt>
                <c:pt idx="111">
                  <c:v>12</c:v>
                </c:pt>
                <c:pt idx="112">
                  <c:v>60</c:v>
                </c:pt>
                <c:pt idx="113">
                  <c:v>59.977621104822219</c:v>
                </c:pt>
                <c:pt idx="114">
                  <c:v>59.910498330815244</c:v>
                </c:pt>
                <c:pt idx="115">
                  <c:v>59.7986734039103</c:v>
                </c:pt>
                <c:pt idx="116">
                  <c:v>59.642215838505066</c:v>
                </c:pt>
                <c:pt idx="117">
                  <c:v>59.441222894251112</c:v>
                </c:pt>
                <c:pt idx="118">
                  <c:v>59.195819515593755</c:v>
                </c:pt>
                <c:pt idx="119">
                  <c:v>58.906158254102053</c:v>
                </c:pt>
                <c:pt idx="120">
                  <c:v>58.572419173637371</c:v>
                </c:pt>
                <c:pt idx="121">
                  <c:v>58.19480973841911</c:v>
                </c:pt>
                <c:pt idx="122">
                  <c:v>57.77356468405749</c:v>
                </c:pt>
                <c:pt idx="123">
                  <c:v>57.308945871633512</c:v>
                </c:pt>
                <c:pt idx="124">
                  <c:v>56.801242124916655</c:v>
                </c:pt>
                <c:pt idx="125">
                  <c:v>56.250769050821617</c:v>
                </c:pt>
                <c:pt idx="126">
                  <c:v>55.657868843215709</c:v>
                </c:pt>
                <c:pt idx="127">
                  <c:v>55.022910070198847</c:v>
                </c:pt>
                <c:pt idx="128">
                  <c:v>54.346287444988349</c:v>
                </c:pt>
                <c:pt idx="129">
                  <c:v>53.628421580551006</c:v>
                </c:pt>
                <c:pt idx="130">
                  <c:v>52.869758728134926</c:v>
                </c:pt>
                <c:pt idx="131">
                  <c:v>52.070770499863713</c:v>
                </c:pt>
                <c:pt idx="132">
                  <c:v>51.231953575565385</c:v>
                </c:pt>
                <c:pt idx="133">
                  <c:v>50.353829394018334</c:v>
                </c:pt>
                <c:pt idx="134">
                  <c:v>49.436943828806236</c:v>
                </c:pt>
                <c:pt idx="135">
                  <c:v>48.481866848983351</c:v>
                </c:pt>
                <c:pt idx="136">
                  <c:v>47.489192164761299</c:v>
                </c:pt>
                <c:pt idx="137">
                  <c:v>46.45953685843741</c:v>
                </c:pt>
                <c:pt idx="138">
                  <c:v>45.39354100079418</c:v>
                </c:pt>
                <c:pt idx="139">
                  <c:v>44.29186725320821</c:v>
                </c:pt>
                <c:pt idx="140">
                  <c:v>43.155200455716098</c:v>
                </c:pt>
                <c:pt idx="141">
                  <c:v>41.984247201293201</c:v>
                </c:pt>
                <c:pt idx="142">
                  <c:v>40.779735396610057</c:v>
                </c:pt>
                <c:pt idx="143">
                  <c:v>39.542413809539362</c:v>
                </c:pt>
                <c:pt idx="144">
                  <c:v>38.27305160369496</c:v>
                </c:pt>
                <c:pt idx="145">
                  <c:v>36.97243786029204</c:v>
                </c:pt>
                <c:pt idx="146">
                  <c:v>35.641381087625909</c:v>
                </c:pt>
                <c:pt idx="147">
                  <c:v>34.280708718474088</c:v>
                </c:pt>
                <c:pt idx="148">
                  <c:v>32.891266595734379</c:v>
                </c:pt>
                <c:pt idx="149">
                  <c:v>31.473918446618441</c:v>
                </c:pt>
                <c:pt idx="150">
                  <c:v>30.029545345727961</c:v>
                </c:pt>
                <c:pt idx="151">
                  <c:v>28.559045167346859</c:v>
                </c:pt>
                <c:pt idx="152">
                  <c:v>27.063332027290457</c:v>
                </c:pt>
                <c:pt idx="153">
                  <c:v>25.54333571465812</c:v>
                </c:pt>
                <c:pt idx="154">
                  <c:v>24.00000111384292</c:v>
                </c:pt>
                <c:pt idx="155">
                  <c:v>22.434287617157558</c:v>
                </c:pt>
                <c:pt idx="156">
                  <c:v>20.847168528441451</c:v>
                </c:pt>
                <c:pt idx="157">
                  <c:v>19.239630458020226</c:v>
                </c:pt>
                <c:pt idx="158">
                  <c:v>17.612672709393095</c:v>
                </c:pt>
                <c:pt idx="159">
                  <c:v>15.967306658029923</c:v>
                </c:pt>
                <c:pt idx="160">
                  <c:v>14.304555122663807</c:v>
                </c:pt>
                <c:pt idx="161">
                  <c:v>12.625451729470267</c:v>
                </c:pt>
                <c:pt idx="162">
                  <c:v>10.931040269527855</c:v>
                </c:pt>
                <c:pt idx="163">
                  <c:v>9.2223740499601874</c:v>
                </c:pt>
                <c:pt idx="164">
                  <c:v>7.50051523916229</c:v>
                </c:pt>
                <c:pt idx="165">
                  <c:v>5.7665342065185783</c:v>
                </c:pt>
                <c:pt idx="166">
                  <c:v>4.0215088570226385</c:v>
                </c:pt>
                <c:pt idx="167">
                  <c:v>2.2665239612127621</c:v>
                </c:pt>
                <c:pt idx="168">
                  <c:v>0.50267048083958699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2.8515696384297637</c:v>
                </c:pt>
                <c:pt idx="177">
                  <c:v>1.9753111994832171</c:v>
                </c:pt>
                <c:pt idx="178">
                  <c:v>0.92563316887902047</c:v>
                </c:pt>
                <c:pt idx="179">
                  <c:v>-0.21601377837397351</c:v>
                </c:pt>
                <c:pt idx="180">
                  <c:v>-1.4157664759720063</c:v>
                </c:pt>
                <c:pt idx="181">
                  <c:v>-2.6556123420946562</c:v>
                </c:pt>
                <c:pt idx="182">
                  <c:v>-3.9245681685754725</c:v>
                </c:pt>
                <c:pt idx="183">
                  <c:v>-5.2153144569239593</c:v>
                </c:pt>
                <c:pt idx="184">
                  <c:v>-6.5226550874579061</c:v>
                </c:pt>
                <c:pt idx="185">
                  <c:v>-7.8427215966531474</c:v>
                </c:pt>
                <c:pt idx="186">
                  <c:v>-9.1725245020797033</c:v>
                </c:pt>
                <c:pt idx="187">
                  <c:v>-10.509682805443534</c:v>
                </c:pt>
                <c:pt idx="188">
                  <c:v>-11.852251962601201</c:v>
                </c:pt>
                <c:pt idx="189">
                  <c:v>-13.198609507350314</c:v>
                </c:pt>
                <c:pt idx="190">
                  <c:v>-14.547376030315508</c:v>
                </c:pt>
                <c:pt idx="191">
                  <c:v>-15.897358663204308</c:v>
                </c:pt>
                <c:pt idx="192">
                  <c:v>-17.247509325359044</c:v>
                </c:pt>
                <c:pt idx="193">
                  <c:v>-18.596892885306229</c:v>
                </c:pt>
                <c:pt idx="194">
                  <c:v>-19.944662101015112</c:v>
                </c:pt>
                <c:pt idx="195">
                  <c:v>-21.290037250525245</c:v>
                </c:pt>
                <c:pt idx="196">
                  <c:v>-22.632289027455251</c:v>
                </c:pt>
                <c:pt idx="197">
                  <c:v>-23.97072370792359</c:v>
                </c:pt>
                <c:pt idx="198">
                  <c:v>-25.30466988534544</c:v>
                </c:pt>
                <c:pt idx="199">
                  <c:v>-26.633466270137497</c:v>
                </c:pt>
                <c:pt idx="200">
                  <c:v>-27.956450194805811</c:v>
                </c:pt>
                <c:pt idx="201">
                  <c:v>-29.272946571435931</c:v>
                </c:pt>
                <c:pt idx="202">
                  <c:v>-30.582257131227855</c:v>
                </c:pt>
                <c:pt idx="203">
                  <c:v>-31.883649842884822</c:v>
                </c:pt>
                <c:pt idx="204">
                  <c:v>-33.176348463939625</c:v>
                </c:pt>
                <c:pt idx="205">
                  <c:v>-34.459522230103559</c:v>
                </c:pt>
                <c:pt idx="206">
                  <c:v>-35.732275734705851</c:v>
                </c:pt>
                <c:pt idx="207">
                  <c:v>-36.99363909448315</c:v>
                </c:pt>
                <c:pt idx="208">
                  <c:v>-38.242558539797471</c:v>
                </c:pt>
                <c:pt idx="209">
                  <c:v>-39.477887606536221</c:v>
                </c:pt>
                <c:pt idx="210">
                  <c:v>-40.698379142616446</c:v>
                </c:pt>
                <c:pt idx="211">
                  <c:v>-41.902678372794895</c:v>
                </c:pt>
                <c:pt idx="212">
                  <c:v>-43.089317289558807</c:v>
                </c:pt>
                <c:pt idx="213">
                  <c:v>-44.25671065311036</c:v>
                </c:pt>
                <c:pt idx="214">
                  <c:v>-45.403153887555582</c:v>
                </c:pt>
                <c:pt idx="215">
                  <c:v>-46.526823151096757</c:v>
                </c:pt>
                <c:pt idx="216">
                  <c:v>-47.625777833297384</c:v>
                </c:pt>
                <c:pt idx="217">
                  <c:v>-48.697965690882285</c:v>
                </c:pt>
                <c:pt idx="218">
                  <c:v>-49.741230774414589</c:v>
                </c:pt>
                <c:pt idx="219">
                  <c:v>-50.753324222038465</c:v>
                </c:pt>
                <c:pt idx="220">
                  <c:v>-51.731917905092047</c:v>
                </c:pt>
                <c:pt idx="221">
                  <c:v>-52.674620807053785</c:v>
                </c:pt>
                <c:pt idx="222">
                  <c:v>-53.578997906712083</c:v>
                </c:pt>
                <c:pt idx="223">
                  <c:v>-54.442591224662408</c:v>
                </c:pt>
                <c:pt idx="224">
                  <c:v>-55.262942586197084</c:v>
                </c:pt>
                <c:pt idx="225">
                  <c:v>-56.037617560739605</c:v>
                </c:pt>
                <c:pt idx="226">
                  <c:v>-56.764229965340405</c:v>
                </c:pt>
                <c:pt idx="227">
                  <c:v>-57.440466273599569</c:v>
                </c:pt>
                <c:pt idx="228">
                  <c:v>-58.064109256288212</c:v>
                </c:pt>
                <c:pt idx="229">
                  <c:v>-58.633060198267984</c:v>
                </c:pt>
                <c:pt idx="230">
                  <c:v>-59.145359087855262</c:v>
                </c:pt>
                <c:pt idx="231">
                  <c:v>-59.599202256688159</c:v>
                </c:pt>
                <c:pt idx="232">
                  <c:v>-59.992957055132891</c:v>
                </c:pt>
                <c:pt idx="233">
                  <c:v>-60.325173273076174</c:v>
                </c:pt>
                <c:pt idx="234">
                  <c:v>-60.594591150128096</c:v>
                </c:pt>
                <c:pt idx="235">
                  <c:v>-60.800145953957085</c:v>
                </c:pt>
                <c:pt idx="236">
                  <c:v>-60.940969232303956</c:v>
                </c:pt>
                <c:pt idx="237">
                  <c:v>-61.016386955989681</c:v>
                </c:pt>
                <c:pt idx="238">
                  <c:v>-61.025914861512376</c:v>
                </c:pt>
                <c:pt idx="239">
                  <c:v>-60.969251369261414</c:v>
                </c:pt>
              </c:numCache>
            </c:numRef>
          </c:xVal>
          <c:yVal>
            <c:numRef>
              <c:f>CALC60!$DG$6:$DG$581</c:f>
              <c:numCache>
                <c:formatCode>General</c:formatCode>
                <c:ptCount val="576"/>
              </c:numCache>
            </c:numRef>
          </c:yVal>
          <c:smooth val="0"/>
        </c:ser>
        <c:ser>
          <c:idx val="60"/>
          <c:order val="60"/>
          <c:tx>
            <c:strRef>
              <c:f>CALC60!$DH$5</c:f>
              <c:strCache>
                <c:ptCount val="1"/>
                <c:pt idx="0">
                  <c:v>R59</c:v>
                </c:pt>
              </c:strCache>
            </c:strRef>
          </c:tx>
          <c:xVal>
            <c:numRef>
              <c:f>CALC60!$AY$6:$AY$581</c:f>
              <c:numCache>
                <c:formatCode>General</c:formatCode>
                <c:ptCount val="576"/>
                <c:pt idx="0">
                  <c:v>-19.833506546880365</c:v>
                </c:pt>
                <c:pt idx="1">
                  <c:v>-18.245852614565919</c:v>
                </c:pt>
                <c:pt idx="2">
                  <c:v>-16.629666681765414</c:v>
                </c:pt>
                <c:pt idx="3">
                  <c:v>-14.98231154257417</c:v>
                </c:pt>
                <c:pt idx="4">
                  <c:v>-13.301143585556035</c:v>
                </c:pt>
                <c:pt idx="5">
                  <c:v>-11.583569246398675</c:v>
                </c:pt>
                <c:pt idx="6">
                  <c:v>-9.8270793278644781</c:v>
                </c:pt>
                <c:pt idx="7">
                  <c:v>-8.029252658232803</c:v>
                </c:pt>
                <c:pt idx="8">
                  <c:v>-6.1877185053343773</c:v>
                </c:pt>
                <c:pt idx="9">
                  <c:v>-4.3000630515963358</c:v>
                </c:pt>
                <c:pt idx="10">
                  <c:v>-2.3636564525099644</c:v>
                </c:pt>
                <c:pt idx="11">
                  <c:v>-0.37535794962416702</c:v>
                </c:pt>
                <c:pt idx="12">
                  <c:v>-3.0678010204149508</c:v>
                </c:pt>
                <c:pt idx="13">
                  <c:v>5.8156608222448263</c:v>
                </c:pt>
                <c:pt idx="14">
                  <c:v>-8.9906603193697858</c:v>
                </c:pt>
                <c:pt idx="15">
                  <c:v>-19.434156555154736</c:v>
                </c:pt>
                <c:pt idx="16">
                  <c:v>-12</c:v>
                </c:pt>
                <c:pt idx="17">
                  <c:v>-29.167117021908272</c:v>
                </c:pt>
                <c:pt idx="18">
                  <c:v>-14</c:v>
                </c:pt>
                <c:pt idx="19">
                  <c:v>-19.833506546880365</c:v>
                </c:pt>
                <c:pt idx="20">
                  <c:v>1.5130248501190131</c:v>
                </c:pt>
                <c:pt idx="21">
                  <c:v>12</c:v>
                </c:pt>
                <c:pt idx="22">
                  <c:v>-12</c:v>
                </c:pt>
                <c:pt idx="23">
                  <c:v>-28.772550131225248</c:v>
                </c:pt>
                <c:pt idx="24">
                  <c:v>-11.666666666666666</c:v>
                </c:pt>
                <c:pt idx="25">
                  <c:v>-18.245852614565919</c:v>
                </c:pt>
                <c:pt idx="26">
                  <c:v>4.3925078710812571</c:v>
                </c:pt>
                <c:pt idx="27">
                  <c:v>12</c:v>
                </c:pt>
                <c:pt idx="28">
                  <c:v>-12</c:v>
                </c:pt>
                <c:pt idx="29">
                  <c:v>-28.303800039278563</c:v>
                </c:pt>
                <c:pt idx="30">
                  <c:v>-9.3333333333333321</c:v>
                </c:pt>
                <c:pt idx="31">
                  <c:v>-16.629666681765414</c:v>
                </c:pt>
                <c:pt idx="32">
                  <c:v>6.4527131206909987</c:v>
                </c:pt>
                <c:pt idx="33">
                  <c:v>12</c:v>
                </c:pt>
                <c:pt idx="34">
                  <c:v>-12</c:v>
                </c:pt>
                <c:pt idx="35">
                  <c:v>-27.754010010716058</c:v>
                </c:pt>
                <c:pt idx="36">
                  <c:v>-6.9999999999999982</c:v>
                </c:pt>
                <c:pt idx="37">
                  <c:v>-14.98231154257417</c:v>
                </c:pt>
                <c:pt idx="38">
                  <c:v>8.2375052570320868</c:v>
                </c:pt>
                <c:pt idx="39">
                  <c:v>12</c:v>
                </c:pt>
                <c:pt idx="40">
                  <c:v>-12</c:v>
                </c:pt>
                <c:pt idx="41">
                  <c:v>-27.116306655803694</c:v>
                </c:pt>
                <c:pt idx="42">
                  <c:v>-4.6666666666666643</c:v>
                </c:pt>
                <c:pt idx="43">
                  <c:v>-13.301143585556035</c:v>
                </c:pt>
                <c:pt idx="44">
                  <c:v>9.8664661885771885</c:v>
                </c:pt>
                <c:pt idx="45">
                  <c:v>12</c:v>
                </c:pt>
                <c:pt idx="46">
                  <c:v>-12</c:v>
                </c:pt>
                <c:pt idx="47">
                  <c:v>-26.383946707329393</c:v>
                </c:pt>
                <c:pt idx="48">
                  <c:v>-2.3333333333333308</c:v>
                </c:pt>
                <c:pt idx="49">
                  <c:v>-11.583569246398675</c:v>
                </c:pt>
                <c:pt idx="50">
                  <c:v>11.388844623449907</c:v>
                </c:pt>
                <c:pt idx="51">
                  <c:v>12</c:v>
                </c:pt>
                <c:pt idx="52">
                  <c:v>-12</c:v>
                </c:pt>
                <c:pt idx="53">
                  <c:v>-25.550406252475348</c:v>
                </c:pt>
                <c:pt idx="54">
                  <c:v>0</c:v>
                </c:pt>
                <c:pt idx="55">
                  <c:v>-9.8270793278644781</c:v>
                </c:pt>
                <c:pt idx="56">
                  <c:v>12.829698097369761</c:v>
                </c:pt>
                <c:pt idx="57">
                  <c:v>12</c:v>
                </c:pt>
                <c:pt idx="58">
                  <c:v>-12</c:v>
                </c:pt>
                <c:pt idx="59">
                  <c:v>-24.609390244767855</c:v>
                </c:pt>
                <c:pt idx="60">
                  <c:v>2.3333333333333335</c:v>
                </c:pt>
                <c:pt idx="61">
                  <c:v>-8.029252658232803</c:v>
                </c:pt>
                <c:pt idx="62">
                  <c:v>14.203132463376605</c:v>
                </c:pt>
                <c:pt idx="63">
                  <c:v>12</c:v>
                </c:pt>
                <c:pt idx="64">
                  <c:v>-12</c:v>
                </c:pt>
                <c:pt idx="65">
                  <c:v>-23.554734780566797</c:v>
                </c:pt>
                <c:pt idx="66">
                  <c:v>4.666666666666667</c:v>
                </c:pt>
                <c:pt idx="67">
                  <c:v>-6.1877185053343773</c:v>
                </c:pt>
                <c:pt idx="68">
                  <c:v>15.517506829265256</c:v>
                </c:pt>
                <c:pt idx="69">
                  <c:v>12</c:v>
                </c:pt>
                <c:pt idx="70">
                  <c:v>-12</c:v>
                </c:pt>
                <c:pt idx="71">
                  <c:v>-22.380163934182676</c:v>
                </c:pt>
                <c:pt idx="72">
                  <c:v>7</c:v>
                </c:pt>
                <c:pt idx="73">
                  <c:v>-4.3000630515963358</c:v>
                </c:pt>
                <c:pt idx="74">
                  <c:v>16.777941702150098</c:v>
                </c:pt>
                <c:pt idx="75">
                  <c:v>12</c:v>
                </c:pt>
                <c:pt idx="76">
                  <c:v>-12</c:v>
                </c:pt>
                <c:pt idx="77">
                  <c:v>-21.078840109892809</c:v>
                </c:pt>
                <c:pt idx="78">
                  <c:v>9.3333333333333339</c:v>
                </c:pt>
                <c:pt idx="79">
                  <c:v>-2.3636564525099644</c:v>
                </c:pt>
                <c:pt idx="80">
                  <c:v>17.987756355580007</c:v>
                </c:pt>
                <c:pt idx="81">
                  <c:v>12</c:v>
                </c:pt>
                <c:pt idx="82">
                  <c:v>-12</c:v>
                </c:pt>
                <c:pt idx="83">
                  <c:v>-19.642597335724307</c:v>
                </c:pt>
                <c:pt idx="84">
                  <c:v>11.666666666666668</c:v>
                </c:pt>
                <c:pt idx="85">
                  <c:v>-0.37535794962416702</c:v>
                </c:pt>
                <c:pt idx="86">
                  <c:v>19.149459663035739</c:v>
                </c:pt>
                <c:pt idx="87">
                  <c:v>12</c:v>
                </c:pt>
                <c:pt idx="88">
                  <c:v>-12</c:v>
                </c:pt>
                <c:pt idx="89">
                  <c:v>-30.376282653093735</c:v>
                </c:pt>
                <c:pt idx="90">
                  <c:v>14.000000000000002</c:v>
                </c:pt>
                <c:pt idx="91">
                  <c:v>-3.0678010204149508</c:v>
                </c:pt>
                <c:pt idx="92">
                  <c:v>26.896999319700733</c:v>
                </c:pt>
                <c:pt idx="93">
                  <c:v>12</c:v>
                </c:pt>
                <c:pt idx="94">
                  <c:v>-12</c:v>
                </c:pt>
                <c:pt idx="95">
                  <c:v>-24.879281862192261</c:v>
                </c:pt>
                <c:pt idx="96">
                  <c:v>25</c:v>
                </c:pt>
                <c:pt idx="97">
                  <c:v>5.8156608222448263</c:v>
                </c:pt>
                <c:pt idx="98">
                  <c:v>31.34962606454722</c:v>
                </c:pt>
                <c:pt idx="99">
                  <c:v>12</c:v>
                </c:pt>
                <c:pt idx="100">
                  <c:v>-12</c:v>
                </c:pt>
                <c:pt idx="101">
                  <c:v>-23.375716830330454</c:v>
                </c:pt>
                <c:pt idx="102">
                  <c:v>0</c:v>
                </c:pt>
                <c:pt idx="103">
                  <c:v>-8.9906603193697858</c:v>
                </c:pt>
                <c:pt idx="104">
                  <c:v>22.648032351271631</c:v>
                </c:pt>
                <c:pt idx="105">
                  <c:v>12</c:v>
                </c:pt>
                <c:pt idx="106">
                  <c:v>-12</c:v>
                </c:pt>
                <c:pt idx="107">
                  <c:v>-10.52880704336475</c:v>
                </c:pt>
                <c:pt idx="108">
                  <c:v>-25</c:v>
                </c:pt>
                <c:pt idx="109">
                  <c:v>-19.434156555154736</c:v>
                </c:pt>
                <c:pt idx="110">
                  <c:v>20.32293673094285</c:v>
                </c:pt>
                <c:pt idx="111">
                  <c:v>12</c:v>
                </c:pt>
                <c:pt idx="112">
                  <c:v>60</c:v>
                </c:pt>
                <c:pt idx="113">
                  <c:v>59.977621104822219</c:v>
                </c:pt>
                <c:pt idx="114">
                  <c:v>59.910498330815244</c:v>
                </c:pt>
                <c:pt idx="115">
                  <c:v>59.7986734039103</c:v>
                </c:pt>
                <c:pt idx="116">
                  <c:v>59.642215838505066</c:v>
                </c:pt>
                <c:pt idx="117">
                  <c:v>59.441222894251112</c:v>
                </c:pt>
                <c:pt idx="118">
                  <c:v>59.195819515593755</c:v>
                </c:pt>
                <c:pt idx="119">
                  <c:v>58.906158254102053</c:v>
                </c:pt>
                <c:pt idx="120">
                  <c:v>58.572419173637371</c:v>
                </c:pt>
                <c:pt idx="121">
                  <c:v>58.19480973841911</c:v>
                </c:pt>
                <c:pt idx="122">
                  <c:v>57.77356468405749</c:v>
                </c:pt>
                <c:pt idx="123">
                  <c:v>57.308945871633512</c:v>
                </c:pt>
                <c:pt idx="124">
                  <c:v>56.801242124916655</c:v>
                </c:pt>
                <c:pt idx="125">
                  <c:v>56.250769050821617</c:v>
                </c:pt>
                <c:pt idx="126">
                  <c:v>55.657868843215709</c:v>
                </c:pt>
                <c:pt idx="127">
                  <c:v>55.022910070198847</c:v>
                </c:pt>
                <c:pt idx="128">
                  <c:v>54.346287444988349</c:v>
                </c:pt>
                <c:pt idx="129">
                  <c:v>53.628421580551006</c:v>
                </c:pt>
                <c:pt idx="130">
                  <c:v>52.869758728134926</c:v>
                </c:pt>
                <c:pt idx="131">
                  <c:v>52.070770499863713</c:v>
                </c:pt>
                <c:pt idx="132">
                  <c:v>51.231953575565385</c:v>
                </c:pt>
                <c:pt idx="133">
                  <c:v>50.353829394018334</c:v>
                </c:pt>
                <c:pt idx="134">
                  <c:v>49.436943828806236</c:v>
                </c:pt>
                <c:pt idx="135">
                  <c:v>48.481866848983351</c:v>
                </c:pt>
                <c:pt idx="136">
                  <c:v>47.489192164761299</c:v>
                </c:pt>
                <c:pt idx="137">
                  <c:v>46.45953685843741</c:v>
                </c:pt>
                <c:pt idx="138">
                  <c:v>45.39354100079418</c:v>
                </c:pt>
                <c:pt idx="139">
                  <c:v>44.29186725320821</c:v>
                </c:pt>
                <c:pt idx="140">
                  <c:v>43.155200455716098</c:v>
                </c:pt>
                <c:pt idx="141">
                  <c:v>41.984247201293201</c:v>
                </c:pt>
                <c:pt idx="142">
                  <c:v>40.779735396610057</c:v>
                </c:pt>
                <c:pt idx="143">
                  <c:v>39.542413809539362</c:v>
                </c:pt>
                <c:pt idx="144">
                  <c:v>38.27305160369496</c:v>
                </c:pt>
                <c:pt idx="145">
                  <c:v>36.97243786029204</c:v>
                </c:pt>
                <c:pt idx="146">
                  <c:v>35.641381087625909</c:v>
                </c:pt>
                <c:pt idx="147">
                  <c:v>34.280708718474088</c:v>
                </c:pt>
                <c:pt idx="148">
                  <c:v>32.891266595734379</c:v>
                </c:pt>
                <c:pt idx="149">
                  <c:v>31.473918446618441</c:v>
                </c:pt>
                <c:pt idx="150">
                  <c:v>30.029545345727961</c:v>
                </c:pt>
                <c:pt idx="151">
                  <c:v>28.559045167346859</c:v>
                </c:pt>
                <c:pt idx="152">
                  <c:v>27.063332027290457</c:v>
                </c:pt>
                <c:pt idx="153">
                  <c:v>25.54333571465812</c:v>
                </c:pt>
                <c:pt idx="154">
                  <c:v>24.00000111384292</c:v>
                </c:pt>
                <c:pt idx="155">
                  <c:v>22.434287617157558</c:v>
                </c:pt>
                <c:pt idx="156">
                  <c:v>20.847168528441451</c:v>
                </c:pt>
                <c:pt idx="157">
                  <c:v>19.239630458020226</c:v>
                </c:pt>
                <c:pt idx="158">
                  <c:v>17.612672709393095</c:v>
                </c:pt>
                <c:pt idx="159">
                  <c:v>15.967306658029923</c:v>
                </c:pt>
                <c:pt idx="160">
                  <c:v>14.304555122663807</c:v>
                </c:pt>
                <c:pt idx="161">
                  <c:v>12.625451729470267</c:v>
                </c:pt>
                <c:pt idx="162">
                  <c:v>10.931040269527855</c:v>
                </c:pt>
                <c:pt idx="163">
                  <c:v>9.2223740499601874</c:v>
                </c:pt>
                <c:pt idx="164">
                  <c:v>7.50051523916229</c:v>
                </c:pt>
                <c:pt idx="165">
                  <c:v>5.7665342065185783</c:v>
                </c:pt>
                <c:pt idx="166">
                  <c:v>4.0215088570226385</c:v>
                </c:pt>
                <c:pt idx="167">
                  <c:v>2.2665239612127621</c:v>
                </c:pt>
                <c:pt idx="168">
                  <c:v>0.50267048083958699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2.8515696384297637</c:v>
                </c:pt>
                <c:pt idx="177">
                  <c:v>1.9753111994832171</c:v>
                </c:pt>
                <c:pt idx="178">
                  <c:v>0.92563316887902047</c:v>
                </c:pt>
                <c:pt idx="179">
                  <c:v>-0.21601377837397351</c:v>
                </c:pt>
                <c:pt idx="180">
                  <c:v>-1.4157664759720063</c:v>
                </c:pt>
                <c:pt idx="181">
                  <c:v>-2.6556123420946562</c:v>
                </c:pt>
                <c:pt idx="182">
                  <c:v>-3.9245681685754725</c:v>
                </c:pt>
                <c:pt idx="183">
                  <c:v>-5.2153144569239593</c:v>
                </c:pt>
                <c:pt idx="184">
                  <c:v>-6.5226550874579061</c:v>
                </c:pt>
                <c:pt idx="185">
                  <c:v>-7.8427215966531474</c:v>
                </c:pt>
                <c:pt idx="186">
                  <c:v>-9.1725245020797033</c:v>
                </c:pt>
                <c:pt idx="187">
                  <c:v>-10.509682805443534</c:v>
                </c:pt>
                <c:pt idx="188">
                  <c:v>-11.852251962601201</c:v>
                </c:pt>
                <c:pt idx="189">
                  <c:v>-13.198609507350314</c:v>
                </c:pt>
                <c:pt idx="190">
                  <c:v>-14.547376030315508</c:v>
                </c:pt>
                <c:pt idx="191">
                  <c:v>-15.897358663204308</c:v>
                </c:pt>
                <c:pt idx="192">
                  <c:v>-17.247509325359044</c:v>
                </c:pt>
                <c:pt idx="193">
                  <c:v>-18.596892885306229</c:v>
                </c:pt>
                <c:pt idx="194">
                  <c:v>-19.944662101015112</c:v>
                </c:pt>
                <c:pt idx="195">
                  <c:v>-21.290037250525245</c:v>
                </c:pt>
                <c:pt idx="196">
                  <c:v>-22.632289027455251</c:v>
                </c:pt>
                <c:pt idx="197">
                  <c:v>-23.97072370792359</c:v>
                </c:pt>
                <c:pt idx="198">
                  <c:v>-25.30466988534544</c:v>
                </c:pt>
                <c:pt idx="199">
                  <c:v>-26.633466270137497</c:v>
                </c:pt>
                <c:pt idx="200">
                  <c:v>-27.956450194805811</c:v>
                </c:pt>
                <c:pt idx="201">
                  <c:v>-29.272946571435931</c:v>
                </c:pt>
                <c:pt idx="202">
                  <c:v>-30.582257131227855</c:v>
                </c:pt>
                <c:pt idx="203">
                  <c:v>-31.883649842884822</c:v>
                </c:pt>
                <c:pt idx="204">
                  <c:v>-33.176348463939625</c:v>
                </c:pt>
                <c:pt idx="205">
                  <c:v>-34.459522230103559</c:v>
                </c:pt>
                <c:pt idx="206">
                  <c:v>-35.732275734705851</c:v>
                </c:pt>
                <c:pt idx="207">
                  <c:v>-36.99363909448315</c:v>
                </c:pt>
                <c:pt idx="208">
                  <c:v>-38.242558539797471</c:v>
                </c:pt>
                <c:pt idx="209">
                  <c:v>-39.477887606536221</c:v>
                </c:pt>
                <c:pt idx="210">
                  <c:v>-40.698379142616446</c:v>
                </c:pt>
                <c:pt idx="211">
                  <c:v>-41.902678372794895</c:v>
                </c:pt>
                <c:pt idx="212">
                  <c:v>-43.089317289558807</c:v>
                </c:pt>
                <c:pt idx="213">
                  <c:v>-44.25671065311036</c:v>
                </c:pt>
                <c:pt idx="214">
                  <c:v>-45.403153887555582</c:v>
                </c:pt>
                <c:pt idx="215">
                  <c:v>-46.526823151096757</c:v>
                </c:pt>
                <c:pt idx="216">
                  <c:v>-47.625777833297384</c:v>
                </c:pt>
                <c:pt idx="217">
                  <c:v>-48.697965690882285</c:v>
                </c:pt>
                <c:pt idx="218">
                  <c:v>-49.741230774414589</c:v>
                </c:pt>
                <c:pt idx="219">
                  <c:v>-50.753324222038465</c:v>
                </c:pt>
                <c:pt idx="220">
                  <c:v>-51.731917905092047</c:v>
                </c:pt>
                <c:pt idx="221">
                  <c:v>-52.674620807053785</c:v>
                </c:pt>
                <c:pt idx="222">
                  <c:v>-53.578997906712083</c:v>
                </c:pt>
                <c:pt idx="223">
                  <c:v>-54.442591224662408</c:v>
                </c:pt>
                <c:pt idx="224">
                  <c:v>-55.262942586197084</c:v>
                </c:pt>
                <c:pt idx="225">
                  <c:v>-56.037617560739605</c:v>
                </c:pt>
                <c:pt idx="226">
                  <c:v>-56.764229965340405</c:v>
                </c:pt>
                <c:pt idx="227">
                  <c:v>-57.440466273599569</c:v>
                </c:pt>
                <c:pt idx="228">
                  <c:v>-58.064109256288212</c:v>
                </c:pt>
                <c:pt idx="229">
                  <c:v>-58.633060198267984</c:v>
                </c:pt>
                <c:pt idx="230">
                  <c:v>-59.145359087855262</c:v>
                </c:pt>
                <c:pt idx="231">
                  <c:v>-59.599202256688159</c:v>
                </c:pt>
                <c:pt idx="232">
                  <c:v>-59.992957055132891</c:v>
                </c:pt>
                <c:pt idx="233">
                  <c:v>-60.325173273076174</c:v>
                </c:pt>
                <c:pt idx="234">
                  <c:v>-60.594591150128096</c:v>
                </c:pt>
                <c:pt idx="235">
                  <c:v>-60.800145953957085</c:v>
                </c:pt>
                <c:pt idx="236">
                  <c:v>-60.940969232303956</c:v>
                </c:pt>
                <c:pt idx="237">
                  <c:v>-61.016386955989681</c:v>
                </c:pt>
                <c:pt idx="238">
                  <c:v>-61.025914861512376</c:v>
                </c:pt>
                <c:pt idx="239">
                  <c:v>-60.969251369261414</c:v>
                </c:pt>
              </c:numCache>
            </c:numRef>
          </c:xVal>
          <c:yVal>
            <c:numRef>
              <c:f>CALC60!$DH$6:$DH$581</c:f>
              <c:numCache>
                <c:formatCode>General</c:formatCode>
                <c:ptCount val="576"/>
              </c:numCache>
            </c:numRef>
          </c:yVal>
          <c:smooth val="0"/>
        </c:ser>
        <c:ser>
          <c:idx val="61"/>
          <c:order val="61"/>
          <c:tx>
            <c:strRef>
              <c:f>CALC60!$DI$5</c:f>
              <c:strCache>
                <c:ptCount val="1"/>
                <c:pt idx="0">
                  <c:v>R60</c:v>
                </c:pt>
              </c:strCache>
            </c:strRef>
          </c:tx>
          <c:xVal>
            <c:numRef>
              <c:f>CALC60!$AY$6:$AY$581</c:f>
              <c:numCache>
                <c:formatCode>General</c:formatCode>
                <c:ptCount val="576"/>
                <c:pt idx="0">
                  <c:v>-19.833506546880365</c:v>
                </c:pt>
                <c:pt idx="1">
                  <c:v>-18.245852614565919</c:v>
                </c:pt>
                <c:pt idx="2">
                  <c:v>-16.629666681765414</c:v>
                </c:pt>
                <c:pt idx="3">
                  <c:v>-14.98231154257417</c:v>
                </c:pt>
                <c:pt idx="4">
                  <c:v>-13.301143585556035</c:v>
                </c:pt>
                <c:pt idx="5">
                  <c:v>-11.583569246398675</c:v>
                </c:pt>
                <c:pt idx="6">
                  <c:v>-9.8270793278644781</c:v>
                </c:pt>
                <c:pt idx="7">
                  <c:v>-8.029252658232803</c:v>
                </c:pt>
                <c:pt idx="8">
                  <c:v>-6.1877185053343773</c:v>
                </c:pt>
                <c:pt idx="9">
                  <c:v>-4.3000630515963358</c:v>
                </c:pt>
                <c:pt idx="10">
                  <c:v>-2.3636564525099644</c:v>
                </c:pt>
                <c:pt idx="11">
                  <c:v>-0.37535794962416702</c:v>
                </c:pt>
                <c:pt idx="12">
                  <c:v>-3.0678010204149508</c:v>
                </c:pt>
                <c:pt idx="13">
                  <c:v>5.8156608222448263</c:v>
                </c:pt>
                <c:pt idx="14">
                  <c:v>-8.9906603193697858</c:v>
                </c:pt>
                <c:pt idx="15">
                  <c:v>-19.434156555154736</c:v>
                </c:pt>
                <c:pt idx="16">
                  <c:v>-12</c:v>
                </c:pt>
                <c:pt idx="17">
                  <c:v>-29.167117021908272</c:v>
                </c:pt>
                <c:pt idx="18">
                  <c:v>-14</c:v>
                </c:pt>
                <c:pt idx="19">
                  <c:v>-19.833506546880365</c:v>
                </c:pt>
                <c:pt idx="20">
                  <c:v>1.5130248501190131</c:v>
                </c:pt>
                <c:pt idx="21">
                  <c:v>12</c:v>
                </c:pt>
                <c:pt idx="22">
                  <c:v>-12</c:v>
                </c:pt>
                <c:pt idx="23">
                  <c:v>-28.772550131225248</c:v>
                </c:pt>
                <c:pt idx="24">
                  <c:v>-11.666666666666666</c:v>
                </c:pt>
                <c:pt idx="25">
                  <c:v>-18.245852614565919</c:v>
                </c:pt>
                <c:pt idx="26">
                  <c:v>4.3925078710812571</c:v>
                </c:pt>
                <c:pt idx="27">
                  <c:v>12</c:v>
                </c:pt>
                <c:pt idx="28">
                  <c:v>-12</c:v>
                </c:pt>
                <c:pt idx="29">
                  <c:v>-28.303800039278563</c:v>
                </c:pt>
                <c:pt idx="30">
                  <c:v>-9.3333333333333321</c:v>
                </c:pt>
                <c:pt idx="31">
                  <c:v>-16.629666681765414</c:v>
                </c:pt>
                <c:pt idx="32">
                  <c:v>6.4527131206909987</c:v>
                </c:pt>
                <c:pt idx="33">
                  <c:v>12</c:v>
                </c:pt>
                <c:pt idx="34">
                  <c:v>-12</c:v>
                </c:pt>
                <c:pt idx="35">
                  <c:v>-27.754010010716058</c:v>
                </c:pt>
                <c:pt idx="36">
                  <c:v>-6.9999999999999982</c:v>
                </c:pt>
                <c:pt idx="37">
                  <c:v>-14.98231154257417</c:v>
                </c:pt>
                <c:pt idx="38">
                  <c:v>8.2375052570320868</c:v>
                </c:pt>
                <c:pt idx="39">
                  <c:v>12</c:v>
                </c:pt>
                <c:pt idx="40">
                  <c:v>-12</c:v>
                </c:pt>
                <c:pt idx="41">
                  <c:v>-27.116306655803694</c:v>
                </c:pt>
                <c:pt idx="42">
                  <c:v>-4.6666666666666643</c:v>
                </c:pt>
                <c:pt idx="43">
                  <c:v>-13.301143585556035</c:v>
                </c:pt>
                <c:pt idx="44">
                  <c:v>9.8664661885771885</c:v>
                </c:pt>
                <c:pt idx="45">
                  <c:v>12</c:v>
                </c:pt>
                <c:pt idx="46">
                  <c:v>-12</c:v>
                </c:pt>
                <c:pt idx="47">
                  <c:v>-26.383946707329393</c:v>
                </c:pt>
                <c:pt idx="48">
                  <c:v>-2.3333333333333308</c:v>
                </c:pt>
                <c:pt idx="49">
                  <c:v>-11.583569246398675</c:v>
                </c:pt>
                <c:pt idx="50">
                  <c:v>11.388844623449907</c:v>
                </c:pt>
                <c:pt idx="51">
                  <c:v>12</c:v>
                </c:pt>
                <c:pt idx="52">
                  <c:v>-12</c:v>
                </c:pt>
                <c:pt idx="53">
                  <c:v>-25.550406252475348</c:v>
                </c:pt>
                <c:pt idx="54">
                  <c:v>0</c:v>
                </c:pt>
                <c:pt idx="55">
                  <c:v>-9.8270793278644781</c:v>
                </c:pt>
                <c:pt idx="56">
                  <c:v>12.829698097369761</c:v>
                </c:pt>
                <c:pt idx="57">
                  <c:v>12</c:v>
                </c:pt>
                <c:pt idx="58">
                  <c:v>-12</c:v>
                </c:pt>
                <c:pt idx="59">
                  <c:v>-24.609390244767855</c:v>
                </c:pt>
                <c:pt idx="60">
                  <c:v>2.3333333333333335</c:v>
                </c:pt>
                <c:pt idx="61">
                  <c:v>-8.029252658232803</c:v>
                </c:pt>
                <c:pt idx="62">
                  <c:v>14.203132463376605</c:v>
                </c:pt>
                <c:pt idx="63">
                  <c:v>12</c:v>
                </c:pt>
                <c:pt idx="64">
                  <c:v>-12</c:v>
                </c:pt>
                <c:pt idx="65">
                  <c:v>-23.554734780566797</c:v>
                </c:pt>
                <c:pt idx="66">
                  <c:v>4.666666666666667</c:v>
                </c:pt>
                <c:pt idx="67">
                  <c:v>-6.1877185053343773</c:v>
                </c:pt>
                <c:pt idx="68">
                  <c:v>15.517506829265256</c:v>
                </c:pt>
                <c:pt idx="69">
                  <c:v>12</c:v>
                </c:pt>
                <c:pt idx="70">
                  <c:v>-12</c:v>
                </c:pt>
                <c:pt idx="71">
                  <c:v>-22.380163934182676</c:v>
                </c:pt>
                <c:pt idx="72">
                  <c:v>7</c:v>
                </c:pt>
                <c:pt idx="73">
                  <c:v>-4.3000630515963358</c:v>
                </c:pt>
                <c:pt idx="74">
                  <c:v>16.777941702150098</c:v>
                </c:pt>
                <c:pt idx="75">
                  <c:v>12</c:v>
                </c:pt>
                <c:pt idx="76">
                  <c:v>-12</c:v>
                </c:pt>
                <c:pt idx="77">
                  <c:v>-21.078840109892809</c:v>
                </c:pt>
                <c:pt idx="78">
                  <c:v>9.3333333333333339</c:v>
                </c:pt>
                <c:pt idx="79">
                  <c:v>-2.3636564525099644</c:v>
                </c:pt>
                <c:pt idx="80">
                  <c:v>17.987756355580007</c:v>
                </c:pt>
                <c:pt idx="81">
                  <c:v>12</c:v>
                </c:pt>
                <c:pt idx="82">
                  <c:v>-12</c:v>
                </c:pt>
                <c:pt idx="83">
                  <c:v>-19.642597335724307</c:v>
                </c:pt>
                <c:pt idx="84">
                  <c:v>11.666666666666668</c:v>
                </c:pt>
                <c:pt idx="85">
                  <c:v>-0.37535794962416702</c:v>
                </c:pt>
                <c:pt idx="86">
                  <c:v>19.149459663035739</c:v>
                </c:pt>
                <c:pt idx="87">
                  <c:v>12</c:v>
                </c:pt>
                <c:pt idx="88">
                  <c:v>-12</c:v>
                </c:pt>
                <c:pt idx="89">
                  <c:v>-30.376282653093735</c:v>
                </c:pt>
                <c:pt idx="90">
                  <c:v>14.000000000000002</c:v>
                </c:pt>
                <c:pt idx="91">
                  <c:v>-3.0678010204149508</c:v>
                </c:pt>
                <c:pt idx="92">
                  <c:v>26.896999319700733</c:v>
                </c:pt>
                <c:pt idx="93">
                  <c:v>12</c:v>
                </c:pt>
                <c:pt idx="94">
                  <c:v>-12</c:v>
                </c:pt>
                <c:pt idx="95">
                  <c:v>-24.879281862192261</c:v>
                </c:pt>
                <c:pt idx="96">
                  <c:v>25</c:v>
                </c:pt>
                <c:pt idx="97">
                  <c:v>5.8156608222448263</c:v>
                </c:pt>
                <c:pt idx="98">
                  <c:v>31.34962606454722</c:v>
                </c:pt>
                <c:pt idx="99">
                  <c:v>12</c:v>
                </c:pt>
                <c:pt idx="100">
                  <c:v>-12</c:v>
                </c:pt>
                <c:pt idx="101">
                  <c:v>-23.375716830330454</c:v>
                </c:pt>
                <c:pt idx="102">
                  <c:v>0</c:v>
                </c:pt>
                <c:pt idx="103">
                  <c:v>-8.9906603193697858</c:v>
                </c:pt>
                <c:pt idx="104">
                  <c:v>22.648032351271631</c:v>
                </c:pt>
                <c:pt idx="105">
                  <c:v>12</c:v>
                </c:pt>
                <c:pt idx="106">
                  <c:v>-12</c:v>
                </c:pt>
                <c:pt idx="107">
                  <c:v>-10.52880704336475</c:v>
                </c:pt>
                <c:pt idx="108">
                  <c:v>-25</c:v>
                </c:pt>
                <c:pt idx="109">
                  <c:v>-19.434156555154736</c:v>
                </c:pt>
                <c:pt idx="110">
                  <c:v>20.32293673094285</c:v>
                </c:pt>
                <c:pt idx="111">
                  <c:v>12</c:v>
                </c:pt>
                <c:pt idx="112">
                  <c:v>60</c:v>
                </c:pt>
                <c:pt idx="113">
                  <c:v>59.977621104822219</c:v>
                </c:pt>
                <c:pt idx="114">
                  <c:v>59.910498330815244</c:v>
                </c:pt>
                <c:pt idx="115">
                  <c:v>59.7986734039103</c:v>
                </c:pt>
                <c:pt idx="116">
                  <c:v>59.642215838505066</c:v>
                </c:pt>
                <c:pt idx="117">
                  <c:v>59.441222894251112</c:v>
                </c:pt>
                <c:pt idx="118">
                  <c:v>59.195819515593755</c:v>
                </c:pt>
                <c:pt idx="119">
                  <c:v>58.906158254102053</c:v>
                </c:pt>
                <c:pt idx="120">
                  <c:v>58.572419173637371</c:v>
                </c:pt>
                <c:pt idx="121">
                  <c:v>58.19480973841911</c:v>
                </c:pt>
                <c:pt idx="122">
                  <c:v>57.77356468405749</c:v>
                </c:pt>
                <c:pt idx="123">
                  <c:v>57.308945871633512</c:v>
                </c:pt>
                <c:pt idx="124">
                  <c:v>56.801242124916655</c:v>
                </c:pt>
                <c:pt idx="125">
                  <c:v>56.250769050821617</c:v>
                </c:pt>
                <c:pt idx="126">
                  <c:v>55.657868843215709</c:v>
                </c:pt>
                <c:pt idx="127">
                  <c:v>55.022910070198847</c:v>
                </c:pt>
                <c:pt idx="128">
                  <c:v>54.346287444988349</c:v>
                </c:pt>
                <c:pt idx="129">
                  <c:v>53.628421580551006</c:v>
                </c:pt>
                <c:pt idx="130">
                  <c:v>52.869758728134926</c:v>
                </c:pt>
                <c:pt idx="131">
                  <c:v>52.070770499863713</c:v>
                </c:pt>
                <c:pt idx="132">
                  <c:v>51.231953575565385</c:v>
                </c:pt>
                <c:pt idx="133">
                  <c:v>50.353829394018334</c:v>
                </c:pt>
                <c:pt idx="134">
                  <c:v>49.436943828806236</c:v>
                </c:pt>
                <c:pt idx="135">
                  <c:v>48.481866848983351</c:v>
                </c:pt>
                <c:pt idx="136">
                  <c:v>47.489192164761299</c:v>
                </c:pt>
                <c:pt idx="137">
                  <c:v>46.45953685843741</c:v>
                </c:pt>
                <c:pt idx="138">
                  <c:v>45.39354100079418</c:v>
                </c:pt>
                <c:pt idx="139">
                  <c:v>44.29186725320821</c:v>
                </c:pt>
                <c:pt idx="140">
                  <c:v>43.155200455716098</c:v>
                </c:pt>
                <c:pt idx="141">
                  <c:v>41.984247201293201</c:v>
                </c:pt>
                <c:pt idx="142">
                  <c:v>40.779735396610057</c:v>
                </c:pt>
                <c:pt idx="143">
                  <c:v>39.542413809539362</c:v>
                </c:pt>
                <c:pt idx="144">
                  <c:v>38.27305160369496</c:v>
                </c:pt>
                <c:pt idx="145">
                  <c:v>36.97243786029204</c:v>
                </c:pt>
                <c:pt idx="146">
                  <c:v>35.641381087625909</c:v>
                </c:pt>
                <c:pt idx="147">
                  <c:v>34.280708718474088</c:v>
                </c:pt>
                <c:pt idx="148">
                  <c:v>32.891266595734379</c:v>
                </c:pt>
                <c:pt idx="149">
                  <c:v>31.473918446618441</c:v>
                </c:pt>
                <c:pt idx="150">
                  <c:v>30.029545345727961</c:v>
                </c:pt>
                <c:pt idx="151">
                  <c:v>28.559045167346859</c:v>
                </c:pt>
                <c:pt idx="152">
                  <c:v>27.063332027290457</c:v>
                </c:pt>
                <c:pt idx="153">
                  <c:v>25.54333571465812</c:v>
                </c:pt>
                <c:pt idx="154">
                  <c:v>24.00000111384292</c:v>
                </c:pt>
                <c:pt idx="155">
                  <c:v>22.434287617157558</c:v>
                </c:pt>
                <c:pt idx="156">
                  <c:v>20.847168528441451</c:v>
                </c:pt>
                <c:pt idx="157">
                  <c:v>19.239630458020226</c:v>
                </c:pt>
                <c:pt idx="158">
                  <c:v>17.612672709393095</c:v>
                </c:pt>
                <c:pt idx="159">
                  <c:v>15.967306658029923</c:v>
                </c:pt>
                <c:pt idx="160">
                  <c:v>14.304555122663807</c:v>
                </c:pt>
                <c:pt idx="161">
                  <c:v>12.625451729470267</c:v>
                </c:pt>
                <c:pt idx="162">
                  <c:v>10.931040269527855</c:v>
                </c:pt>
                <c:pt idx="163">
                  <c:v>9.2223740499601874</c:v>
                </c:pt>
                <c:pt idx="164">
                  <c:v>7.50051523916229</c:v>
                </c:pt>
                <c:pt idx="165">
                  <c:v>5.7665342065185783</c:v>
                </c:pt>
                <c:pt idx="166">
                  <c:v>4.0215088570226385</c:v>
                </c:pt>
                <c:pt idx="167">
                  <c:v>2.2665239612127621</c:v>
                </c:pt>
                <c:pt idx="168">
                  <c:v>0.50267048083958699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2.8515696384297637</c:v>
                </c:pt>
                <c:pt idx="177">
                  <c:v>1.9753111994832171</c:v>
                </c:pt>
                <c:pt idx="178">
                  <c:v>0.92563316887902047</c:v>
                </c:pt>
                <c:pt idx="179">
                  <c:v>-0.21601377837397351</c:v>
                </c:pt>
                <c:pt idx="180">
                  <c:v>-1.4157664759720063</c:v>
                </c:pt>
                <c:pt idx="181">
                  <c:v>-2.6556123420946562</c:v>
                </c:pt>
                <c:pt idx="182">
                  <c:v>-3.9245681685754725</c:v>
                </c:pt>
                <c:pt idx="183">
                  <c:v>-5.2153144569239593</c:v>
                </c:pt>
                <c:pt idx="184">
                  <c:v>-6.5226550874579061</c:v>
                </c:pt>
                <c:pt idx="185">
                  <c:v>-7.8427215966531474</c:v>
                </c:pt>
                <c:pt idx="186">
                  <c:v>-9.1725245020797033</c:v>
                </c:pt>
                <c:pt idx="187">
                  <c:v>-10.509682805443534</c:v>
                </c:pt>
                <c:pt idx="188">
                  <c:v>-11.852251962601201</c:v>
                </c:pt>
                <c:pt idx="189">
                  <c:v>-13.198609507350314</c:v>
                </c:pt>
                <c:pt idx="190">
                  <c:v>-14.547376030315508</c:v>
                </c:pt>
                <c:pt idx="191">
                  <c:v>-15.897358663204308</c:v>
                </c:pt>
                <c:pt idx="192">
                  <c:v>-17.247509325359044</c:v>
                </c:pt>
                <c:pt idx="193">
                  <c:v>-18.596892885306229</c:v>
                </c:pt>
                <c:pt idx="194">
                  <c:v>-19.944662101015112</c:v>
                </c:pt>
                <c:pt idx="195">
                  <c:v>-21.290037250525245</c:v>
                </c:pt>
                <c:pt idx="196">
                  <c:v>-22.632289027455251</c:v>
                </c:pt>
                <c:pt idx="197">
                  <c:v>-23.97072370792359</c:v>
                </c:pt>
                <c:pt idx="198">
                  <c:v>-25.30466988534544</c:v>
                </c:pt>
                <c:pt idx="199">
                  <c:v>-26.633466270137497</c:v>
                </c:pt>
                <c:pt idx="200">
                  <c:v>-27.956450194805811</c:v>
                </c:pt>
                <c:pt idx="201">
                  <c:v>-29.272946571435931</c:v>
                </c:pt>
                <c:pt idx="202">
                  <c:v>-30.582257131227855</c:v>
                </c:pt>
                <c:pt idx="203">
                  <c:v>-31.883649842884822</c:v>
                </c:pt>
                <c:pt idx="204">
                  <c:v>-33.176348463939625</c:v>
                </c:pt>
                <c:pt idx="205">
                  <c:v>-34.459522230103559</c:v>
                </c:pt>
                <c:pt idx="206">
                  <c:v>-35.732275734705851</c:v>
                </c:pt>
                <c:pt idx="207">
                  <c:v>-36.99363909448315</c:v>
                </c:pt>
                <c:pt idx="208">
                  <c:v>-38.242558539797471</c:v>
                </c:pt>
                <c:pt idx="209">
                  <c:v>-39.477887606536221</c:v>
                </c:pt>
                <c:pt idx="210">
                  <c:v>-40.698379142616446</c:v>
                </c:pt>
                <c:pt idx="211">
                  <c:v>-41.902678372794895</c:v>
                </c:pt>
                <c:pt idx="212">
                  <c:v>-43.089317289558807</c:v>
                </c:pt>
                <c:pt idx="213">
                  <c:v>-44.25671065311036</c:v>
                </c:pt>
                <c:pt idx="214">
                  <c:v>-45.403153887555582</c:v>
                </c:pt>
                <c:pt idx="215">
                  <c:v>-46.526823151096757</c:v>
                </c:pt>
                <c:pt idx="216">
                  <c:v>-47.625777833297384</c:v>
                </c:pt>
                <c:pt idx="217">
                  <c:v>-48.697965690882285</c:v>
                </c:pt>
                <c:pt idx="218">
                  <c:v>-49.741230774414589</c:v>
                </c:pt>
                <c:pt idx="219">
                  <c:v>-50.753324222038465</c:v>
                </c:pt>
                <c:pt idx="220">
                  <c:v>-51.731917905092047</c:v>
                </c:pt>
                <c:pt idx="221">
                  <c:v>-52.674620807053785</c:v>
                </c:pt>
                <c:pt idx="222">
                  <c:v>-53.578997906712083</c:v>
                </c:pt>
                <c:pt idx="223">
                  <c:v>-54.442591224662408</c:v>
                </c:pt>
                <c:pt idx="224">
                  <c:v>-55.262942586197084</c:v>
                </c:pt>
                <c:pt idx="225">
                  <c:v>-56.037617560739605</c:v>
                </c:pt>
                <c:pt idx="226">
                  <c:v>-56.764229965340405</c:v>
                </c:pt>
                <c:pt idx="227">
                  <c:v>-57.440466273599569</c:v>
                </c:pt>
                <c:pt idx="228">
                  <c:v>-58.064109256288212</c:v>
                </c:pt>
                <c:pt idx="229">
                  <c:v>-58.633060198267984</c:v>
                </c:pt>
                <c:pt idx="230">
                  <c:v>-59.145359087855262</c:v>
                </c:pt>
                <c:pt idx="231">
                  <c:v>-59.599202256688159</c:v>
                </c:pt>
                <c:pt idx="232">
                  <c:v>-59.992957055132891</c:v>
                </c:pt>
                <c:pt idx="233">
                  <c:v>-60.325173273076174</c:v>
                </c:pt>
                <c:pt idx="234">
                  <c:v>-60.594591150128096</c:v>
                </c:pt>
                <c:pt idx="235">
                  <c:v>-60.800145953957085</c:v>
                </c:pt>
                <c:pt idx="236">
                  <c:v>-60.940969232303956</c:v>
                </c:pt>
                <c:pt idx="237">
                  <c:v>-61.016386955989681</c:v>
                </c:pt>
                <c:pt idx="238">
                  <c:v>-61.025914861512376</c:v>
                </c:pt>
                <c:pt idx="239">
                  <c:v>-60.969251369261414</c:v>
                </c:pt>
              </c:numCache>
            </c:numRef>
          </c:xVal>
          <c:yVal>
            <c:numRef>
              <c:f>CALC60!$DI$6:$DI$581</c:f>
              <c:numCache>
                <c:formatCode>General</c:formatCode>
                <c:ptCount val="576"/>
              </c:numCache>
            </c:numRef>
          </c:yVal>
          <c:smooth val="0"/>
        </c:ser>
        <c:ser>
          <c:idx val="62"/>
          <c:order val="62"/>
          <c:tx>
            <c:strRef>
              <c:f>CALC60!$DJ$5</c:f>
              <c:strCache>
                <c:ptCount val="1"/>
                <c:pt idx="0">
                  <c:v>R61</c:v>
                </c:pt>
              </c:strCache>
            </c:strRef>
          </c:tx>
          <c:spPr>
            <a:ln w="28575">
              <a:noFill/>
            </a:ln>
          </c:spPr>
          <c:xVal>
            <c:numRef>
              <c:f>CALC60!$AY$6:$AY$581</c:f>
              <c:numCache>
                <c:formatCode>General</c:formatCode>
                <c:ptCount val="576"/>
                <c:pt idx="0">
                  <c:v>-19.833506546880365</c:v>
                </c:pt>
                <c:pt idx="1">
                  <c:v>-18.245852614565919</c:v>
                </c:pt>
                <c:pt idx="2">
                  <c:v>-16.629666681765414</c:v>
                </c:pt>
                <c:pt idx="3">
                  <c:v>-14.98231154257417</c:v>
                </c:pt>
                <c:pt idx="4">
                  <c:v>-13.301143585556035</c:v>
                </c:pt>
                <c:pt idx="5">
                  <c:v>-11.583569246398675</c:v>
                </c:pt>
                <c:pt idx="6">
                  <c:v>-9.8270793278644781</c:v>
                </c:pt>
                <c:pt idx="7">
                  <c:v>-8.029252658232803</c:v>
                </c:pt>
                <c:pt idx="8">
                  <c:v>-6.1877185053343773</c:v>
                </c:pt>
                <c:pt idx="9">
                  <c:v>-4.3000630515963358</c:v>
                </c:pt>
                <c:pt idx="10">
                  <c:v>-2.3636564525099644</c:v>
                </c:pt>
                <c:pt idx="11">
                  <c:v>-0.37535794962416702</c:v>
                </c:pt>
                <c:pt idx="12">
                  <c:v>-3.0678010204149508</c:v>
                </c:pt>
                <c:pt idx="13">
                  <c:v>5.8156608222448263</c:v>
                </c:pt>
                <c:pt idx="14">
                  <c:v>-8.9906603193697858</c:v>
                </c:pt>
                <c:pt idx="15">
                  <c:v>-19.434156555154736</c:v>
                </c:pt>
                <c:pt idx="16">
                  <c:v>-12</c:v>
                </c:pt>
                <c:pt idx="17">
                  <c:v>-29.167117021908272</c:v>
                </c:pt>
                <c:pt idx="18">
                  <c:v>-14</c:v>
                </c:pt>
                <c:pt idx="19">
                  <c:v>-19.833506546880365</c:v>
                </c:pt>
                <c:pt idx="20">
                  <c:v>1.5130248501190131</c:v>
                </c:pt>
                <c:pt idx="21">
                  <c:v>12</c:v>
                </c:pt>
                <c:pt idx="22">
                  <c:v>-12</c:v>
                </c:pt>
                <c:pt idx="23">
                  <c:v>-28.772550131225248</c:v>
                </c:pt>
                <c:pt idx="24">
                  <c:v>-11.666666666666666</c:v>
                </c:pt>
                <c:pt idx="25">
                  <c:v>-18.245852614565919</c:v>
                </c:pt>
                <c:pt idx="26">
                  <c:v>4.3925078710812571</c:v>
                </c:pt>
                <c:pt idx="27">
                  <c:v>12</c:v>
                </c:pt>
                <c:pt idx="28">
                  <c:v>-12</c:v>
                </c:pt>
                <c:pt idx="29">
                  <c:v>-28.303800039278563</c:v>
                </c:pt>
                <c:pt idx="30">
                  <c:v>-9.3333333333333321</c:v>
                </c:pt>
                <c:pt idx="31">
                  <c:v>-16.629666681765414</c:v>
                </c:pt>
                <c:pt idx="32">
                  <c:v>6.4527131206909987</c:v>
                </c:pt>
                <c:pt idx="33">
                  <c:v>12</c:v>
                </c:pt>
                <c:pt idx="34">
                  <c:v>-12</c:v>
                </c:pt>
                <c:pt idx="35">
                  <c:v>-27.754010010716058</c:v>
                </c:pt>
                <c:pt idx="36">
                  <c:v>-6.9999999999999982</c:v>
                </c:pt>
                <c:pt idx="37">
                  <c:v>-14.98231154257417</c:v>
                </c:pt>
                <c:pt idx="38">
                  <c:v>8.2375052570320868</c:v>
                </c:pt>
                <c:pt idx="39">
                  <c:v>12</c:v>
                </c:pt>
                <c:pt idx="40">
                  <c:v>-12</c:v>
                </c:pt>
                <c:pt idx="41">
                  <c:v>-27.116306655803694</c:v>
                </c:pt>
                <c:pt idx="42">
                  <c:v>-4.6666666666666643</c:v>
                </c:pt>
                <c:pt idx="43">
                  <c:v>-13.301143585556035</c:v>
                </c:pt>
                <c:pt idx="44">
                  <c:v>9.8664661885771885</c:v>
                </c:pt>
                <c:pt idx="45">
                  <c:v>12</c:v>
                </c:pt>
                <c:pt idx="46">
                  <c:v>-12</c:v>
                </c:pt>
                <c:pt idx="47">
                  <c:v>-26.383946707329393</c:v>
                </c:pt>
                <c:pt idx="48">
                  <c:v>-2.3333333333333308</c:v>
                </c:pt>
                <c:pt idx="49">
                  <c:v>-11.583569246398675</c:v>
                </c:pt>
                <c:pt idx="50">
                  <c:v>11.388844623449907</c:v>
                </c:pt>
                <c:pt idx="51">
                  <c:v>12</c:v>
                </c:pt>
                <c:pt idx="52">
                  <c:v>-12</c:v>
                </c:pt>
                <c:pt idx="53">
                  <c:v>-25.550406252475348</c:v>
                </c:pt>
                <c:pt idx="54">
                  <c:v>0</c:v>
                </c:pt>
                <c:pt idx="55">
                  <c:v>-9.8270793278644781</c:v>
                </c:pt>
                <c:pt idx="56">
                  <c:v>12.829698097369761</c:v>
                </c:pt>
                <c:pt idx="57">
                  <c:v>12</c:v>
                </c:pt>
                <c:pt idx="58">
                  <c:v>-12</c:v>
                </c:pt>
                <c:pt idx="59">
                  <c:v>-24.609390244767855</c:v>
                </c:pt>
                <c:pt idx="60">
                  <c:v>2.3333333333333335</c:v>
                </c:pt>
                <c:pt idx="61">
                  <c:v>-8.029252658232803</c:v>
                </c:pt>
                <c:pt idx="62">
                  <c:v>14.203132463376605</c:v>
                </c:pt>
                <c:pt idx="63">
                  <c:v>12</c:v>
                </c:pt>
                <c:pt idx="64">
                  <c:v>-12</c:v>
                </c:pt>
                <c:pt idx="65">
                  <c:v>-23.554734780566797</c:v>
                </c:pt>
                <c:pt idx="66">
                  <c:v>4.666666666666667</c:v>
                </c:pt>
                <c:pt idx="67">
                  <c:v>-6.1877185053343773</c:v>
                </c:pt>
                <c:pt idx="68">
                  <c:v>15.517506829265256</c:v>
                </c:pt>
                <c:pt idx="69">
                  <c:v>12</c:v>
                </c:pt>
                <c:pt idx="70">
                  <c:v>-12</c:v>
                </c:pt>
                <c:pt idx="71">
                  <c:v>-22.380163934182676</c:v>
                </c:pt>
                <c:pt idx="72">
                  <c:v>7</c:v>
                </c:pt>
                <c:pt idx="73">
                  <c:v>-4.3000630515963358</c:v>
                </c:pt>
                <c:pt idx="74">
                  <c:v>16.777941702150098</c:v>
                </c:pt>
                <c:pt idx="75">
                  <c:v>12</c:v>
                </c:pt>
                <c:pt idx="76">
                  <c:v>-12</c:v>
                </c:pt>
                <c:pt idx="77">
                  <c:v>-21.078840109892809</c:v>
                </c:pt>
                <c:pt idx="78">
                  <c:v>9.3333333333333339</c:v>
                </c:pt>
                <c:pt idx="79">
                  <c:v>-2.3636564525099644</c:v>
                </c:pt>
                <c:pt idx="80">
                  <c:v>17.987756355580007</c:v>
                </c:pt>
                <c:pt idx="81">
                  <c:v>12</c:v>
                </c:pt>
                <c:pt idx="82">
                  <c:v>-12</c:v>
                </c:pt>
                <c:pt idx="83">
                  <c:v>-19.642597335724307</c:v>
                </c:pt>
                <c:pt idx="84">
                  <c:v>11.666666666666668</c:v>
                </c:pt>
                <c:pt idx="85">
                  <c:v>-0.37535794962416702</c:v>
                </c:pt>
                <c:pt idx="86">
                  <c:v>19.149459663035739</c:v>
                </c:pt>
                <c:pt idx="87">
                  <c:v>12</c:v>
                </c:pt>
                <c:pt idx="88">
                  <c:v>-12</c:v>
                </c:pt>
                <c:pt idx="89">
                  <c:v>-30.376282653093735</c:v>
                </c:pt>
                <c:pt idx="90">
                  <c:v>14.000000000000002</c:v>
                </c:pt>
                <c:pt idx="91">
                  <c:v>-3.0678010204149508</c:v>
                </c:pt>
                <c:pt idx="92">
                  <c:v>26.896999319700733</c:v>
                </c:pt>
                <c:pt idx="93">
                  <c:v>12</c:v>
                </c:pt>
                <c:pt idx="94">
                  <c:v>-12</c:v>
                </c:pt>
                <c:pt idx="95">
                  <c:v>-24.879281862192261</c:v>
                </c:pt>
                <c:pt idx="96">
                  <c:v>25</c:v>
                </c:pt>
                <c:pt idx="97">
                  <c:v>5.8156608222448263</c:v>
                </c:pt>
                <c:pt idx="98">
                  <c:v>31.34962606454722</c:v>
                </c:pt>
                <c:pt idx="99">
                  <c:v>12</c:v>
                </c:pt>
                <c:pt idx="100">
                  <c:v>-12</c:v>
                </c:pt>
                <c:pt idx="101">
                  <c:v>-23.375716830330454</c:v>
                </c:pt>
                <c:pt idx="102">
                  <c:v>0</c:v>
                </c:pt>
                <c:pt idx="103">
                  <c:v>-8.9906603193697858</c:v>
                </c:pt>
                <c:pt idx="104">
                  <c:v>22.648032351271631</c:v>
                </c:pt>
                <c:pt idx="105">
                  <c:v>12</c:v>
                </c:pt>
                <c:pt idx="106">
                  <c:v>-12</c:v>
                </c:pt>
                <c:pt idx="107">
                  <c:v>-10.52880704336475</c:v>
                </c:pt>
                <c:pt idx="108">
                  <c:v>-25</c:v>
                </c:pt>
                <c:pt idx="109">
                  <c:v>-19.434156555154736</c:v>
                </c:pt>
                <c:pt idx="110">
                  <c:v>20.32293673094285</c:v>
                </c:pt>
                <c:pt idx="111">
                  <c:v>12</c:v>
                </c:pt>
                <c:pt idx="112">
                  <c:v>60</c:v>
                </c:pt>
                <c:pt idx="113">
                  <c:v>59.977621104822219</c:v>
                </c:pt>
                <c:pt idx="114">
                  <c:v>59.910498330815244</c:v>
                </c:pt>
                <c:pt idx="115">
                  <c:v>59.7986734039103</c:v>
                </c:pt>
                <c:pt idx="116">
                  <c:v>59.642215838505066</c:v>
                </c:pt>
                <c:pt idx="117">
                  <c:v>59.441222894251112</c:v>
                </c:pt>
                <c:pt idx="118">
                  <c:v>59.195819515593755</c:v>
                </c:pt>
                <c:pt idx="119">
                  <c:v>58.906158254102053</c:v>
                </c:pt>
                <c:pt idx="120">
                  <c:v>58.572419173637371</c:v>
                </c:pt>
                <c:pt idx="121">
                  <c:v>58.19480973841911</c:v>
                </c:pt>
                <c:pt idx="122">
                  <c:v>57.77356468405749</c:v>
                </c:pt>
                <c:pt idx="123">
                  <c:v>57.308945871633512</c:v>
                </c:pt>
                <c:pt idx="124">
                  <c:v>56.801242124916655</c:v>
                </c:pt>
                <c:pt idx="125">
                  <c:v>56.250769050821617</c:v>
                </c:pt>
                <c:pt idx="126">
                  <c:v>55.657868843215709</c:v>
                </c:pt>
                <c:pt idx="127">
                  <c:v>55.022910070198847</c:v>
                </c:pt>
                <c:pt idx="128">
                  <c:v>54.346287444988349</c:v>
                </c:pt>
                <c:pt idx="129">
                  <c:v>53.628421580551006</c:v>
                </c:pt>
                <c:pt idx="130">
                  <c:v>52.869758728134926</c:v>
                </c:pt>
                <c:pt idx="131">
                  <c:v>52.070770499863713</c:v>
                </c:pt>
                <c:pt idx="132">
                  <c:v>51.231953575565385</c:v>
                </c:pt>
                <c:pt idx="133">
                  <c:v>50.353829394018334</c:v>
                </c:pt>
                <c:pt idx="134">
                  <c:v>49.436943828806236</c:v>
                </c:pt>
                <c:pt idx="135">
                  <c:v>48.481866848983351</c:v>
                </c:pt>
                <c:pt idx="136">
                  <c:v>47.489192164761299</c:v>
                </c:pt>
                <c:pt idx="137">
                  <c:v>46.45953685843741</c:v>
                </c:pt>
                <c:pt idx="138">
                  <c:v>45.39354100079418</c:v>
                </c:pt>
                <c:pt idx="139">
                  <c:v>44.29186725320821</c:v>
                </c:pt>
                <c:pt idx="140">
                  <c:v>43.155200455716098</c:v>
                </c:pt>
                <c:pt idx="141">
                  <c:v>41.984247201293201</c:v>
                </c:pt>
                <c:pt idx="142">
                  <c:v>40.779735396610057</c:v>
                </c:pt>
                <c:pt idx="143">
                  <c:v>39.542413809539362</c:v>
                </c:pt>
                <c:pt idx="144">
                  <c:v>38.27305160369496</c:v>
                </c:pt>
                <c:pt idx="145">
                  <c:v>36.97243786029204</c:v>
                </c:pt>
                <c:pt idx="146">
                  <c:v>35.641381087625909</c:v>
                </c:pt>
                <c:pt idx="147">
                  <c:v>34.280708718474088</c:v>
                </c:pt>
                <c:pt idx="148">
                  <c:v>32.891266595734379</c:v>
                </c:pt>
                <c:pt idx="149">
                  <c:v>31.473918446618441</c:v>
                </c:pt>
                <c:pt idx="150">
                  <c:v>30.029545345727961</c:v>
                </c:pt>
                <c:pt idx="151">
                  <c:v>28.559045167346859</c:v>
                </c:pt>
                <c:pt idx="152">
                  <c:v>27.063332027290457</c:v>
                </c:pt>
                <c:pt idx="153">
                  <c:v>25.54333571465812</c:v>
                </c:pt>
                <c:pt idx="154">
                  <c:v>24.00000111384292</c:v>
                </c:pt>
                <c:pt idx="155">
                  <c:v>22.434287617157558</c:v>
                </c:pt>
                <c:pt idx="156">
                  <c:v>20.847168528441451</c:v>
                </c:pt>
                <c:pt idx="157">
                  <c:v>19.239630458020226</c:v>
                </c:pt>
                <c:pt idx="158">
                  <c:v>17.612672709393095</c:v>
                </c:pt>
                <c:pt idx="159">
                  <c:v>15.967306658029923</c:v>
                </c:pt>
                <c:pt idx="160">
                  <c:v>14.304555122663807</c:v>
                </c:pt>
                <c:pt idx="161">
                  <c:v>12.625451729470267</c:v>
                </c:pt>
                <c:pt idx="162">
                  <c:v>10.931040269527855</c:v>
                </c:pt>
                <c:pt idx="163">
                  <c:v>9.2223740499601874</c:v>
                </c:pt>
                <c:pt idx="164">
                  <c:v>7.50051523916229</c:v>
                </c:pt>
                <c:pt idx="165">
                  <c:v>5.7665342065185783</c:v>
                </c:pt>
                <c:pt idx="166">
                  <c:v>4.0215088570226385</c:v>
                </c:pt>
                <c:pt idx="167">
                  <c:v>2.2665239612127621</c:v>
                </c:pt>
                <c:pt idx="168">
                  <c:v>0.50267048083958699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2.8515696384297637</c:v>
                </c:pt>
                <c:pt idx="177">
                  <c:v>1.9753111994832171</c:v>
                </c:pt>
                <c:pt idx="178">
                  <c:v>0.92563316887902047</c:v>
                </c:pt>
                <c:pt idx="179">
                  <c:v>-0.21601377837397351</c:v>
                </c:pt>
                <c:pt idx="180">
                  <c:v>-1.4157664759720063</c:v>
                </c:pt>
                <c:pt idx="181">
                  <c:v>-2.6556123420946562</c:v>
                </c:pt>
                <c:pt idx="182">
                  <c:v>-3.9245681685754725</c:v>
                </c:pt>
                <c:pt idx="183">
                  <c:v>-5.2153144569239593</c:v>
                </c:pt>
                <c:pt idx="184">
                  <c:v>-6.5226550874579061</c:v>
                </c:pt>
                <c:pt idx="185">
                  <c:v>-7.8427215966531474</c:v>
                </c:pt>
                <c:pt idx="186">
                  <c:v>-9.1725245020797033</c:v>
                </c:pt>
                <c:pt idx="187">
                  <c:v>-10.509682805443534</c:v>
                </c:pt>
                <c:pt idx="188">
                  <c:v>-11.852251962601201</c:v>
                </c:pt>
                <c:pt idx="189">
                  <c:v>-13.198609507350314</c:v>
                </c:pt>
                <c:pt idx="190">
                  <c:v>-14.547376030315508</c:v>
                </c:pt>
                <c:pt idx="191">
                  <c:v>-15.897358663204308</c:v>
                </c:pt>
                <c:pt idx="192">
                  <c:v>-17.247509325359044</c:v>
                </c:pt>
                <c:pt idx="193">
                  <c:v>-18.596892885306229</c:v>
                </c:pt>
                <c:pt idx="194">
                  <c:v>-19.944662101015112</c:v>
                </c:pt>
                <c:pt idx="195">
                  <c:v>-21.290037250525245</c:v>
                </c:pt>
                <c:pt idx="196">
                  <c:v>-22.632289027455251</c:v>
                </c:pt>
                <c:pt idx="197">
                  <c:v>-23.97072370792359</c:v>
                </c:pt>
                <c:pt idx="198">
                  <c:v>-25.30466988534544</c:v>
                </c:pt>
                <c:pt idx="199">
                  <c:v>-26.633466270137497</c:v>
                </c:pt>
                <c:pt idx="200">
                  <c:v>-27.956450194805811</c:v>
                </c:pt>
                <c:pt idx="201">
                  <c:v>-29.272946571435931</c:v>
                </c:pt>
                <c:pt idx="202">
                  <c:v>-30.582257131227855</c:v>
                </c:pt>
                <c:pt idx="203">
                  <c:v>-31.883649842884822</c:v>
                </c:pt>
                <c:pt idx="204">
                  <c:v>-33.176348463939625</c:v>
                </c:pt>
                <c:pt idx="205">
                  <c:v>-34.459522230103559</c:v>
                </c:pt>
                <c:pt idx="206">
                  <c:v>-35.732275734705851</c:v>
                </c:pt>
                <c:pt idx="207">
                  <c:v>-36.99363909448315</c:v>
                </c:pt>
                <c:pt idx="208">
                  <c:v>-38.242558539797471</c:v>
                </c:pt>
                <c:pt idx="209">
                  <c:v>-39.477887606536221</c:v>
                </c:pt>
                <c:pt idx="210">
                  <c:v>-40.698379142616446</c:v>
                </c:pt>
                <c:pt idx="211">
                  <c:v>-41.902678372794895</c:v>
                </c:pt>
                <c:pt idx="212">
                  <c:v>-43.089317289558807</c:v>
                </c:pt>
                <c:pt idx="213">
                  <c:v>-44.25671065311036</c:v>
                </c:pt>
                <c:pt idx="214">
                  <c:v>-45.403153887555582</c:v>
                </c:pt>
                <c:pt idx="215">
                  <c:v>-46.526823151096757</c:v>
                </c:pt>
                <c:pt idx="216">
                  <c:v>-47.625777833297384</c:v>
                </c:pt>
                <c:pt idx="217">
                  <c:v>-48.697965690882285</c:v>
                </c:pt>
                <c:pt idx="218">
                  <c:v>-49.741230774414589</c:v>
                </c:pt>
                <c:pt idx="219">
                  <c:v>-50.753324222038465</c:v>
                </c:pt>
                <c:pt idx="220">
                  <c:v>-51.731917905092047</c:v>
                </c:pt>
                <c:pt idx="221">
                  <c:v>-52.674620807053785</c:v>
                </c:pt>
                <c:pt idx="222">
                  <c:v>-53.578997906712083</c:v>
                </c:pt>
                <c:pt idx="223">
                  <c:v>-54.442591224662408</c:v>
                </c:pt>
                <c:pt idx="224">
                  <c:v>-55.262942586197084</c:v>
                </c:pt>
                <c:pt idx="225">
                  <c:v>-56.037617560739605</c:v>
                </c:pt>
                <c:pt idx="226">
                  <c:v>-56.764229965340405</c:v>
                </c:pt>
                <c:pt idx="227">
                  <c:v>-57.440466273599569</c:v>
                </c:pt>
                <c:pt idx="228">
                  <c:v>-58.064109256288212</c:v>
                </c:pt>
                <c:pt idx="229">
                  <c:v>-58.633060198267984</c:v>
                </c:pt>
                <c:pt idx="230">
                  <c:v>-59.145359087855262</c:v>
                </c:pt>
                <c:pt idx="231">
                  <c:v>-59.599202256688159</c:v>
                </c:pt>
                <c:pt idx="232">
                  <c:v>-59.992957055132891</c:v>
                </c:pt>
                <c:pt idx="233">
                  <c:v>-60.325173273076174</c:v>
                </c:pt>
                <c:pt idx="234">
                  <c:v>-60.594591150128096</c:v>
                </c:pt>
                <c:pt idx="235">
                  <c:v>-60.800145953957085</c:v>
                </c:pt>
                <c:pt idx="236">
                  <c:v>-60.940969232303956</c:v>
                </c:pt>
                <c:pt idx="237">
                  <c:v>-61.016386955989681</c:v>
                </c:pt>
                <c:pt idx="238">
                  <c:v>-61.025914861512376</c:v>
                </c:pt>
                <c:pt idx="239">
                  <c:v>-60.969251369261414</c:v>
                </c:pt>
              </c:numCache>
            </c:numRef>
          </c:xVal>
          <c:yVal>
            <c:numRef>
              <c:f>CALC60!$DJ$6:$DJ$581</c:f>
              <c:numCache>
                <c:formatCode>General</c:formatCode>
                <c:ptCount val="576"/>
              </c:numCache>
            </c:numRef>
          </c:yVal>
          <c:smooth val="0"/>
        </c:ser>
        <c:ser>
          <c:idx val="63"/>
          <c:order val="63"/>
          <c:tx>
            <c:strRef>
              <c:f>CALC60!$DK$5</c:f>
              <c:strCache>
                <c:ptCount val="1"/>
                <c:pt idx="0">
                  <c:v>R62</c:v>
                </c:pt>
              </c:strCache>
            </c:strRef>
          </c:tx>
          <c:xVal>
            <c:numRef>
              <c:f>CALC60!$AY$6:$AY$581</c:f>
              <c:numCache>
                <c:formatCode>General</c:formatCode>
                <c:ptCount val="576"/>
                <c:pt idx="0">
                  <c:v>-19.833506546880365</c:v>
                </c:pt>
                <c:pt idx="1">
                  <c:v>-18.245852614565919</c:v>
                </c:pt>
                <c:pt idx="2">
                  <c:v>-16.629666681765414</c:v>
                </c:pt>
                <c:pt idx="3">
                  <c:v>-14.98231154257417</c:v>
                </c:pt>
                <c:pt idx="4">
                  <c:v>-13.301143585556035</c:v>
                </c:pt>
                <c:pt idx="5">
                  <c:v>-11.583569246398675</c:v>
                </c:pt>
                <c:pt idx="6">
                  <c:v>-9.8270793278644781</c:v>
                </c:pt>
                <c:pt idx="7">
                  <c:v>-8.029252658232803</c:v>
                </c:pt>
                <c:pt idx="8">
                  <c:v>-6.1877185053343773</c:v>
                </c:pt>
                <c:pt idx="9">
                  <c:v>-4.3000630515963358</c:v>
                </c:pt>
                <c:pt idx="10">
                  <c:v>-2.3636564525099644</c:v>
                </c:pt>
                <c:pt idx="11">
                  <c:v>-0.37535794962416702</c:v>
                </c:pt>
                <c:pt idx="12">
                  <c:v>-3.0678010204149508</c:v>
                </c:pt>
                <c:pt idx="13">
                  <c:v>5.8156608222448263</c:v>
                </c:pt>
                <c:pt idx="14">
                  <c:v>-8.9906603193697858</c:v>
                </c:pt>
                <c:pt idx="15">
                  <c:v>-19.434156555154736</c:v>
                </c:pt>
                <c:pt idx="16">
                  <c:v>-12</c:v>
                </c:pt>
                <c:pt idx="17">
                  <c:v>-29.167117021908272</c:v>
                </c:pt>
                <c:pt idx="18">
                  <c:v>-14</c:v>
                </c:pt>
                <c:pt idx="19">
                  <c:v>-19.833506546880365</c:v>
                </c:pt>
                <c:pt idx="20">
                  <c:v>1.5130248501190131</c:v>
                </c:pt>
                <c:pt idx="21">
                  <c:v>12</c:v>
                </c:pt>
                <c:pt idx="22">
                  <c:v>-12</c:v>
                </c:pt>
                <c:pt idx="23">
                  <c:v>-28.772550131225248</c:v>
                </c:pt>
                <c:pt idx="24">
                  <c:v>-11.666666666666666</c:v>
                </c:pt>
                <c:pt idx="25">
                  <c:v>-18.245852614565919</c:v>
                </c:pt>
                <c:pt idx="26">
                  <c:v>4.3925078710812571</c:v>
                </c:pt>
                <c:pt idx="27">
                  <c:v>12</c:v>
                </c:pt>
                <c:pt idx="28">
                  <c:v>-12</c:v>
                </c:pt>
                <c:pt idx="29">
                  <c:v>-28.303800039278563</c:v>
                </c:pt>
                <c:pt idx="30">
                  <c:v>-9.3333333333333321</c:v>
                </c:pt>
                <c:pt idx="31">
                  <c:v>-16.629666681765414</c:v>
                </c:pt>
                <c:pt idx="32">
                  <c:v>6.4527131206909987</c:v>
                </c:pt>
                <c:pt idx="33">
                  <c:v>12</c:v>
                </c:pt>
                <c:pt idx="34">
                  <c:v>-12</c:v>
                </c:pt>
                <c:pt idx="35">
                  <c:v>-27.754010010716058</c:v>
                </c:pt>
                <c:pt idx="36">
                  <c:v>-6.9999999999999982</c:v>
                </c:pt>
                <c:pt idx="37">
                  <c:v>-14.98231154257417</c:v>
                </c:pt>
                <c:pt idx="38">
                  <c:v>8.2375052570320868</c:v>
                </c:pt>
                <c:pt idx="39">
                  <c:v>12</c:v>
                </c:pt>
                <c:pt idx="40">
                  <c:v>-12</c:v>
                </c:pt>
                <c:pt idx="41">
                  <c:v>-27.116306655803694</c:v>
                </c:pt>
                <c:pt idx="42">
                  <c:v>-4.6666666666666643</c:v>
                </c:pt>
                <c:pt idx="43">
                  <c:v>-13.301143585556035</c:v>
                </c:pt>
                <c:pt idx="44">
                  <c:v>9.8664661885771885</c:v>
                </c:pt>
                <c:pt idx="45">
                  <c:v>12</c:v>
                </c:pt>
                <c:pt idx="46">
                  <c:v>-12</c:v>
                </c:pt>
                <c:pt idx="47">
                  <c:v>-26.383946707329393</c:v>
                </c:pt>
                <c:pt idx="48">
                  <c:v>-2.3333333333333308</c:v>
                </c:pt>
                <c:pt idx="49">
                  <c:v>-11.583569246398675</c:v>
                </c:pt>
                <c:pt idx="50">
                  <c:v>11.388844623449907</c:v>
                </c:pt>
                <c:pt idx="51">
                  <c:v>12</c:v>
                </c:pt>
                <c:pt idx="52">
                  <c:v>-12</c:v>
                </c:pt>
                <c:pt idx="53">
                  <c:v>-25.550406252475348</c:v>
                </c:pt>
                <c:pt idx="54">
                  <c:v>0</c:v>
                </c:pt>
                <c:pt idx="55">
                  <c:v>-9.8270793278644781</c:v>
                </c:pt>
                <c:pt idx="56">
                  <c:v>12.829698097369761</c:v>
                </c:pt>
                <c:pt idx="57">
                  <c:v>12</c:v>
                </c:pt>
                <c:pt idx="58">
                  <c:v>-12</c:v>
                </c:pt>
                <c:pt idx="59">
                  <c:v>-24.609390244767855</c:v>
                </c:pt>
                <c:pt idx="60">
                  <c:v>2.3333333333333335</c:v>
                </c:pt>
                <c:pt idx="61">
                  <c:v>-8.029252658232803</c:v>
                </c:pt>
                <c:pt idx="62">
                  <c:v>14.203132463376605</c:v>
                </c:pt>
                <c:pt idx="63">
                  <c:v>12</c:v>
                </c:pt>
                <c:pt idx="64">
                  <c:v>-12</c:v>
                </c:pt>
                <c:pt idx="65">
                  <c:v>-23.554734780566797</c:v>
                </c:pt>
                <c:pt idx="66">
                  <c:v>4.666666666666667</c:v>
                </c:pt>
                <c:pt idx="67">
                  <c:v>-6.1877185053343773</c:v>
                </c:pt>
                <c:pt idx="68">
                  <c:v>15.517506829265256</c:v>
                </c:pt>
                <c:pt idx="69">
                  <c:v>12</c:v>
                </c:pt>
                <c:pt idx="70">
                  <c:v>-12</c:v>
                </c:pt>
                <c:pt idx="71">
                  <c:v>-22.380163934182676</c:v>
                </c:pt>
                <c:pt idx="72">
                  <c:v>7</c:v>
                </c:pt>
                <c:pt idx="73">
                  <c:v>-4.3000630515963358</c:v>
                </c:pt>
                <c:pt idx="74">
                  <c:v>16.777941702150098</c:v>
                </c:pt>
                <c:pt idx="75">
                  <c:v>12</c:v>
                </c:pt>
                <c:pt idx="76">
                  <c:v>-12</c:v>
                </c:pt>
                <c:pt idx="77">
                  <c:v>-21.078840109892809</c:v>
                </c:pt>
                <c:pt idx="78">
                  <c:v>9.3333333333333339</c:v>
                </c:pt>
                <c:pt idx="79">
                  <c:v>-2.3636564525099644</c:v>
                </c:pt>
                <c:pt idx="80">
                  <c:v>17.987756355580007</c:v>
                </c:pt>
                <c:pt idx="81">
                  <c:v>12</c:v>
                </c:pt>
                <c:pt idx="82">
                  <c:v>-12</c:v>
                </c:pt>
                <c:pt idx="83">
                  <c:v>-19.642597335724307</c:v>
                </c:pt>
                <c:pt idx="84">
                  <c:v>11.666666666666668</c:v>
                </c:pt>
                <c:pt idx="85">
                  <c:v>-0.37535794962416702</c:v>
                </c:pt>
                <c:pt idx="86">
                  <c:v>19.149459663035739</c:v>
                </c:pt>
                <c:pt idx="87">
                  <c:v>12</c:v>
                </c:pt>
                <c:pt idx="88">
                  <c:v>-12</c:v>
                </c:pt>
                <c:pt idx="89">
                  <c:v>-30.376282653093735</c:v>
                </c:pt>
                <c:pt idx="90">
                  <c:v>14.000000000000002</c:v>
                </c:pt>
                <c:pt idx="91">
                  <c:v>-3.0678010204149508</c:v>
                </c:pt>
                <c:pt idx="92">
                  <c:v>26.896999319700733</c:v>
                </c:pt>
                <c:pt idx="93">
                  <c:v>12</c:v>
                </c:pt>
                <c:pt idx="94">
                  <c:v>-12</c:v>
                </c:pt>
                <c:pt idx="95">
                  <c:v>-24.879281862192261</c:v>
                </c:pt>
                <c:pt idx="96">
                  <c:v>25</c:v>
                </c:pt>
                <c:pt idx="97">
                  <c:v>5.8156608222448263</c:v>
                </c:pt>
                <c:pt idx="98">
                  <c:v>31.34962606454722</c:v>
                </c:pt>
                <c:pt idx="99">
                  <c:v>12</c:v>
                </c:pt>
                <c:pt idx="100">
                  <c:v>-12</c:v>
                </c:pt>
                <c:pt idx="101">
                  <c:v>-23.375716830330454</c:v>
                </c:pt>
                <c:pt idx="102">
                  <c:v>0</c:v>
                </c:pt>
                <c:pt idx="103">
                  <c:v>-8.9906603193697858</c:v>
                </c:pt>
                <c:pt idx="104">
                  <c:v>22.648032351271631</c:v>
                </c:pt>
                <c:pt idx="105">
                  <c:v>12</c:v>
                </c:pt>
                <c:pt idx="106">
                  <c:v>-12</c:v>
                </c:pt>
                <c:pt idx="107">
                  <c:v>-10.52880704336475</c:v>
                </c:pt>
                <c:pt idx="108">
                  <c:v>-25</c:v>
                </c:pt>
                <c:pt idx="109">
                  <c:v>-19.434156555154736</c:v>
                </c:pt>
                <c:pt idx="110">
                  <c:v>20.32293673094285</c:v>
                </c:pt>
                <c:pt idx="111">
                  <c:v>12</c:v>
                </c:pt>
                <c:pt idx="112">
                  <c:v>60</c:v>
                </c:pt>
                <c:pt idx="113">
                  <c:v>59.977621104822219</c:v>
                </c:pt>
                <c:pt idx="114">
                  <c:v>59.910498330815244</c:v>
                </c:pt>
                <c:pt idx="115">
                  <c:v>59.7986734039103</c:v>
                </c:pt>
                <c:pt idx="116">
                  <c:v>59.642215838505066</c:v>
                </c:pt>
                <c:pt idx="117">
                  <c:v>59.441222894251112</c:v>
                </c:pt>
                <c:pt idx="118">
                  <c:v>59.195819515593755</c:v>
                </c:pt>
                <c:pt idx="119">
                  <c:v>58.906158254102053</c:v>
                </c:pt>
                <c:pt idx="120">
                  <c:v>58.572419173637371</c:v>
                </c:pt>
                <c:pt idx="121">
                  <c:v>58.19480973841911</c:v>
                </c:pt>
                <c:pt idx="122">
                  <c:v>57.77356468405749</c:v>
                </c:pt>
                <c:pt idx="123">
                  <c:v>57.308945871633512</c:v>
                </c:pt>
                <c:pt idx="124">
                  <c:v>56.801242124916655</c:v>
                </c:pt>
                <c:pt idx="125">
                  <c:v>56.250769050821617</c:v>
                </c:pt>
                <c:pt idx="126">
                  <c:v>55.657868843215709</c:v>
                </c:pt>
                <c:pt idx="127">
                  <c:v>55.022910070198847</c:v>
                </c:pt>
                <c:pt idx="128">
                  <c:v>54.346287444988349</c:v>
                </c:pt>
                <c:pt idx="129">
                  <c:v>53.628421580551006</c:v>
                </c:pt>
                <c:pt idx="130">
                  <c:v>52.869758728134926</c:v>
                </c:pt>
                <c:pt idx="131">
                  <c:v>52.070770499863713</c:v>
                </c:pt>
                <c:pt idx="132">
                  <c:v>51.231953575565385</c:v>
                </c:pt>
                <c:pt idx="133">
                  <c:v>50.353829394018334</c:v>
                </c:pt>
                <c:pt idx="134">
                  <c:v>49.436943828806236</c:v>
                </c:pt>
                <c:pt idx="135">
                  <c:v>48.481866848983351</c:v>
                </c:pt>
                <c:pt idx="136">
                  <c:v>47.489192164761299</c:v>
                </c:pt>
                <c:pt idx="137">
                  <c:v>46.45953685843741</c:v>
                </c:pt>
                <c:pt idx="138">
                  <c:v>45.39354100079418</c:v>
                </c:pt>
                <c:pt idx="139">
                  <c:v>44.29186725320821</c:v>
                </c:pt>
                <c:pt idx="140">
                  <c:v>43.155200455716098</c:v>
                </c:pt>
                <c:pt idx="141">
                  <c:v>41.984247201293201</c:v>
                </c:pt>
                <c:pt idx="142">
                  <c:v>40.779735396610057</c:v>
                </c:pt>
                <c:pt idx="143">
                  <c:v>39.542413809539362</c:v>
                </c:pt>
                <c:pt idx="144">
                  <c:v>38.27305160369496</c:v>
                </c:pt>
                <c:pt idx="145">
                  <c:v>36.97243786029204</c:v>
                </c:pt>
                <c:pt idx="146">
                  <c:v>35.641381087625909</c:v>
                </c:pt>
                <c:pt idx="147">
                  <c:v>34.280708718474088</c:v>
                </c:pt>
                <c:pt idx="148">
                  <c:v>32.891266595734379</c:v>
                </c:pt>
                <c:pt idx="149">
                  <c:v>31.473918446618441</c:v>
                </c:pt>
                <c:pt idx="150">
                  <c:v>30.029545345727961</c:v>
                </c:pt>
                <c:pt idx="151">
                  <c:v>28.559045167346859</c:v>
                </c:pt>
                <c:pt idx="152">
                  <c:v>27.063332027290457</c:v>
                </c:pt>
                <c:pt idx="153">
                  <c:v>25.54333571465812</c:v>
                </c:pt>
                <c:pt idx="154">
                  <c:v>24.00000111384292</c:v>
                </c:pt>
                <c:pt idx="155">
                  <c:v>22.434287617157558</c:v>
                </c:pt>
                <c:pt idx="156">
                  <c:v>20.847168528441451</c:v>
                </c:pt>
                <c:pt idx="157">
                  <c:v>19.239630458020226</c:v>
                </c:pt>
                <c:pt idx="158">
                  <c:v>17.612672709393095</c:v>
                </c:pt>
                <c:pt idx="159">
                  <c:v>15.967306658029923</c:v>
                </c:pt>
                <c:pt idx="160">
                  <c:v>14.304555122663807</c:v>
                </c:pt>
                <c:pt idx="161">
                  <c:v>12.625451729470267</c:v>
                </c:pt>
                <c:pt idx="162">
                  <c:v>10.931040269527855</c:v>
                </c:pt>
                <c:pt idx="163">
                  <c:v>9.2223740499601874</c:v>
                </c:pt>
                <c:pt idx="164">
                  <c:v>7.50051523916229</c:v>
                </c:pt>
                <c:pt idx="165">
                  <c:v>5.7665342065185783</c:v>
                </c:pt>
                <c:pt idx="166">
                  <c:v>4.0215088570226385</c:v>
                </c:pt>
                <c:pt idx="167">
                  <c:v>2.2665239612127621</c:v>
                </c:pt>
                <c:pt idx="168">
                  <c:v>0.50267048083958699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2.8515696384297637</c:v>
                </c:pt>
                <c:pt idx="177">
                  <c:v>1.9753111994832171</c:v>
                </c:pt>
                <c:pt idx="178">
                  <c:v>0.92563316887902047</c:v>
                </c:pt>
                <c:pt idx="179">
                  <c:v>-0.21601377837397351</c:v>
                </c:pt>
                <c:pt idx="180">
                  <c:v>-1.4157664759720063</c:v>
                </c:pt>
                <c:pt idx="181">
                  <c:v>-2.6556123420946562</c:v>
                </c:pt>
                <c:pt idx="182">
                  <c:v>-3.9245681685754725</c:v>
                </c:pt>
                <c:pt idx="183">
                  <c:v>-5.2153144569239593</c:v>
                </c:pt>
                <c:pt idx="184">
                  <c:v>-6.5226550874579061</c:v>
                </c:pt>
                <c:pt idx="185">
                  <c:v>-7.8427215966531474</c:v>
                </c:pt>
                <c:pt idx="186">
                  <c:v>-9.1725245020797033</c:v>
                </c:pt>
                <c:pt idx="187">
                  <c:v>-10.509682805443534</c:v>
                </c:pt>
                <c:pt idx="188">
                  <c:v>-11.852251962601201</c:v>
                </c:pt>
                <c:pt idx="189">
                  <c:v>-13.198609507350314</c:v>
                </c:pt>
                <c:pt idx="190">
                  <c:v>-14.547376030315508</c:v>
                </c:pt>
                <c:pt idx="191">
                  <c:v>-15.897358663204308</c:v>
                </c:pt>
                <c:pt idx="192">
                  <c:v>-17.247509325359044</c:v>
                </c:pt>
                <c:pt idx="193">
                  <c:v>-18.596892885306229</c:v>
                </c:pt>
                <c:pt idx="194">
                  <c:v>-19.944662101015112</c:v>
                </c:pt>
                <c:pt idx="195">
                  <c:v>-21.290037250525245</c:v>
                </c:pt>
                <c:pt idx="196">
                  <c:v>-22.632289027455251</c:v>
                </c:pt>
                <c:pt idx="197">
                  <c:v>-23.97072370792359</c:v>
                </c:pt>
                <c:pt idx="198">
                  <c:v>-25.30466988534544</c:v>
                </c:pt>
                <c:pt idx="199">
                  <c:v>-26.633466270137497</c:v>
                </c:pt>
                <c:pt idx="200">
                  <c:v>-27.956450194805811</c:v>
                </c:pt>
                <c:pt idx="201">
                  <c:v>-29.272946571435931</c:v>
                </c:pt>
                <c:pt idx="202">
                  <c:v>-30.582257131227855</c:v>
                </c:pt>
                <c:pt idx="203">
                  <c:v>-31.883649842884822</c:v>
                </c:pt>
                <c:pt idx="204">
                  <c:v>-33.176348463939625</c:v>
                </c:pt>
                <c:pt idx="205">
                  <c:v>-34.459522230103559</c:v>
                </c:pt>
                <c:pt idx="206">
                  <c:v>-35.732275734705851</c:v>
                </c:pt>
                <c:pt idx="207">
                  <c:v>-36.99363909448315</c:v>
                </c:pt>
                <c:pt idx="208">
                  <c:v>-38.242558539797471</c:v>
                </c:pt>
                <c:pt idx="209">
                  <c:v>-39.477887606536221</c:v>
                </c:pt>
                <c:pt idx="210">
                  <c:v>-40.698379142616446</c:v>
                </c:pt>
                <c:pt idx="211">
                  <c:v>-41.902678372794895</c:v>
                </c:pt>
                <c:pt idx="212">
                  <c:v>-43.089317289558807</c:v>
                </c:pt>
                <c:pt idx="213">
                  <c:v>-44.25671065311036</c:v>
                </c:pt>
                <c:pt idx="214">
                  <c:v>-45.403153887555582</c:v>
                </c:pt>
                <c:pt idx="215">
                  <c:v>-46.526823151096757</c:v>
                </c:pt>
                <c:pt idx="216">
                  <c:v>-47.625777833297384</c:v>
                </c:pt>
                <c:pt idx="217">
                  <c:v>-48.697965690882285</c:v>
                </c:pt>
                <c:pt idx="218">
                  <c:v>-49.741230774414589</c:v>
                </c:pt>
                <c:pt idx="219">
                  <c:v>-50.753324222038465</c:v>
                </c:pt>
                <c:pt idx="220">
                  <c:v>-51.731917905092047</c:v>
                </c:pt>
                <c:pt idx="221">
                  <c:v>-52.674620807053785</c:v>
                </c:pt>
                <c:pt idx="222">
                  <c:v>-53.578997906712083</c:v>
                </c:pt>
                <c:pt idx="223">
                  <c:v>-54.442591224662408</c:v>
                </c:pt>
                <c:pt idx="224">
                  <c:v>-55.262942586197084</c:v>
                </c:pt>
                <c:pt idx="225">
                  <c:v>-56.037617560739605</c:v>
                </c:pt>
                <c:pt idx="226">
                  <c:v>-56.764229965340405</c:v>
                </c:pt>
                <c:pt idx="227">
                  <c:v>-57.440466273599569</c:v>
                </c:pt>
                <c:pt idx="228">
                  <c:v>-58.064109256288212</c:v>
                </c:pt>
                <c:pt idx="229">
                  <c:v>-58.633060198267984</c:v>
                </c:pt>
                <c:pt idx="230">
                  <c:v>-59.145359087855262</c:v>
                </c:pt>
                <c:pt idx="231">
                  <c:v>-59.599202256688159</c:v>
                </c:pt>
                <c:pt idx="232">
                  <c:v>-59.992957055132891</c:v>
                </c:pt>
                <c:pt idx="233">
                  <c:v>-60.325173273076174</c:v>
                </c:pt>
                <c:pt idx="234">
                  <c:v>-60.594591150128096</c:v>
                </c:pt>
                <c:pt idx="235">
                  <c:v>-60.800145953957085</c:v>
                </c:pt>
                <c:pt idx="236">
                  <c:v>-60.940969232303956</c:v>
                </c:pt>
                <c:pt idx="237">
                  <c:v>-61.016386955989681</c:v>
                </c:pt>
                <c:pt idx="238">
                  <c:v>-61.025914861512376</c:v>
                </c:pt>
                <c:pt idx="239">
                  <c:v>-60.969251369261414</c:v>
                </c:pt>
              </c:numCache>
            </c:numRef>
          </c:xVal>
          <c:yVal>
            <c:numRef>
              <c:f>CALC60!$DK$6:$DK$581</c:f>
              <c:numCache>
                <c:formatCode>General</c:formatCode>
                <c:ptCount val="576"/>
              </c:numCache>
            </c:numRef>
          </c:yVal>
          <c:smooth val="0"/>
        </c:ser>
        <c:ser>
          <c:idx val="64"/>
          <c:order val="64"/>
          <c:tx>
            <c:strRef>
              <c:f>CALC60!$DL$5</c:f>
              <c:strCache>
                <c:ptCount val="1"/>
                <c:pt idx="0">
                  <c:v>R63</c:v>
                </c:pt>
              </c:strCache>
            </c:strRef>
          </c:tx>
          <c:xVal>
            <c:numRef>
              <c:f>CALC60!$AY$6:$AY$581</c:f>
              <c:numCache>
                <c:formatCode>General</c:formatCode>
                <c:ptCount val="576"/>
                <c:pt idx="0">
                  <c:v>-19.833506546880365</c:v>
                </c:pt>
                <c:pt idx="1">
                  <c:v>-18.245852614565919</c:v>
                </c:pt>
                <c:pt idx="2">
                  <c:v>-16.629666681765414</c:v>
                </c:pt>
                <c:pt idx="3">
                  <c:v>-14.98231154257417</c:v>
                </c:pt>
                <c:pt idx="4">
                  <c:v>-13.301143585556035</c:v>
                </c:pt>
                <c:pt idx="5">
                  <c:v>-11.583569246398675</c:v>
                </c:pt>
                <c:pt idx="6">
                  <c:v>-9.8270793278644781</c:v>
                </c:pt>
                <c:pt idx="7">
                  <c:v>-8.029252658232803</c:v>
                </c:pt>
                <c:pt idx="8">
                  <c:v>-6.1877185053343773</c:v>
                </c:pt>
                <c:pt idx="9">
                  <c:v>-4.3000630515963358</c:v>
                </c:pt>
                <c:pt idx="10">
                  <c:v>-2.3636564525099644</c:v>
                </c:pt>
                <c:pt idx="11">
                  <c:v>-0.37535794962416702</c:v>
                </c:pt>
                <c:pt idx="12">
                  <c:v>-3.0678010204149508</c:v>
                </c:pt>
                <c:pt idx="13">
                  <c:v>5.8156608222448263</c:v>
                </c:pt>
                <c:pt idx="14">
                  <c:v>-8.9906603193697858</c:v>
                </c:pt>
                <c:pt idx="15">
                  <c:v>-19.434156555154736</c:v>
                </c:pt>
                <c:pt idx="16">
                  <c:v>-12</c:v>
                </c:pt>
                <c:pt idx="17">
                  <c:v>-29.167117021908272</c:v>
                </c:pt>
                <c:pt idx="18">
                  <c:v>-14</c:v>
                </c:pt>
                <c:pt idx="19">
                  <c:v>-19.833506546880365</c:v>
                </c:pt>
                <c:pt idx="20">
                  <c:v>1.5130248501190131</c:v>
                </c:pt>
                <c:pt idx="21">
                  <c:v>12</c:v>
                </c:pt>
                <c:pt idx="22">
                  <c:v>-12</c:v>
                </c:pt>
                <c:pt idx="23">
                  <c:v>-28.772550131225248</c:v>
                </c:pt>
                <c:pt idx="24">
                  <c:v>-11.666666666666666</c:v>
                </c:pt>
                <c:pt idx="25">
                  <c:v>-18.245852614565919</c:v>
                </c:pt>
                <c:pt idx="26">
                  <c:v>4.3925078710812571</c:v>
                </c:pt>
                <c:pt idx="27">
                  <c:v>12</c:v>
                </c:pt>
                <c:pt idx="28">
                  <c:v>-12</c:v>
                </c:pt>
                <c:pt idx="29">
                  <c:v>-28.303800039278563</c:v>
                </c:pt>
                <c:pt idx="30">
                  <c:v>-9.3333333333333321</c:v>
                </c:pt>
                <c:pt idx="31">
                  <c:v>-16.629666681765414</c:v>
                </c:pt>
                <c:pt idx="32">
                  <c:v>6.4527131206909987</c:v>
                </c:pt>
                <c:pt idx="33">
                  <c:v>12</c:v>
                </c:pt>
                <c:pt idx="34">
                  <c:v>-12</c:v>
                </c:pt>
                <c:pt idx="35">
                  <c:v>-27.754010010716058</c:v>
                </c:pt>
                <c:pt idx="36">
                  <c:v>-6.9999999999999982</c:v>
                </c:pt>
                <c:pt idx="37">
                  <c:v>-14.98231154257417</c:v>
                </c:pt>
                <c:pt idx="38">
                  <c:v>8.2375052570320868</c:v>
                </c:pt>
                <c:pt idx="39">
                  <c:v>12</c:v>
                </c:pt>
                <c:pt idx="40">
                  <c:v>-12</c:v>
                </c:pt>
                <c:pt idx="41">
                  <c:v>-27.116306655803694</c:v>
                </c:pt>
                <c:pt idx="42">
                  <c:v>-4.6666666666666643</c:v>
                </c:pt>
                <c:pt idx="43">
                  <c:v>-13.301143585556035</c:v>
                </c:pt>
                <c:pt idx="44">
                  <c:v>9.8664661885771885</c:v>
                </c:pt>
                <c:pt idx="45">
                  <c:v>12</c:v>
                </c:pt>
                <c:pt idx="46">
                  <c:v>-12</c:v>
                </c:pt>
                <c:pt idx="47">
                  <c:v>-26.383946707329393</c:v>
                </c:pt>
                <c:pt idx="48">
                  <c:v>-2.3333333333333308</c:v>
                </c:pt>
                <c:pt idx="49">
                  <c:v>-11.583569246398675</c:v>
                </c:pt>
                <c:pt idx="50">
                  <c:v>11.388844623449907</c:v>
                </c:pt>
                <c:pt idx="51">
                  <c:v>12</c:v>
                </c:pt>
                <c:pt idx="52">
                  <c:v>-12</c:v>
                </c:pt>
                <c:pt idx="53">
                  <c:v>-25.550406252475348</c:v>
                </c:pt>
                <c:pt idx="54">
                  <c:v>0</c:v>
                </c:pt>
                <c:pt idx="55">
                  <c:v>-9.8270793278644781</c:v>
                </c:pt>
                <c:pt idx="56">
                  <c:v>12.829698097369761</c:v>
                </c:pt>
                <c:pt idx="57">
                  <c:v>12</c:v>
                </c:pt>
                <c:pt idx="58">
                  <c:v>-12</c:v>
                </c:pt>
                <c:pt idx="59">
                  <c:v>-24.609390244767855</c:v>
                </c:pt>
                <c:pt idx="60">
                  <c:v>2.3333333333333335</c:v>
                </c:pt>
                <c:pt idx="61">
                  <c:v>-8.029252658232803</c:v>
                </c:pt>
                <c:pt idx="62">
                  <c:v>14.203132463376605</c:v>
                </c:pt>
                <c:pt idx="63">
                  <c:v>12</c:v>
                </c:pt>
                <c:pt idx="64">
                  <c:v>-12</c:v>
                </c:pt>
                <c:pt idx="65">
                  <c:v>-23.554734780566797</c:v>
                </c:pt>
                <c:pt idx="66">
                  <c:v>4.666666666666667</c:v>
                </c:pt>
                <c:pt idx="67">
                  <c:v>-6.1877185053343773</c:v>
                </c:pt>
                <c:pt idx="68">
                  <c:v>15.517506829265256</c:v>
                </c:pt>
                <c:pt idx="69">
                  <c:v>12</c:v>
                </c:pt>
                <c:pt idx="70">
                  <c:v>-12</c:v>
                </c:pt>
                <c:pt idx="71">
                  <c:v>-22.380163934182676</c:v>
                </c:pt>
                <c:pt idx="72">
                  <c:v>7</c:v>
                </c:pt>
                <c:pt idx="73">
                  <c:v>-4.3000630515963358</c:v>
                </c:pt>
                <c:pt idx="74">
                  <c:v>16.777941702150098</c:v>
                </c:pt>
                <c:pt idx="75">
                  <c:v>12</c:v>
                </c:pt>
                <c:pt idx="76">
                  <c:v>-12</c:v>
                </c:pt>
                <c:pt idx="77">
                  <c:v>-21.078840109892809</c:v>
                </c:pt>
                <c:pt idx="78">
                  <c:v>9.3333333333333339</c:v>
                </c:pt>
                <c:pt idx="79">
                  <c:v>-2.3636564525099644</c:v>
                </c:pt>
                <c:pt idx="80">
                  <c:v>17.987756355580007</c:v>
                </c:pt>
                <c:pt idx="81">
                  <c:v>12</c:v>
                </c:pt>
                <c:pt idx="82">
                  <c:v>-12</c:v>
                </c:pt>
                <c:pt idx="83">
                  <c:v>-19.642597335724307</c:v>
                </c:pt>
                <c:pt idx="84">
                  <c:v>11.666666666666668</c:v>
                </c:pt>
                <c:pt idx="85">
                  <c:v>-0.37535794962416702</c:v>
                </c:pt>
                <c:pt idx="86">
                  <c:v>19.149459663035739</c:v>
                </c:pt>
                <c:pt idx="87">
                  <c:v>12</c:v>
                </c:pt>
                <c:pt idx="88">
                  <c:v>-12</c:v>
                </c:pt>
                <c:pt idx="89">
                  <c:v>-30.376282653093735</c:v>
                </c:pt>
                <c:pt idx="90">
                  <c:v>14.000000000000002</c:v>
                </c:pt>
                <c:pt idx="91">
                  <c:v>-3.0678010204149508</c:v>
                </c:pt>
                <c:pt idx="92">
                  <c:v>26.896999319700733</c:v>
                </c:pt>
                <c:pt idx="93">
                  <c:v>12</c:v>
                </c:pt>
                <c:pt idx="94">
                  <c:v>-12</c:v>
                </c:pt>
                <c:pt idx="95">
                  <c:v>-24.879281862192261</c:v>
                </c:pt>
                <c:pt idx="96">
                  <c:v>25</c:v>
                </c:pt>
                <c:pt idx="97">
                  <c:v>5.8156608222448263</c:v>
                </c:pt>
                <c:pt idx="98">
                  <c:v>31.34962606454722</c:v>
                </c:pt>
                <c:pt idx="99">
                  <c:v>12</c:v>
                </c:pt>
                <c:pt idx="100">
                  <c:v>-12</c:v>
                </c:pt>
                <c:pt idx="101">
                  <c:v>-23.375716830330454</c:v>
                </c:pt>
                <c:pt idx="102">
                  <c:v>0</c:v>
                </c:pt>
                <c:pt idx="103">
                  <c:v>-8.9906603193697858</c:v>
                </c:pt>
                <c:pt idx="104">
                  <c:v>22.648032351271631</c:v>
                </c:pt>
                <c:pt idx="105">
                  <c:v>12</c:v>
                </c:pt>
                <c:pt idx="106">
                  <c:v>-12</c:v>
                </c:pt>
                <c:pt idx="107">
                  <c:v>-10.52880704336475</c:v>
                </c:pt>
                <c:pt idx="108">
                  <c:v>-25</c:v>
                </c:pt>
                <c:pt idx="109">
                  <c:v>-19.434156555154736</c:v>
                </c:pt>
                <c:pt idx="110">
                  <c:v>20.32293673094285</c:v>
                </c:pt>
                <c:pt idx="111">
                  <c:v>12</c:v>
                </c:pt>
                <c:pt idx="112">
                  <c:v>60</c:v>
                </c:pt>
                <c:pt idx="113">
                  <c:v>59.977621104822219</c:v>
                </c:pt>
                <c:pt idx="114">
                  <c:v>59.910498330815244</c:v>
                </c:pt>
                <c:pt idx="115">
                  <c:v>59.7986734039103</c:v>
                </c:pt>
                <c:pt idx="116">
                  <c:v>59.642215838505066</c:v>
                </c:pt>
                <c:pt idx="117">
                  <c:v>59.441222894251112</c:v>
                </c:pt>
                <c:pt idx="118">
                  <c:v>59.195819515593755</c:v>
                </c:pt>
                <c:pt idx="119">
                  <c:v>58.906158254102053</c:v>
                </c:pt>
                <c:pt idx="120">
                  <c:v>58.572419173637371</c:v>
                </c:pt>
                <c:pt idx="121">
                  <c:v>58.19480973841911</c:v>
                </c:pt>
                <c:pt idx="122">
                  <c:v>57.77356468405749</c:v>
                </c:pt>
                <c:pt idx="123">
                  <c:v>57.308945871633512</c:v>
                </c:pt>
                <c:pt idx="124">
                  <c:v>56.801242124916655</c:v>
                </c:pt>
                <c:pt idx="125">
                  <c:v>56.250769050821617</c:v>
                </c:pt>
                <c:pt idx="126">
                  <c:v>55.657868843215709</c:v>
                </c:pt>
                <c:pt idx="127">
                  <c:v>55.022910070198847</c:v>
                </c:pt>
                <c:pt idx="128">
                  <c:v>54.346287444988349</c:v>
                </c:pt>
                <c:pt idx="129">
                  <c:v>53.628421580551006</c:v>
                </c:pt>
                <c:pt idx="130">
                  <c:v>52.869758728134926</c:v>
                </c:pt>
                <c:pt idx="131">
                  <c:v>52.070770499863713</c:v>
                </c:pt>
                <c:pt idx="132">
                  <c:v>51.231953575565385</c:v>
                </c:pt>
                <c:pt idx="133">
                  <c:v>50.353829394018334</c:v>
                </c:pt>
                <c:pt idx="134">
                  <c:v>49.436943828806236</c:v>
                </c:pt>
                <c:pt idx="135">
                  <c:v>48.481866848983351</c:v>
                </c:pt>
                <c:pt idx="136">
                  <c:v>47.489192164761299</c:v>
                </c:pt>
                <c:pt idx="137">
                  <c:v>46.45953685843741</c:v>
                </c:pt>
                <c:pt idx="138">
                  <c:v>45.39354100079418</c:v>
                </c:pt>
                <c:pt idx="139">
                  <c:v>44.29186725320821</c:v>
                </c:pt>
                <c:pt idx="140">
                  <c:v>43.155200455716098</c:v>
                </c:pt>
                <c:pt idx="141">
                  <c:v>41.984247201293201</c:v>
                </c:pt>
                <c:pt idx="142">
                  <c:v>40.779735396610057</c:v>
                </c:pt>
                <c:pt idx="143">
                  <c:v>39.542413809539362</c:v>
                </c:pt>
                <c:pt idx="144">
                  <c:v>38.27305160369496</c:v>
                </c:pt>
                <c:pt idx="145">
                  <c:v>36.97243786029204</c:v>
                </c:pt>
                <c:pt idx="146">
                  <c:v>35.641381087625909</c:v>
                </c:pt>
                <c:pt idx="147">
                  <c:v>34.280708718474088</c:v>
                </c:pt>
                <c:pt idx="148">
                  <c:v>32.891266595734379</c:v>
                </c:pt>
                <c:pt idx="149">
                  <c:v>31.473918446618441</c:v>
                </c:pt>
                <c:pt idx="150">
                  <c:v>30.029545345727961</c:v>
                </c:pt>
                <c:pt idx="151">
                  <c:v>28.559045167346859</c:v>
                </c:pt>
                <c:pt idx="152">
                  <c:v>27.063332027290457</c:v>
                </c:pt>
                <c:pt idx="153">
                  <c:v>25.54333571465812</c:v>
                </c:pt>
                <c:pt idx="154">
                  <c:v>24.00000111384292</c:v>
                </c:pt>
                <c:pt idx="155">
                  <c:v>22.434287617157558</c:v>
                </c:pt>
                <c:pt idx="156">
                  <c:v>20.847168528441451</c:v>
                </c:pt>
                <c:pt idx="157">
                  <c:v>19.239630458020226</c:v>
                </c:pt>
                <c:pt idx="158">
                  <c:v>17.612672709393095</c:v>
                </c:pt>
                <c:pt idx="159">
                  <c:v>15.967306658029923</c:v>
                </c:pt>
                <c:pt idx="160">
                  <c:v>14.304555122663807</c:v>
                </c:pt>
                <c:pt idx="161">
                  <c:v>12.625451729470267</c:v>
                </c:pt>
                <c:pt idx="162">
                  <c:v>10.931040269527855</c:v>
                </c:pt>
                <c:pt idx="163">
                  <c:v>9.2223740499601874</c:v>
                </c:pt>
                <c:pt idx="164">
                  <c:v>7.50051523916229</c:v>
                </c:pt>
                <c:pt idx="165">
                  <c:v>5.7665342065185783</c:v>
                </c:pt>
                <c:pt idx="166">
                  <c:v>4.0215088570226385</c:v>
                </c:pt>
                <c:pt idx="167">
                  <c:v>2.2665239612127621</c:v>
                </c:pt>
                <c:pt idx="168">
                  <c:v>0.50267048083958699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2.8515696384297637</c:v>
                </c:pt>
                <c:pt idx="177">
                  <c:v>1.9753111994832171</c:v>
                </c:pt>
                <c:pt idx="178">
                  <c:v>0.92563316887902047</c:v>
                </c:pt>
                <c:pt idx="179">
                  <c:v>-0.21601377837397351</c:v>
                </c:pt>
                <c:pt idx="180">
                  <c:v>-1.4157664759720063</c:v>
                </c:pt>
                <c:pt idx="181">
                  <c:v>-2.6556123420946562</c:v>
                </c:pt>
                <c:pt idx="182">
                  <c:v>-3.9245681685754725</c:v>
                </c:pt>
                <c:pt idx="183">
                  <c:v>-5.2153144569239593</c:v>
                </c:pt>
                <c:pt idx="184">
                  <c:v>-6.5226550874579061</c:v>
                </c:pt>
                <c:pt idx="185">
                  <c:v>-7.8427215966531474</c:v>
                </c:pt>
                <c:pt idx="186">
                  <c:v>-9.1725245020797033</c:v>
                </c:pt>
                <c:pt idx="187">
                  <c:v>-10.509682805443534</c:v>
                </c:pt>
                <c:pt idx="188">
                  <c:v>-11.852251962601201</c:v>
                </c:pt>
                <c:pt idx="189">
                  <c:v>-13.198609507350314</c:v>
                </c:pt>
                <c:pt idx="190">
                  <c:v>-14.547376030315508</c:v>
                </c:pt>
                <c:pt idx="191">
                  <c:v>-15.897358663204308</c:v>
                </c:pt>
                <c:pt idx="192">
                  <c:v>-17.247509325359044</c:v>
                </c:pt>
                <c:pt idx="193">
                  <c:v>-18.596892885306229</c:v>
                </c:pt>
                <c:pt idx="194">
                  <c:v>-19.944662101015112</c:v>
                </c:pt>
                <c:pt idx="195">
                  <c:v>-21.290037250525245</c:v>
                </c:pt>
                <c:pt idx="196">
                  <c:v>-22.632289027455251</c:v>
                </c:pt>
                <c:pt idx="197">
                  <c:v>-23.97072370792359</c:v>
                </c:pt>
                <c:pt idx="198">
                  <c:v>-25.30466988534544</c:v>
                </c:pt>
                <c:pt idx="199">
                  <c:v>-26.633466270137497</c:v>
                </c:pt>
                <c:pt idx="200">
                  <c:v>-27.956450194805811</c:v>
                </c:pt>
                <c:pt idx="201">
                  <c:v>-29.272946571435931</c:v>
                </c:pt>
                <c:pt idx="202">
                  <c:v>-30.582257131227855</c:v>
                </c:pt>
                <c:pt idx="203">
                  <c:v>-31.883649842884822</c:v>
                </c:pt>
                <c:pt idx="204">
                  <c:v>-33.176348463939625</c:v>
                </c:pt>
                <c:pt idx="205">
                  <c:v>-34.459522230103559</c:v>
                </c:pt>
                <c:pt idx="206">
                  <c:v>-35.732275734705851</c:v>
                </c:pt>
                <c:pt idx="207">
                  <c:v>-36.99363909448315</c:v>
                </c:pt>
                <c:pt idx="208">
                  <c:v>-38.242558539797471</c:v>
                </c:pt>
                <c:pt idx="209">
                  <c:v>-39.477887606536221</c:v>
                </c:pt>
                <c:pt idx="210">
                  <c:v>-40.698379142616446</c:v>
                </c:pt>
                <c:pt idx="211">
                  <c:v>-41.902678372794895</c:v>
                </c:pt>
                <c:pt idx="212">
                  <c:v>-43.089317289558807</c:v>
                </c:pt>
                <c:pt idx="213">
                  <c:v>-44.25671065311036</c:v>
                </c:pt>
                <c:pt idx="214">
                  <c:v>-45.403153887555582</c:v>
                </c:pt>
                <c:pt idx="215">
                  <c:v>-46.526823151096757</c:v>
                </c:pt>
                <c:pt idx="216">
                  <c:v>-47.625777833297384</c:v>
                </c:pt>
                <c:pt idx="217">
                  <c:v>-48.697965690882285</c:v>
                </c:pt>
                <c:pt idx="218">
                  <c:v>-49.741230774414589</c:v>
                </c:pt>
                <c:pt idx="219">
                  <c:v>-50.753324222038465</c:v>
                </c:pt>
                <c:pt idx="220">
                  <c:v>-51.731917905092047</c:v>
                </c:pt>
                <c:pt idx="221">
                  <c:v>-52.674620807053785</c:v>
                </c:pt>
                <c:pt idx="222">
                  <c:v>-53.578997906712083</c:v>
                </c:pt>
                <c:pt idx="223">
                  <c:v>-54.442591224662408</c:v>
                </c:pt>
                <c:pt idx="224">
                  <c:v>-55.262942586197084</c:v>
                </c:pt>
                <c:pt idx="225">
                  <c:v>-56.037617560739605</c:v>
                </c:pt>
                <c:pt idx="226">
                  <c:v>-56.764229965340405</c:v>
                </c:pt>
                <c:pt idx="227">
                  <c:v>-57.440466273599569</c:v>
                </c:pt>
                <c:pt idx="228">
                  <c:v>-58.064109256288212</c:v>
                </c:pt>
                <c:pt idx="229">
                  <c:v>-58.633060198267984</c:v>
                </c:pt>
                <c:pt idx="230">
                  <c:v>-59.145359087855262</c:v>
                </c:pt>
                <c:pt idx="231">
                  <c:v>-59.599202256688159</c:v>
                </c:pt>
                <c:pt idx="232">
                  <c:v>-59.992957055132891</c:v>
                </c:pt>
                <c:pt idx="233">
                  <c:v>-60.325173273076174</c:v>
                </c:pt>
                <c:pt idx="234">
                  <c:v>-60.594591150128096</c:v>
                </c:pt>
                <c:pt idx="235">
                  <c:v>-60.800145953957085</c:v>
                </c:pt>
                <c:pt idx="236">
                  <c:v>-60.940969232303956</c:v>
                </c:pt>
                <c:pt idx="237">
                  <c:v>-61.016386955989681</c:v>
                </c:pt>
                <c:pt idx="238">
                  <c:v>-61.025914861512376</c:v>
                </c:pt>
                <c:pt idx="239">
                  <c:v>-60.969251369261414</c:v>
                </c:pt>
              </c:numCache>
            </c:numRef>
          </c:xVal>
          <c:yVal>
            <c:numRef>
              <c:f>CALC60!$DL$6:$DL$581</c:f>
              <c:numCache>
                <c:formatCode>General</c:formatCode>
                <c:ptCount val="576"/>
              </c:numCache>
            </c:numRef>
          </c:yVal>
          <c:smooth val="0"/>
        </c:ser>
        <c:ser>
          <c:idx val="65"/>
          <c:order val="65"/>
          <c:tx>
            <c:strRef>
              <c:f>CALC60!$DM$5</c:f>
              <c:strCache>
                <c:ptCount val="1"/>
                <c:pt idx="0">
                  <c:v>R64</c:v>
                </c:pt>
              </c:strCache>
            </c:strRef>
          </c:tx>
          <c:marker>
            <c:symbol val="none"/>
          </c:marker>
          <c:xVal>
            <c:numRef>
              <c:f>CALC60!$AY$6:$AY$581</c:f>
              <c:numCache>
                <c:formatCode>General</c:formatCode>
                <c:ptCount val="576"/>
                <c:pt idx="0">
                  <c:v>-19.833506546880365</c:v>
                </c:pt>
                <c:pt idx="1">
                  <c:v>-18.245852614565919</c:v>
                </c:pt>
                <c:pt idx="2">
                  <c:v>-16.629666681765414</c:v>
                </c:pt>
                <c:pt idx="3">
                  <c:v>-14.98231154257417</c:v>
                </c:pt>
                <c:pt idx="4">
                  <c:v>-13.301143585556035</c:v>
                </c:pt>
                <c:pt idx="5">
                  <c:v>-11.583569246398675</c:v>
                </c:pt>
                <c:pt idx="6">
                  <c:v>-9.8270793278644781</c:v>
                </c:pt>
                <c:pt idx="7">
                  <c:v>-8.029252658232803</c:v>
                </c:pt>
                <c:pt idx="8">
                  <c:v>-6.1877185053343773</c:v>
                </c:pt>
                <c:pt idx="9">
                  <c:v>-4.3000630515963358</c:v>
                </c:pt>
                <c:pt idx="10">
                  <c:v>-2.3636564525099644</c:v>
                </c:pt>
                <c:pt idx="11">
                  <c:v>-0.37535794962416702</c:v>
                </c:pt>
                <c:pt idx="12">
                  <c:v>-3.0678010204149508</c:v>
                </c:pt>
                <c:pt idx="13">
                  <c:v>5.8156608222448263</c:v>
                </c:pt>
                <c:pt idx="14">
                  <c:v>-8.9906603193697858</c:v>
                </c:pt>
                <c:pt idx="15">
                  <c:v>-19.434156555154736</c:v>
                </c:pt>
                <c:pt idx="16">
                  <c:v>-12</c:v>
                </c:pt>
                <c:pt idx="17">
                  <c:v>-29.167117021908272</c:v>
                </c:pt>
                <c:pt idx="18">
                  <c:v>-14</c:v>
                </c:pt>
                <c:pt idx="19">
                  <c:v>-19.833506546880365</c:v>
                </c:pt>
                <c:pt idx="20">
                  <c:v>1.5130248501190131</c:v>
                </c:pt>
                <c:pt idx="21">
                  <c:v>12</c:v>
                </c:pt>
                <c:pt idx="22">
                  <c:v>-12</c:v>
                </c:pt>
                <c:pt idx="23">
                  <c:v>-28.772550131225248</c:v>
                </c:pt>
                <c:pt idx="24">
                  <c:v>-11.666666666666666</c:v>
                </c:pt>
                <c:pt idx="25">
                  <c:v>-18.245852614565919</c:v>
                </c:pt>
                <c:pt idx="26">
                  <c:v>4.3925078710812571</c:v>
                </c:pt>
                <c:pt idx="27">
                  <c:v>12</c:v>
                </c:pt>
                <c:pt idx="28">
                  <c:v>-12</c:v>
                </c:pt>
                <c:pt idx="29">
                  <c:v>-28.303800039278563</c:v>
                </c:pt>
                <c:pt idx="30">
                  <c:v>-9.3333333333333321</c:v>
                </c:pt>
                <c:pt idx="31">
                  <c:v>-16.629666681765414</c:v>
                </c:pt>
                <c:pt idx="32">
                  <c:v>6.4527131206909987</c:v>
                </c:pt>
                <c:pt idx="33">
                  <c:v>12</c:v>
                </c:pt>
                <c:pt idx="34">
                  <c:v>-12</c:v>
                </c:pt>
                <c:pt idx="35">
                  <c:v>-27.754010010716058</c:v>
                </c:pt>
                <c:pt idx="36">
                  <c:v>-6.9999999999999982</c:v>
                </c:pt>
                <c:pt idx="37">
                  <c:v>-14.98231154257417</c:v>
                </c:pt>
                <c:pt idx="38">
                  <c:v>8.2375052570320868</c:v>
                </c:pt>
                <c:pt idx="39">
                  <c:v>12</c:v>
                </c:pt>
                <c:pt idx="40">
                  <c:v>-12</c:v>
                </c:pt>
                <c:pt idx="41">
                  <c:v>-27.116306655803694</c:v>
                </c:pt>
                <c:pt idx="42">
                  <c:v>-4.6666666666666643</c:v>
                </c:pt>
                <c:pt idx="43">
                  <c:v>-13.301143585556035</c:v>
                </c:pt>
                <c:pt idx="44">
                  <c:v>9.8664661885771885</c:v>
                </c:pt>
                <c:pt idx="45">
                  <c:v>12</c:v>
                </c:pt>
                <c:pt idx="46">
                  <c:v>-12</c:v>
                </c:pt>
                <c:pt idx="47">
                  <c:v>-26.383946707329393</c:v>
                </c:pt>
                <c:pt idx="48">
                  <c:v>-2.3333333333333308</c:v>
                </c:pt>
                <c:pt idx="49">
                  <c:v>-11.583569246398675</c:v>
                </c:pt>
                <c:pt idx="50">
                  <c:v>11.388844623449907</c:v>
                </c:pt>
                <c:pt idx="51">
                  <c:v>12</c:v>
                </c:pt>
                <c:pt idx="52">
                  <c:v>-12</c:v>
                </c:pt>
                <c:pt idx="53">
                  <c:v>-25.550406252475348</c:v>
                </c:pt>
                <c:pt idx="54">
                  <c:v>0</c:v>
                </c:pt>
                <c:pt idx="55">
                  <c:v>-9.8270793278644781</c:v>
                </c:pt>
                <c:pt idx="56">
                  <c:v>12.829698097369761</c:v>
                </c:pt>
                <c:pt idx="57">
                  <c:v>12</c:v>
                </c:pt>
                <c:pt idx="58">
                  <c:v>-12</c:v>
                </c:pt>
                <c:pt idx="59">
                  <c:v>-24.609390244767855</c:v>
                </c:pt>
                <c:pt idx="60">
                  <c:v>2.3333333333333335</c:v>
                </c:pt>
                <c:pt idx="61">
                  <c:v>-8.029252658232803</c:v>
                </c:pt>
                <c:pt idx="62">
                  <c:v>14.203132463376605</c:v>
                </c:pt>
                <c:pt idx="63">
                  <c:v>12</c:v>
                </c:pt>
                <c:pt idx="64">
                  <c:v>-12</c:v>
                </c:pt>
                <c:pt idx="65">
                  <c:v>-23.554734780566797</c:v>
                </c:pt>
                <c:pt idx="66">
                  <c:v>4.666666666666667</c:v>
                </c:pt>
                <c:pt idx="67">
                  <c:v>-6.1877185053343773</c:v>
                </c:pt>
                <c:pt idx="68">
                  <c:v>15.517506829265256</c:v>
                </c:pt>
                <c:pt idx="69">
                  <c:v>12</c:v>
                </c:pt>
                <c:pt idx="70">
                  <c:v>-12</c:v>
                </c:pt>
                <c:pt idx="71">
                  <c:v>-22.380163934182676</c:v>
                </c:pt>
                <c:pt idx="72">
                  <c:v>7</c:v>
                </c:pt>
                <c:pt idx="73">
                  <c:v>-4.3000630515963358</c:v>
                </c:pt>
                <c:pt idx="74">
                  <c:v>16.777941702150098</c:v>
                </c:pt>
                <c:pt idx="75">
                  <c:v>12</c:v>
                </c:pt>
                <c:pt idx="76">
                  <c:v>-12</c:v>
                </c:pt>
                <c:pt idx="77">
                  <c:v>-21.078840109892809</c:v>
                </c:pt>
                <c:pt idx="78">
                  <c:v>9.3333333333333339</c:v>
                </c:pt>
                <c:pt idx="79">
                  <c:v>-2.3636564525099644</c:v>
                </c:pt>
                <c:pt idx="80">
                  <c:v>17.987756355580007</c:v>
                </c:pt>
                <c:pt idx="81">
                  <c:v>12</c:v>
                </c:pt>
                <c:pt idx="82">
                  <c:v>-12</c:v>
                </c:pt>
                <c:pt idx="83">
                  <c:v>-19.642597335724307</c:v>
                </c:pt>
                <c:pt idx="84">
                  <c:v>11.666666666666668</c:v>
                </c:pt>
                <c:pt idx="85">
                  <c:v>-0.37535794962416702</c:v>
                </c:pt>
                <c:pt idx="86">
                  <c:v>19.149459663035739</c:v>
                </c:pt>
                <c:pt idx="87">
                  <c:v>12</c:v>
                </c:pt>
                <c:pt idx="88">
                  <c:v>-12</c:v>
                </c:pt>
                <c:pt idx="89">
                  <c:v>-30.376282653093735</c:v>
                </c:pt>
                <c:pt idx="90">
                  <c:v>14.000000000000002</c:v>
                </c:pt>
                <c:pt idx="91">
                  <c:v>-3.0678010204149508</c:v>
                </c:pt>
                <c:pt idx="92">
                  <c:v>26.896999319700733</c:v>
                </c:pt>
                <c:pt idx="93">
                  <c:v>12</c:v>
                </c:pt>
                <c:pt idx="94">
                  <c:v>-12</c:v>
                </c:pt>
                <c:pt idx="95">
                  <c:v>-24.879281862192261</c:v>
                </c:pt>
                <c:pt idx="96">
                  <c:v>25</c:v>
                </c:pt>
                <c:pt idx="97">
                  <c:v>5.8156608222448263</c:v>
                </c:pt>
                <c:pt idx="98">
                  <c:v>31.34962606454722</c:v>
                </c:pt>
                <c:pt idx="99">
                  <c:v>12</c:v>
                </c:pt>
                <c:pt idx="100">
                  <c:v>-12</c:v>
                </c:pt>
                <c:pt idx="101">
                  <c:v>-23.375716830330454</c:v>
                </c:pt>
                <c:pt idx="102">
                  <c:v>0</c:v>
                </c:pt>
                <c:pt idx="103">
                  <c:v>-8.9906603193697858</c:v>
                </c:pt>
                <c:pt idx="104">
                  <c:v>22.648032351271631</c:v>
                </c:pt>
                <c:pt idx="105">
                  <c:v>12</c:v>
                </c:pt>
                <c:pt idx="106">
                  <c:v>-12</c:v>
                </c:pt>
                <c:pt idx="107">
                  <c:v>-10.52880704336475</c:v>
                </c:pt>
                <c:pt idx="108">
                  <c:v>-25</c:v>
                </c:pt>
                <c:pt idx="109">
                  <c:v>-19.434156555154736</c:v>
                </c:pt>
                <c:pt idx="110">
                  <c:v>20.32293673094285</c:v>
                </c:pt>
                <c:pt idx="111">
                  <c:v>12</c:v>
                </c:pt>
                <c:pt idx="112">
                  <c:v>60</c:v>
                </c:pt>
                <c:pt idx="113">
                  <c:v>59.977621104822219</c:v>
                </c:pt>
                <c:pt idx="114">
                  <c:v>59.910498330815244</c:v>
                </c:pt>
                <c:pt idx="115">
                  <c:v>59.7986734039103</c:v>
                </c:pt>
                <c:pt idx="116">
                  <c:v>59.642215838505066</c:v>
                </c:pt>
                <c:pt idx="117">
                  <c:v>59.441222894251112</c:v>
                </c:pt>
                <c:pt idx="118">
                  <c:v>59.195819515593755</c:v>
                </c:pt>
                <c:pt idx="119">
                  <c:v>58.906158254102053</c:v>
                </c:pt>
                <c:pt idx="120">
                  <c:v>58.572419173637371</c:v>
                </c:pt>
                <c:pt idx="121">
                  <c:v>58.19480973841911</c:v>
                </c:pt>
                <c:pt idx="122">
                  <c:v>57.77356468405749</c:v>
                </c:pt>
                <c:pt idx="123">
                  <c:v>57.308945871633512</c:v>
                </c:pt>
                <c:pt idx="124">
                  <c:v>56.801242124916655</c:v>
                </c:pt>
                <c:pt idx="125">
                  <c:v>56.250769050821617</c:v>
                </c:pt>
                <c:pt idx="126">
                  <c:v>55.657868843215709</c:v>
                </c:pt>
                <c:pt idx="127">
                  <c:v>55.022910070198847</c:v>
                </c:pt>
                <c:pt idx="128">
                  <c:v>54.346287444988349</c:v>
                </c:pt>
                <c:pt idx="129">
                  <c:v>53.628421580551006</c:v>
                </c:pt>
                <c:pt idx="130">
                  <c:v>52.869758728134926</c:v>
                </c:pt>
                <c:pt idx="131">
                  <c:v>52.070770499863713</c:v>
                </c:pt>
                <c:pt idx="132">
                  <c:v>51.231953575565385</c:v>
                </c:pt>
                <c:pt idx="133">
                  <c:v>50.353829394018334</c:v>
                </c:pt>
                <c:pt idx="134">
                  <c:v>49.436943828806236</c:v>
                </c:pt>
                <c:pt idx="135">
                  <c:v>48.481866848983351</c:v>
                </c:pt>
                <c:pt idx="136">
                  <c:v>47.489192164761299</c:v>
                </c:pt>
                <c:pt idx="137">
                  <c:v>46.45953685843741</c:v>
                </c:pt>
                <c:pt idx="138">
                  <c:v>45.39354100079418</c:v>
                </c:pt>
                <c:pt idx="139">
                  <c:v>44.29186725320821</c:v>
                </c:pt>
                <c:pt idx="140">
                  <c:v>43.155200455716098</c:v>
                </c:pt>
                <c:pt idx="141">
                  <c:v>41.984247201293201</c:v>
                </c:pt>
                <c:pt idx="142">
                  <c:v>40.779735396610057</c:v>
                </c:pt>
                <c:pt idx="143">
                  <c:v>39.542413809539362</c:v>
                </c:pt>
                <c:pt idx="144">
                  <c:v>38.27305160369496</c:v>
                </c:pt>
                <c:pt idx="145">
                  <c:v>36.97243786029204</c:v>
                </c:pt>
                <c:pt idx="146">
                  <c:v>35.641381087625909</c:v>
                </c:pt>
                <c:pt idx="147">
                  <c:v>34.280708718474088</c:v>
                </c:pt>
                <c:pt idx="148">
                  <c:v>32.891266595734379</c:v>
                </c:pt>
                <c:pt idx="149">
                  <c:v>31.473918446618441</c:v>
                </c:pt>
                <c:pt idx="150">
                  <c:v>30.029545345727961</c:v>
                </c:pt>
                <c:pt idx="151">
                  <c:v>28.559045167346859</c:v>
                </c:pt>
                <c:pt idx="152">
                  <c:v>27.063332027290457</c:v>
                </c:pt>
                <c:pt idx="153">
                  <c:v>25.54333571465812</c:v>
                </c:pt>
                <c:pt idx="154">
                  <c:v>24.00000111384292</c:v>
                </c:pt>
                <c:pt idx="155">
                  <c:v>22.434287617157558</c:v>
                </c:pt>
                <c:pt idx="156">
                  <c:v>20.847168528441451</c:v>
                </c:pt>
                <c:pt idx="157">
                  <c:v>19.239630458020226</c:v>
                </c:pt>
                <c:pt idx="158">
                  <c:v>17.612672709393095</c:v>
                </c:pt>
                <c:pt idx="159">
                  <c:v>15.967306658029923</c:v>
                </c:pt>
                <c:pt idx="160">
                  <c:v>14.304555122663807</c:v>
                </c:pt>
                <c:pt idx="161">
                  <c:v>12.625451729470267</c:v>
                </c:pt>
                <c:pt idx="162">
                  <c:v>10.931040269527855</c:v>
                </c:pt>
                <c:pt idx="163">
                  <c:v>9.2223740499601874</c:v>
                </c:pt>
                <c:pt idx="164">
                  <c:v>7.50051523916229</c:v>
                </c:pt>
                <c:pt idx="165">
                  <c:v>5.7665342065185783</c:v>
                </c:pt>
                <c:pt idx="166">
                  <c:v>4.0215088570226385</c:v>
                </c:pt>
                <c:pt idx="167">
                  <c:v>2.2665239612127621</c:v>
                </c:pt>
                <c:pt idx="168">
                  <c:v>0.50267048083958699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2.8515696384297637</c:v>
                </c:pt>
                <c:pt idx="177">
                  <c:v>1.9753111994832171</c:v>
                </c:pt>
                <c:pt idx="178">
                  <c:v>0.92563316887902047</c:v>
                </c:pt>
                <c:pt idx="179">
                  <c:v>-0.21601377837397351</c:v>
                </c:pt>
                <c:pt idx="180">
                  <c:v>-1.4157664759720063</c:v>
                </c:pt>
                <c:pt idx="181">
                  <c:v>-2.6556123420946562</c:v>
                </c:pt>
                <c:pt idx="182">
                  <c:v>-3.9245681685754725</c:v>
                </c:pt>
                <c:pt idx="183">
                  <c:v>-5.2153144569239593</c:v>
                </c:pt>
                <c:pt idx="184">
                  <c:v>-6.5226550874579061</c:v>
                </c:pt>
                <c:pt idx="185">
                  <c:v>-7.8427215966531474</c:v>
                </c:pt>
                <c:pt idx="186">
                  <c:v>-9.1725245020797033</c:v>
                </c:pt>
                <c:pt idx="187">
                  <c:v>-10.509682805443534</c:v>
                </c:pt>
                <c:pt idx="188">
                  <c:v>-11.852251962601201</c:v>
                </c:pt>
                <c:pt idx="189">
                  <c:v>-13.198609507350314</c:v>
                </c:pt>
                <c:pt idx="190">
                  <c:v>-14.547376030315508</c:v>
                </c:pt>
                <c:pt idx="191">
                  <c:v>-15.897358663204308</c:v>
                </c:pt>
                <c:pt idx="192">
                  <c:v>-17.247509325359044</c:v>
                </c:pt>
                <c:pt idx="193">
                  <c:v>-18.596892885306229</c:v>
                </c:pt>
                <c:pt idx="194">
                  <c:v>-19.944662101015112</c:v>
                </c:pt>
                <c:pt idx="195">
                  <c:v>-21.290037250525245</c:v>
                </c:pt>
                <c:pt idx="196">
                  <c:v>-22.632289027455251</c:v>
                </c:pt>
                <c:pt idx="197">
                  <c:v>-23.97072370792359</c:v>
                </c:pt>
                <c:pt idx="198">
                  <c:v>-25.30466988534544</c:v>
                </c:pt>
                <c:pt idx="199">
                  <c:v>-26.633466270137497</c:v>
                </c:pt>
                <c:pt idx="200">
                  <c:v>-27.956450194805811</c:v>
                </c:pt>
                <c:pt idx="201">
                  <c:v>-29.272946571435931</c:v>
                </c:pt>
                <c:pt idx="202">
                  <c:v>-30.582257131227855</c:v>
                </c:pt>
                <c:pt idx="203">
                  <c:v>-31.883649842884822</c:v>
                </c:pt>
                <c:pt idx="204">
                  <c:v>-33.176348463939625</c:v>
                </c:pt>
                <c:pt idx="205">
                  <c:v>-34.459522230103559</c:v>
                </c:pt>
                <c:pt idx="206">
                  <c:v>-35.732275734705851</c:v>
                </c:pt>
                <c:pt idx="207">
                  <c:v>-36.99363909448315</c:v>
                </c:pt>
                <c:pt idx="208">
                  <c:v>-38.242558539797471</c:v>
                </c:pt>
                <c:pt idx="209">
                  <c:v>-39.477887606536221</c:v>
                </c:pt>
                <c:pt idx="210">
                  <c:v>-40.698379142616446</c:v>
                </c:pt>
                <c:pt idx="211">
                  <c:v>-41.902678372794895</c:v>
                </c:pt>
                <c:pt idx="212">
                  <c:v>-43.089317289558807</c:v>
                </c:pt>
                <c:pt idx="213">
                  <c:v>-44.25671065311036</c:v>
                </c:pt>
                <c:pt idx="214">
                  <c:v>-45.403153887555582</c:v>
                </c:pt>
                <c:pt idx="215">
                  <c:v>-46.526823151096757</c:v>
                </c:pt>
                <c:pt idx="216">
                  <c:v>-47.625777833297384</c:v>
                </c:pt>
                <c:pt idx="217">
                  <c:v>-48.697965690882285</c:v>
                </c:pt>
                <c:pt idx="218">
                  <c:v>-49.741230774414589</c:v>
                </c:pt>
                <c:pt idx="219">
                  <c:v>-50.753324222038465</c:v>
                </c:pt>
                <c:pt idx="220">
                  <c:v>-51.731917905092047</c:v>
                </c:pt>
                <c:pt idx="221">
                  <c:v>-52.674620807053785</c:v>
                </c:pt>
                <c:pt idx="222">
                  <c:v>-53.578997906712083</c:v>
                </c:pt>
                <c:pt idx="223">
                  <c:v>-54.442591224662408</c:v>
                </c:pt>
                <c:pt idx="224">
                  <c:v>-55.262942586197084</c:v>
                </c:pt>
                <c:pt idx="225">
                  <c:v>-56.037617560739605</c:v>
                </c:pt>
                <c:pt idx="226">
                  <c:v>-56.764229965340405</c:v>
                </c:pt>
                <c:pt idx="227">
                  <c:v>-57.440466273599569</c:v>
                </c:pt>
                <c:pt idx="228">
                  <c:v>-58.064109256288212</c:v>
                </c:pt>
                <c:pt idx="229">
                  <c:v>-58.633060198267984</c:v>
                </c:pt>
                <c:pt idx="230">
                  <c:v>-59.145359087855262</c:v>
                </c:pt>
                <c:pt idx="231">
                  <c:v>-59.599202256688159</c:v>
                </c:pt>
                <c:pt idx="232">
                  <c:v>-59.992957055132891</c:v>
                </c:pt>
                <c:pt idx="233">
                  <c:v>-60.325173273076174</c:v>
                </c:pt>
                <c:pt idx="234">
                  <c:v>-60.594591150128096</c:v>
                </c:pt>
                <c:pt idx="235">
                  <c:v>-60.800145953957085</c:v>
                </c:pt>
                <c:pt idx="236">
                  <c:v>-60.940969232303956</c:v>
                </c:pt>
                <c:pt idx="237">
                  <c:v>-61.016386955989681</c:v>
                </c:pt>
                <c:pt idx="238">
                  <c:v>-61.025914861512376</c:v>
                </c:pt>
                <c:pt idx="239">
                  <c:v>-60.969251369261414</c:v>
                </c:pt>
              </c:numCache>
            </c:numRef>
          </c:xVal>
          <c:yVal>
            <c:numRef>
              <c:f>CALC60!$DM$6:$DM$581</c:f>
              <c:numCache>
                <c:formatCode>General</c:formatCode>
                <c:ptCount val="576"/>
              </c:numCache>
            </c:numRef>
          </c:yVal>
          <c:smooth val="0"/>
        </c:ser>
        <c:ser>
          <c:idx val="66"/>
          <c:order val="66"/>
          <c:tx>
            <c:strRef>
              <c:f>CALC60!$DN$5</c:f>
              <c:strCache>
                <c:ptCount val="1"/>
                <c:pt idx="0">
                  <c:v>R65</c:v>
                </c:pt>
              </c:strCache>
            </c:strRef>
          </c:tx>
          <c:marker>
            <c:symbol val="none"/>
          </c:marker>
          <c:xVal>
            <c:numRef>
              <c:f>CALC60!$AY$6:$AY$581</c:f>
              <c:numCache>
                <c:formatCode>General</c:formatCode>
                <c:ptCount val="576"/>
                <c:pt idx="0">
                  <c:v>-19.833506546880365</c:v>
                </c:pt>
                <c:pt idx="1">
                  <c:v>-18.245852614565919</c:v>
                </c:pt>
                <c:pt idx="2">
                  <c:v>-16.629666681765414</c:v>
                </c:pt>
                <c:pt idx="3">
                  <c:v>-14.98231154257417</c:v>
                </c:pt>
                <c:pt idx="4">
                  <c:v>-13.301143585556035</c:v>
                </c:pt>
                <c:pt idx="5">
                  <c:v>-11.583569246398675</c:v>
                </c:pt>
                <c:pt idx="6">
                  <c:v>-9.8270793278644781</c:v>
                </c:pt>
                <c:pt idx="7">
                  <c:v>-8.029252658232803</c:v>
                </c:pt>
                <c:pt idx="8">
                  <c:v>-6.1877185053343773</c:v>
                </c:pt>
                <c:pt idx="9">
                  <c:v>-4.3000630515963358</c:v>
                </c:pt>
                <c:pt idx="10">
                  <c:v>-2.3636564525099644</c:v>
                </c:pt>
                <c:pt idx="11">
                  <c:v>-0.37535794962416702</c:v>
                </c:pt>
                <c:pt idx="12">
                  <c:v>-3.0678010204149508</c:v>
                </c:pt>
                <c:pt idx="13">
                  <c:v>5.8156608222448263</c:v>
                </c:pt>
                <c:pt idx="14">
                  <c:v>-8.9906603193697858</c:v>
                </c:pt>
                <c:pt idx="15">
                  <c:v>-19.434156555154736</c:v>
                </c:pt>
                <c:pt idx="16">
                  <c:v>-12</c:v>
                </c:pt>
                <c:pt idx="17">
                  <c:v>-29.167117021908272</c:v>
                </c:pt>
                <c:pt idx="18">
                  <c:v>-14</c:v>
                </c:pt>
                <c:pt idx="19">
                  <c:v>-19.833506546880365</c:v>
                </c:pt>
                <c:pt idx="20">
                  <c:v>1.5130248501190131</c:v>
                </c:pt>
                <c:pt idx="21">
                  <c:v>12</c:v>
                </c:pt>
                <c:pt idx="22">
                  <c:v>-12</c:v>
                </c:pt>
                <c:pt idx="23">
                  <c:v>-28.772550131225248</c:v>
                </c:pt>
                <c:pt idx="24">
                  <c:v>-11.666666666666666</c:v>
                </c:pt>
                <c:pt idx="25">
                  <c:v>-18.245852614565919</c:v>
                </c:pt>
                <c:pt idx="26">
                  <c:v>4.3925078710812571</c:v>
                </c:pt>
                <c:pt idx="27">
                  <c:v>12</c:v>
                </c:pt>
                <c:pt idx="28">
                  <c:v>-12</c:v>
                </c:pt>
                <c:pt idx="29">
                  <c:v>-28.303800039278563</c:v>
                </c:pt>
                <c:pt idx="30">
                  <c:v>-9.3333333333333321</c:v>
                </c:pt>
                <c:pt idx="31">
                  <c:v>-16.629666681765414</c:v>
                </c:pt>
                <c:pt idx="32">
                  <c:v>6.4527131206909987</c:v>
                </c:pt>
                <c:pt idx="33">
                  <c:v>12</c:v>
                </c:pt>
                <c:pt idx="34">
                  <c:v>-12</c:v>
                </c:pt>
                <c:pt idx="35">
                  <c:v>-27.754010010716058</c:v>
                </c:pt>
                <c:pt idx="36">
                  <c:v>-6.9999999999999982</c:v>
                </c:pt>
                <c:pt idx="37">
                  <c:v>-14.98231154257417</c:v>
                </c:pt>
                <c:pt idx="38">
                  <c:v>8.2375052570320868</c:v>
                </c:pt>
                <c:pt idx="39">
                  <c:v>12</c:v>
                </c:pt>
                <c:pt idx="40">
                  <c:v>-12</c:v>
                </c:pt>
                <c:pt idx="41">
                  <c:v>-27.116306655803694</c:v>
                </c:pt>
                <c:pt idx="42">
                  <c:v>-4.6666666666666643</c:v>
                </c:pt>
                <c:pt idx="43">
                  <c:v>-13.301143585556035</c:v>
                </c:pt>
                <c:pt idx="44">
                  <c:v>9.8664661885771885</c:v>
                </c:pt>
                <c:pt idx="45">
                  <c:v>12</c:v>
                </c:pt>
                <c:pt idx="46">
                  <c:v>-12</c:v>
                </c:pt>
                <c:pt idx="47">
                  <c:v>-26.383946707329393</c:v>
                </c:pt>
                <c:pt idx="48">
                  <c:v>-2.3333333333333308</c:v>
                </c:pt>
                <c:pt idx="49">
                  <c:v>-11.583569246398675</c:v>
                </c:pt>
                <c:pt idx="50">
                  <c:v>11.388844623449907</c:v>
                </c:pt>
                <c:pt idx="51">
                  <c:v>12</c:v>
                </c:pt>
                <c:pt idx="52">
                  <c:v>-12</c:v>
                </c:pt>
                <c:pt idx="53">
                  <c:v>-25.550406252475348</c:v>
                </c:pt>
                <c:pt idx="54">
                  <c:v>0</c:v>
                </c:pt>
                <c:pt idx="55">
                  <c:v>-9.8270793278644781</c:v>
                </c:pt>
                <c:pt idx="56">
                  <c:v>12.829698097369761</c:v>
                </c:pt>
                <c:pt idx="57">
                  <c:v>12</c:v>
                </c:pt>
                <c:pt idx="58">
                  <c:v>-12</c:v>
                </c:pt>
                <c:pt idx="59">
                  <c:v>-24.609390244767855</c:v>
                </c:pt>
                <c:pt idx="60">
                  <c:v>2.3333333333333335</c:v>
                </c:pt>
                <c:pt idx="61">
                  <c:v>-8.029252658232803</c:v>
                </c:pt>
                <c:pt idx="62">
                  <c:v>14.203132463376605</c:v>
                </c:pt>
                <c:pt idx="63">
                  <c:v>12</c:v>
                </c:pt>
                <c:pt idx="64">
                  <c:v>-12</c:v>
                </c:pt>
                <c:pt idx="65">
                  <c:v>-23.554734780566797</c:v>
                </c:pt>
                <c:pt idx="66">
                  <c:v>4.666666666666667</c:v>
                </c:pt>
                <c:pt idx="67">
                  <c:v>-6.1877185053343773</c:v>
                </c:pt>
                <c:pt idx="68">
                  <c:v>15.517506829265256</c:v>
                </c:pt>
                <c:pt idx="69">
                  <c:v>12</c:v>
                </c:pt>
                <c:pt idx="70">
                  <c:v>-12</c:v>
                </c:pt>
                <c:pt idx="71">
                  <c:v>-22.380163934182676</c:v>
                </c:pt>
                <c:pt idx="72">
                  <c:v>7</c:v>
                </c:pt>
                <c:pt idx="73">
                  <c:v>-4.3000630515963358</c:v>
                </c:pt>
                <c:pt idx="74">
                  <c:v>16.777941702150098</c:v>
                </c:pt>
                <c:pt idx="75">
                  <c:v>12</c:v>
                </c:pt>
                <c:pt idx="76">
                  <c:v>-12</c:v>
                </c:pt>
                <c:pt idx="77">
                  <c:v>-21.078840109892809</c:v>
                </c:pt>
                <c:pt idx="78">
                  <c:v>9.3333333333333339</c:v>
                </c:pt>
                <c:pt idx="79">
                  <c:v>-2.3636564525099644</c:v>
                </c:pt>
                <c:pt idx="80">
                  <c:v>17.987756355580007</c:v>
                </c:pt>
                <c:pt idx="81">
                  <c:v>12</c:v>
                </c:pt>
                <c:pt idx="82">
                  <c:v>-12</c:v>
                </c:pt>
                <c:pt idx="83">
                  <c:v>-19.642597335724307</c:v>
                </c:pt>
                <c:pt idx="84">
                  <c:v>11.666666666666668</c:v>
                </c:pt>
                <c:pt idx="85">
                  <c:v>-0.37535794962416702</c:v>
                </c:pt>
                <c:pt idx="86">
                  <c:v>19.149459663035739</c:v>
                </c:pt>
                <c:pt idx="87">
                  <c:v>12</c:v>
                </c:pt>
                <c:pt idx="88">
                  <c:v>-12</c:v>
                </c:pt>
                <c:pt idx="89">
                  <c:v>-30.376282653093735</c:v>
                </c:pt>
                <c:pt idx="90">
                  <c:v>14.000000000000002</c:v>
                </c:pt>
                <c:pt idx="91">
                  <c:v>-3.0678010204149508</c:v>
                </c:pt>
                <c:pt idx="92">
                  <c:v>26.896999319700733</c:v>
                </c:pt>
                <c:pt idx="93">
                  <c:v>12</c:v>
                </c:pt>
                <c:pt idx="94">
                  <c:v>-12</c:v>
                </c:pt>
                <c:pt idx="95">
                  <c:v>-24.879281862192261</c:v>
                </c:pt>
                <c:pt idx="96">
                  <c:v>25</c:v>
                </c:pt>
                <c:pt idx="97">
                  <c:v>5.8156608222448263</c:v>
                </c:pt>
                <c:pt idx="98">
                  <c:v>31.34962606454722</c:v>
                </c:pt>
                <c:pt idx="99">
                  <c:v>12</c:v>
                </c:pt>
                <c:pt idx="100">
                  <c:v>-12</c:v>
                </c:pt>
                <c:pt idx="101">
                  <c:v>-23.375716830330454</c:v>
                </c:pt>
                <c:pt idx="102">
                  <c:v>0</c:v>
                </c:pt>
                <c:pt idx="103">
                  <c:v>-8.9906603193697858</c:v>
                </c:pt>
                <c:pt idx="104">
                  <c:v>22.648032351271631</c:v>
                </c:pt>
                <c:pt idx="105">
                  <c:v>12</c:v>
                </c:pt>
                <c:pt idx="106">
                  <c:v>-12</c:v>
                </c:pt>
                <c:pt idx="107">
                  <c:v>-10.52880704336475</c:v>
                </c:pt>
                <c:pt idx="108">
                  <c:v>-25</c:v>
                </c:pt>
                <c:pt idx="109">
                  <c:v>-19.434156555154736</c:v>
                </c:pt>
                <c:pt idx="110">
                  <c:v>20.32293673094285</c:v>
                </c:pt>
                <c:pt idx="111">
                  <c:v>12</c:v>
                </c:pt>
                <c:pt idx="112">
                  <c:v>60</c:v>
                </c:pt>
                <c:pt idx="113">
                  <c:v>59.977621104822219</c:v>
                </c:pt>
                <c:pt idx="114">
                  <c:v>59.910498330815244</c:v>
                </c:pt>
                <c:pt idx="115">
                  <c:v>59.7986734039103</c:v>
                </c:pt>
                <c:pt idx="116">
                  <c:v>59.642215838505066</c:v>
                </c:pt>
                <c:pt idx="117">
                  <c:v>59.441222894251112</c:v>
                </c:pt>
                <c:pt idx="118">
                  <c:v>59.195819515593755</c:v>
                </c:pt>
                <c:pt idx="119">
                  <c:v>58.906158254102053</c:v>
                </c:pt>
                <c:pt idx="120">
                  <c:v>58.572419173637371</c:v>
                </c:pt>
                <c:pt idx="121">
                  <c:v>58.19480973841911</c:v>
                </c:pt>
                <c:pt idx="122">
                  <c:v>57.77356468405749</c:v>
                </c:pt>
                <c:pt idx="123">
                  <c:v>57.308945871633512</c:v>
                </c:pt>
                <c:pt idx="124">
                  <c:v>56.801242124916655</c:v>
                </c:pt>
                <c:pt idx="125">
                  <c:v>56.250769050821617</c:v>
                </c:pt>
                <c:pt idx="126">
                  <c:v>55.657868843215709</c:v>
                </c:pt>
                <c:pt idx="127">
                  <c:v>55.022910070198847</c:v>
                </c:pt>
                <c:pt idx="128">
                  <c:v>54.346287444988349</c:v>
                </c:pt>
                <c:pt idx="129">
                  <c:v>53.628421580551006</c:v>
                </c:pt>
                <c:pt idx="130">
                  <c:v>52.869758728134926</c:v>
                </c:pt>
                <c:pt idx="131">
                  <c:v>52.070770499863713</c:v>
                </c:pt>
                <c:pt idx="132">
                  <c:v>51.231953575565385</c:v>
                </c:pt>
                <c:pt idx="133">
                  <c:v>50.353829394018334</c:v>
                </c:pt>
                <c:pt idx="134">
                  <c:v>49.436943828806236</c:v>
                </c:pt>
                <c:pt idx="135">
                  <c:v>48.481866848983351</c:v>
                </c:pt>
                <c:pt idx="136">
                  <c:v>47.489192164761299</c:v>
                </c:pt>
                <c:pt idx="137">
                  <c:v>46.45953685843741</c:v>
                </c:pt>
                <c:pt idx="138">
                  <c:v>45.39354100079418</c:v>
                </c:pt>
                <c:pt idx="139">
                  <c:v>44.29186725320821</c:v>
                </c:pt>
                <c:pt idx="140">
                  <c:v>43.155200455716098</c:v>
                </c:pt>
                <c:pt idx="141">
                  <c:v>41.984247201293201</c:v>
                </c:pt>
                <c:pt idx="142">
                  <c:v>40.779735396610057</c:v>
                </c:pt>
                <c:pt idx="143">
                  <c:v>39.542413809539362</c:v>
                </c:pt>
                <c:pt idx="144">
                  <c:v>38.27305160369496</c:v>
                </c:pt>
                <c:pt idx="145">
                  <c:v>36.97243786029204</c:v>
                </c:pt>
                <c:pt idx="146">
                  <c:v>35.641381087625909</c:v>
                </c:pt>
                <c:pt idx="147">
                  <c:v>34.280708718474088</c:v>
                </c:pt>
                <c:pt idx="148">
                  <c:v>32.891266595734379</c:v>
                </c:pt>
                <c:pt idx="149">
                  <c:v>31.473918446618441</c:v>
                </c:pt>
                <c:pt idx="150">
                  <c:v>30.029545345727961</c:v>
                </c:pt>
                <c:pt idx="151">
                  <c:v>28.559045167346859</c:v>
                </c:pt>
                <c:pt idx="152">
                  <c:v>27.063332027290457</c:v>
                </c:pt>
                <c:pt idx="153">
                  <c:v>25.54333571465812</c:v>
                </c:pt>
                <c:pt idx="154">
                  <c:v>24.00000111384292</c:v>
                </c:pt>
                <c:pt idx="155">
                  <c:v>22.434287617157558</c:v>
                </c:pt>
                <c:pt idx="156">
                  <c:v>20.847168528441451</c:v>
                </c:pt>
                <c:pt idx="157">
                  <c:v>19.239630458020226</c:v>
                </c:pt>
                <c:pt idx="158">
                  <c:v>17.612672709393095</c:v>
                </c:pt>
                <c:pt idx="159">
                  <c:v>15.967306658029923</c:v>
                </c:pt>
                <c:pt idx="160">
                  <c:v>14.304555122663807</c:v>
                </c:pt>
                <c:pt idx="161">
                  <c:v>12.625451729470267</c:v>
                </c:pt>
                <c:pt idx="162">
                  <c:v>10.931040269527855</c:v>
                </c:pt>
                <c:pt idx="163">
                  <c:v>9.2223740499601874</c:v>
                </c:pt>
                <c:pt idx="164">
                  <c:v>7.50051523916229</c:v>
                </c:pt>
                <c:pt idx="165">
                  <c:v>5.7665342065185783</c:v>
                </c:pt>
                <c:pt idx="166">
                  <c:v>4.0215088570226385</c:v>
                </c:pt>
                <c:pt idx="167">
                  <c:v>2.2665239612127621</c:v>
                </c:pt>
                <c:pt idx="168">
                  <c:v>0.50267048083958699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2.8515696384297637</c:v>
                </c:pt>
                <c:pt idx="177">
                  <c:v>1.9753111994832171</c:v>
                </c:pt>
                <c:pt idx="178">
                  <c:v>0.92563316887902047</c:v>
                </c:pt>
                <c:pt idx="179">
                  <c:v>-0.21601377837397351</c:v>
                </c:pt>
                <c:pt idx="180">
                  <c:v>-1.4157664759720063</c:v>
                </c:pt>
                <c:pt idx="181">
                  <c:v>-2.6556123420946562</c:v>
                </c:pt>
                <c:pt idx="182">
                  <c:v>-3.9245681685754725</c:v>
                </c:pt>
                <c:pt idx="183">
                  <c:v>-5.2153144569239593</c:v>
                </c:pt>
                <c:pt idx="184">
                  <c:v>-6.5226550874579061</c:v>
                </c:pt>
                <c:pt idx="185">
                  <c:v>-7.8427215966531474</c:v>
                </c:pt>
                <c:pt idx="186">
                  <c:v>-9.1725245020797033</c:v>
                </c:pt>
                <c:pt idx="187">
                  <c:v>-10.509682805443534</c:v>
                </c:pt>
                <c:pt idx="188">
                  <c:v>-11.852251962601201</c:v>
                </c:pt>
                <c:pt idx="189">
                  <c:v>-13.198609507350314</c:v>
                </c:pt>
                <c:pt idx="190">
                  <c:v>-14.547376030315508</c:v>
                </c:pt>
                <c:pt idx="191">
                  <c:v>-15.897358663204308</c:v>
                </c:pt>
                <c:pt idx="192">
                  <c:v>-17.247509325359044</c:v>
                </c:pt>
                <c:pt idx="193">
                  <c:v>-18.596892885306229</c:v>
                </c:pt>
                <c:pt idx="194">
                  <c:v>-19.944662101015112</c:v>
                </c:pt>
                <c:pt idx="195">
                  <c:v>-21.290037250525245</c:v>
                </c:pt>
                <c:pt idx="196">
                  <c:v>-22.632289027455251</c:v>
                </c:pt>
                <c:pt idx="197">
                  <c:v>-23.97072370792359</c:v>
                </c:pt>
                <c:pt idx="198">
                  <c:v>-25.30466988534544</c:v>
                </c:pt>
                <c:pt idx="199">
                  <c:v>-26.633466270137497</c:v>
                </c:pt>
                <c:pt idx="200">
                  <c:v>-27.956450194805811</c:v>
                </c:pt>
                <c:pt idx="201">
                  <c:v>-29.272946571435931</c:v>
                </c:pt>
                <c:pt idx="202">
                  <c:v>-30.582257131227855</c:v>
                </c:pt>
                <c:pt idx="203">
                  <c:v>-31.883649842884822</c:v>
                </c:pt>
                <c:pt idx="204">
                  <c:v>-33.176348463939625</c:v>
                </c:pt>
                <c:pt idx="205">
                  <c:v>-34.459522230103559</c:v>
                </c:pt>
                <c:pt idx="206">
                  <c:v>-35.732275734705851</c:v>
                </c:pt>
                <c:pt idx="207">
                  <c:v>-36.99363909448315</c:v>
                </c:pt>
                <c:pt idx="208">
                  <c:v>-38.242558539797471</c:v>
                </c:pt>
                <c:pt idx="209">
                  <c:v>-39.477887606536221</c:v>
                </c:pt>
                <c:pt idx="210">
                  <c:v>-40.698379142616446</c:v>
                </c:pt>
                <c:pt idx="211">
                  <c:v>-41.902678372794895</c:v>
                </c:pt>
                <c:pt idx="212">
                  <c:v>-43.089317289558807</c:v>
                </c:pt>
                <c:pt idx="213">
                  <c:v>-44.25671065311036</c:v>
                </c:pt>
                <c:pt idx="214">
                  <c:v>-45.403153887555582</c:v>
                </c:pt>
                <c:pt idx="215">
                  <c:v>-46.526823151096757</c:v>
                </c:pt>
                <c:pt idx="216">
                  <c:v>-47.625777833297384</c:v>
                </c:pt>
                <c:pt idx="217">
                  <c:v>-48.697965690882285</c:v>
                </c:pt>
                <c:pt idx="218">
                  <c:v>-49.741230774414589</c:v>
                </c:pt>
                <c:pt idx="219">
                  <c:v>-50.753324222038465</c:v>
                </c:pt>
                <c:pt idx="220">
                  <c:v>-51.731917905092047</c:v>
                </c:pt>
                <c:pt idx="221">
                  <c:v>-52.674620807053785</c:v>
                </c:pt>
                <c:pt idx="222">
                  <c:v>-53.578997906712083</c:v>
                </c:pt>
                <c:pt idx="223">
                  <c:v>-54.442591224662408</c:v>
                </c:pt>
                <c:pt idx="224">
                  <c:v>-55.262942586197084</c:v>
                </c:pt>
                <c:pt idx="225">
                  <c:v>-56.037617560739605</c:v>
                </c:pt>
                <c:pt idx="226">
                  <c:v>-56.764229965340405</c:v>
                </c:pt>
                <c:pt idx="227">
                  <c:v>-57.440466273599569</c:v>
                </c:pt>
                <c:pt idx="228">
                  <c:v>-58.064109256288212</c:v>
                </c:pt>
                <c:pt idx="229">
                  <c:v>-58.633060198267984</c:v>
                </c:pt>
                <c:pt idx="230">
                  <c:v>-59.145359087855262</c:v>
                </c:pt>
                <c:pt idx="231">
                  <c:v>-59.599202256688159</c:v>
                </c:pt>
                <c:pt idx="232">
                  <c:v>-59.992957055132891</c:v>
                </c:pt>
                <c:pt idx="233">
                  <c:v>-60.325173273076174</c:v>
                </c:pt>
                <c:pt idx="234">
                  <c:v>-60.594591150128096</c:v>
                </c:pt>
                <c:pt idx="235">
                  <c:v>-60.800145953957085</c:v>
                </c:pt>
                <c:pt idx="236">
                  <c:v>-60.940969232303956</c:v>
                </c:pt>
                <c:pt idx="237">
                  <c:v>-61.016386955989681</c:v>
                </c:pt>
                <c:pt idx="238">
                  <c:v>-61.025914861512376</c:v>
                </c:pt>
                <c:pt idx="239">
                  <c:v>-60.969251369261414</c:v>
                </c:pt>
              </c:numCache>
            </c:numRef>
          </c:xVal>
          <c:yVal>
            <c:numRef>
              <c:f>CALC60!$DN$6:$DN$581</c:f>
              <c:numCache>
                <c:formatCode>General</c:formatCode>
                <c:ptCount val="576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628992"/>
        <c:axId val="130643456"/>
      </c:scatterChart>
      <c:valAx>
        <c:axId val="130628992"/>
        <c:scaling>
          <c:orientation val="minMax"/>
          <c:max val="50"/>
          <c:min val="-5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X, </a:t>
                </a:r>
                <a:r>
                  <a:rPr lang="ru-RU"/>
                  <a:t>мм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30643456"/>
        <c:crosses val="autoZero"/>
        <c:crossBetween val="midCat"/>
      </c:valAx>
      <c:valAx>
        <c:axId val="130643456"/>
        <c:scaling>
          <c:orientation val="minMax"/>
          <c:max val="75"/>
          <c:min val="-30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Y,</a:t>
                </a:r>
                <a:r>
                  <a:rPr lang="en-US" baseline="0"/>
                  <a:t> mm</a:t>
                </a:r>
                <a:endParaRPr lang="ru-RU" baseline="0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30628992"/>
        <c:crosses val="autoZero"/>
        <c:crossBetween val="midCat"/>
        <c:majorUnit val="10"/>
        <c:minorUnit val="2"/>
      </c:valAx>
    </c:plotArea>
    <c:plotVisOnly val="1"/>
    <c:dispBlanksAs val="gap"/>
    <c:showDLblsOverMax val="0"/>
  </c:chart>
  <c:printSettings>
    <c:headerFooter/>
    <c:pageMargins b="0.75" l="0.25" r="0.25" t="0.75" header="0.3" footer="0.3"/>
    <c:pageSetup paperSize="9"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CALC60!$AY$183:$AY$211</c:f>
              <c:numCache>
                <c:formatCode>General</c:formatCode>
                <c:ptCount val="29"/>
                <c:pt idx="0">
                  <c:v>1.9753111994832171</c:v>
                </c:pt>
                <c:pt idx="1">
                  <c:v>0.92563316887902047</c:v>
                </c:pt>
                <c:pt idx="2">
                  <c:v>-0.21601377837397351</c:v>
                </c:pt>
                <c:pt idx="3">
                  <c:v>-1.4157664759720063</c:v>
                </c:pt>
                <c:pt idx="4">
                  <c:v>-2.6556123420946562</c:v>
                </c:pt>
                <c:pt idx="5">
                  <c:v>-3.9245681685754725</c:v>
                </c:pt>
                <c:pt idx="6">
                  <c:v>-5.2153144569239593</c:v>
                </c:pt>
                <c:pt idx="7">
                  <c:v>-6.5226550874579061</c:v>
                </c:pt>
                <c:pt idx="8">
                  <c:v>-7.8427215966531474</c:v>
                </c:pt>
                <c:pt idx="9">
                  <c:v>-9.1725245020797033</c:v>
                </c:pt>
                <c:pt idx="10">
                  <c:v>-10.509682805443534</c:v>
                </c:pt>
                <c:pt idx="11">
                  <c:v>-11.852251962601201</c:v>
                </c:pt>
                <c:pt idx="12">
                  <c:v>-13.198609507350314</c:v>
                </c:pt>
                <c:pt idx="13">
                  <c:v>-14.547376030315508</c:v>
                </c:pt>
                <c:pt idx="14">
                  <c:v>-15.897358663204308</c:v>
                </c:pt>
                <c:pt idx="15">
                  <c:v>-17.247509325359044</c:v>
                </c:pt>
                <c:pt idx="16">
                  <c:v>-18.596892885306229</c:v>
                </c:pt>
                <c:pt idx="17">
                  <c:v>-19.944662101015112</c:v>
                </c:pt>
                <c:pt idx="18">
                  <c:v>-21.290037250525245</c:v>
                </c:pt>
                <c:pt idx="19">
                  <c:v>-22.632289027455251</c:v>
                </c:pt>
                <c:pt idx="20">
                  <c:v>-23.97072370792359</c:v>
                </c:pt>
                <c:pt idx="21">
                  <c:v>-25.30466988534544</c:v>
                </c:pt>
                <c:pt idx="22">
                  <c:v>-26.633466270137497</c:v>
                </c:pt>
                <c:pt idx="23">
                  <c:v>-27.956450194805811</c:v>
                </c:pt>
                <c:pt idx="24">
                  <c:v>-29.272946571435931</c:v>
                </c:pt>
                <c:pt idx="25">
                  <c:v>-30.582257131227855</c:v>
                </c:pt>
                <c:pt idx="26">
                  <c:v>-31.883649842884822</c:v>
                </c:pt>
                <c:pt idx="27">
                  <c:v>-33.176348463939625</c:v>
                </c:pt>
                <c:pt idx="28">
                  <c:v>-34.459522230103559</c:v>
                </c:pt>
              </c:numCache>
            </c:numRef>
          </c:xVal>
          <c:yVal>
            <c:numRef>
              <c:f>CALC60!$AZ$183:$AZ$211</c:f>
              <c:numCache>
                <c:formatCode>General</c:formatCode>
                <c:ptCount val="29"/>
              </c:numCache>
            </c:numRef>
          </c:yVal>
          <c:smooth val="0"/>
        </c:ser>
        <c:ser>
          <c:idx val="1"/>
          <c:order val="1"/>
          <c:spPr>
            <a:ln w="28575">
              <a:noFill/>
            </a:ln>
          </c:spPr>
          <c:xVal>
            <c:numRef>
              <c:f>CALC60!$AY$183:$AY$211</c:f>
              <c:numCache>
                <c:formatCode>General</c:formatCode>
                <c:ptCount val="29"/>
                <c:pt idx="0">
                  <c:v>1.9753111994832171</c:v>
                </c:pt>
                <c:pt idx="1">
                  <c:v>0.92563316887902047</c:v>
                </c:pt>
                <c:pt idx="2">
                  <c:v>-0.21601377837397351</c:v>
                </c:pt>
                <c:pt idx="3">
                  <c:v>-1.4157664759720063</c:v>
                </c:pt>
                <c:pt idx="4">
                  <c:v>-2.6556123420946562</c:v>
                </c:pt>
                <c:pt idx="5">
                  <c:v>-3.9245681685754725</c:v>
                </c:pt>
                <c:pt idx="6">
                  <c:v>-5.2153144569239593</c:v>
                </c:pt>
                <c:pt idx="7">
                  <c:v>-6.5226550874579061</c:v>
                </c:pt>
                <c:pt idx="8">
                  <c:v>-7.8427215966531474</c:v>
                </c:pt>
                <c:pt idx="9">
                  <c:v>-9.1725245020797033</c:v>
                </c:pt>
                <c:pt idx="10">
                  <c:v>-10.509682805443534</c:v>
                </c:pt>
                <c:pt idx="11">
                  <c:v>-11.852251962601201</c:v>
                </c:pt>
                <c:pt idx="12">
                  <c:v>-13.198609507350314</c:v>
                </c:pt>
                <c:pt idx="13">
                  <c:v>-14.547376030315508</c:v>
                </c:pt>
                <c:pt idx="14">
                  <c:v>-15.897358663204308</c:v>
                </c:pt>
                <c:pt idx="15">
                  <c:v>-17.247509325359044</c:v>
                </c:pt>
                <c:pt idx="16">
                  <c:v>-18.596892885306229</c:v>
                </c:pt>
                <c:pt idx="17">
                  <c:v>-19.944662101015112</c:v>
                </c:pt>
                <c:pt idx="18">
                  <c:v>-21.290037250525245</c:v>
                </c:pt>
                <c:pt idx="19">
                  <c:v>-22.632289027455251</c:v>
                </c:pt>
                <c:pt idx="20">
                  <c:v>-23.97072370792359</c:v>
                </c:pt>
                <c:pt idx="21">
                  <c:v>-25.30466988534544</c:v>
                </c:pt>
                <c:pt idx="22">
                  <c:v>-26.633466270137497</c:v>
                </c:pt>
                <c:pt idx="23">
                  <c:v>-27.956450194805811</c:v>
                </c:pt>
                <c:pt idx="24">
                  <c:v>-29.272946571435931</c:v>
                </c:pt>
                <c:pt idx="25">
                  <c:v>-30.582257131227855</c:v>
                </c:pt>
                <c:pt idx="26">
                  <c:v>-31.883649842884822</c:v>
                </c:pt>
                <c:pt idx="27">
                  <c:v>-33.176348463939625</c:v>
                </c:pt>
                <c:pt idx="28">
                  <c:v>-34.459522230103559</c:v>
                </c:pt>
              </c:numCache>
            </c:numRef>
          </c:xVal>
          <c:yVal>
            <c:numRef>
              <c:f>CALC60!$BA$183:$BA$211</c:f>
              <c:numCache>
                <c:formatCode>General</c:formatCode>
                <c:ptCount val="29"/>
              </c:numCache>
            </c:numRef>
          </c:yVal>
          <c:smooth val="0"/>
        </c:ser>
        <c:ser>
          <c:idx val="2"/>
          <c:order val="2"/>
          <c:spPr>
            <a:ln w="28575">
              <a:noFill/>
            </a:ln>
          </c:spPr>
          <c:xVal>
            <c:numRef>
              <c:f>CALC60!$AY$183:$AY$211</c:f>
              <c:numCache>
                <c:formatCode>General</c:formatCode>
                <c:ptCount val="29"/>
                <c:pt idx="0">
                  <c:v>1.9753111994832171</c:v>
                </c:pt>
                <c:pt idx="1">
                  <c:v>0.92563316887902047</c:v>
                </c:pt>
                <c:pt idx="2">
                  <c:v>-0.21601377837397351</c:v>
                </c:pt>
                <c:pt idx="3">
                  <c:v>-1.4157664759720063</c:v>
                </c:pt>
                <c:pt idx="4">
                  <c:v>-2.6556123420946562</c:v>
                </c:pt>
                <c:pt idx="5">
                  <c:v>-3.9245681685754725</c:v>
                </c:pt>
                <c:pt idx="6">
                  <c:v>-5.2153144569239593</c:v>
                </c:pt>
                <c:pt idx="7">
                  <c:v>-6.5226550874579061</c:v>
                </c:pt>
                <c:pt idx="8">
                  <c:v>-7.8427215966531474</c:v>
                </c:pt>
                <c:pt idx="9">
                  <c:v>-9.1725245020797033</c:v>
                </c:pt>
                <c:pt idx="10">
                  <c:v>-10.509682805443534</c:v>
                </c:pt>
                <c:pt idx="11">
                  <c:v>-11.852251962601201</c:v>
                </c:pt>
                <c:pt idx="12">
                  <c:v>-13.198609507350314</c:v>
                </c:pt>
                <c:pt idx="13">
                  <c:v>-14.547376030315508</c:v>
                </c:pt>
                <c:pt idx="14">
                  <c:v>-15.897358663204308</c:v>
                </c:pt>
                <c:pt idx="15">
                  <c:v>-17.247509325359044</c:v>
                </c:pt>
                <c:pt idx="16">
                  <c:v>-18.596892885306229</c:v>
                </c:pt>
                <c:pt idx="17">
                  <c:v>-19.944662101015112</c:v>
                </c:pt>
                <c:pt idx="18">
                  <c:v>-21.290037250525245</c:v>
                </c:pt>
                <c:pt idx="19">
                  <c:v>-22.632289027455251</c:v>
                </c:pt>
                <c:pt idx="20">
                  <c:v>-23.97072370792359</c:v>
                </c:pt>
                <c:pt idx="21">
                  <c:v>-25.30466988534544</c:v>
                </c:pt>
                <c:pt idx="22">
                  <c:v>-26.633466270137497</c:v>
                </c:pt>
                <c:pt idx="23">
                  <c:v>-27.956450194805811</c:v>
                </c:pt>
                <c:pt idx="24">
                  <c:v>-29.272946571435931</c:v>
                </c:pt>
                <c:pt idx="25">
                  <c:v>-30.582257131227855</c:v>
                </c:pt>
                <c:pt idx="26">
                  <c:v>-31.883649842884822</c:v>
                </c:pt>
                <c:pt idx="27">
                  <c:v>-33.176348463939625</c:v>
                </c:pt>
                <c:pt idx="28">
                  <c:v>-34.459522230103559</c:v>
                </c:pt>
              </c:numCache>
            </c:numRef>
          </c:xVal>
          <c:yVal>
            <c:numRef>
              <c:f>CALC60!$BB$183:$BB$211</c:f>
              <c:numCache>
                <c:formatCode>General</c:formatCode>
                <c:ptCount val="29"/>
              </c:numCache>
            </c:numRef>
          </c:yVal>
          <c:smooth val="0"/>
        </c:ser>
        <c:ser>
          <c:idx val="3"/>
          <c:order val="3"/>
          <c:spPr>
            <a:ln w="28575">
              <a:noFill/>
            </a:ln>
          </c:spPr>
          <c:xVal>
            <c:numRef>
              <c:f>CALC60!$AY$183:$AY$211</c:f>
              <c:numCache>
                <c:formatCode>General</c:formatCode>
                <c:ptCount val="29"/>
                <c:pt idx="0">
                  <c:v>1.9753111994832171</c:v>
                </c:pt>
                <c:pt idx="1">
                  <c:v>0.92563316887902047</c:v>
                </c:pt>
                <c:pt idx="2">
                  <c:v>-0.21601377837397351</c:v>
                </c:pt>
                <c:pt idx="3">
                  <c:v>-1.4157664759720063</c:v>
                </c:pt>
                <c:pt idx="4">
                  <c:v>-2.6556123420946562</c:v>
                </c:pt>
                <c:pt idx="5">
                  <c:v>-3.9245681685754725</c:v>
                </c:pt>
                <c:pt idx="6">
                  <c:v>-5.2153144569239593</c:v>
                </c:pt>
                <c:pt idx="7">
                  <c:v>-6.5226550874579061</c:v>
                </c:pt>
                <c:pt idx="8">
                  <c:v>-7.8427215966531474</c:v>
                </c:pt>
                <c:pt idx="9">
                  <c:v>-9.1725245020797033</c:v>
                </c:pt>
                <c:pt idx="10">
                  <c:v>-10.509682805443534</c:v>
                </c:pt>
                <c:pt idx="11">
                  <c:v>-11.852251962601201</c:v>
                </c:pt>
                <c:pt idx="12">
                  <c:v>-13.198609507350314</c:v>
                </c:pt>
                <c:pt idx="13">
                  <c:v>-14.547376030315508</c:v>
                </c:pt>
                <c:pt idx="14">
                  <c:v>-15.897358663204308</c:v>
                </c:pt>
                <c:pt idx="15">
                  <c:v>-17.247509325359044</c:v>
                </c:pt>
                <c:pt idx="16">
                  <c:v>-18.596892885306229</c:v>
                </c:pt>
                <c:pt idx="17">
                  <c:v>-19.944662101015112</c:v>
                </c:pt>
                <c:pt idx="18">
                  <c:v>-21.290037250525245</c:v>
                </c:pt>
                <c:pt idx="19">
                  <c:v>-22.632289027455251</c:v>
                </c:pt>
                <c:pt idx="20">
                  <c:v>-23.97072370792359</c:v>
                </c:pt>
                <c:pt idx="21">
                  <c:v>-25.30466988534544</c:v>
                </c:pt>
                <c:pt idx="22">
                  <c:v>-26.633466270137497</c:v>
                </c:pt>
                <c:pt idx="23">
                  <c:v>-27.956450194805811</c:v>
                </c:pt>
                <c:pt idx="24">
                  <c:v>-29.272946571435931</c:v>
                </c:pt>
                <c:pt idx="25">
                  <c:v>-30.582257131227855</c:v>
                </c:pt>
                <c:pt idx="26">
                  <c:v>-31.883649842884822</c:v>
                </c:pt>
                <c:pt idx="27">
                  <c:v>-33.176348463939625</c:v>
                </c:pt>
                <c:pt idx="28">
                  <c:v>-34.459522230103559</c:v>
                </c:pt>
              </c:numCache>
            </c:numRef>
          </c:xVal>
          <c:yVal>
            <c:numRef>
              <c:f>CALC60!$BC$183:$BC$211</c:f>
              <c:numCache>
                <c:formatCode>General</c:formatCode>
                <c:ptCount val="29"/>
              </c:numCache>
            </c:numRef>
          </c:yVal>
          <c:smooth val="0"/>
        </c:ser>
        <c:ser>
          <c:idx val="4"/>
          <c:order val="4"/>
          <c:spPr>
            <a:ln w="28575">
              <a:noFill/>
            </a:ln>
          </c:spPr>
          <c:xVal>
            <c:numRef>
              <c:f>CALC60!$AY$183:$AY$211</c:f>
              <c:numCache>
                <c:formatCode>General</c:formatCode>
                <c:ptCount val="29"/>
                <c:pt idx="0">
                  <c:v>1.9753111994832171</c:v>
                </c:pt>
                <c:pt idx="1">
                  <c:v>0.92563316887902047</c:v>
                </c:pt>
                <c:pt idx="2">
                  <c:v>-0.21601377837397351</c:v>
                </c:pt>
                <c:pt idx="3">
                  <c:v>-1.4157664759720063</c:v>
                </c:pt>
                <c:pt idx="4">
                  <c:v>-2.6556123420946562</c:v>
                </c:pt>
                <c:pt idx="5">
                  <c:v>-3.9245681685754725</c:v>
                </c:pt>
                <c:pt idx="6">
                  <c:v>-5.2153144569239593</c:v>
                </c:pt>
                <c:pt idx="7">
                  <c:v>-6.5226550874579061</c:v>
                </c:pt>
                <c:pt idx="8">
                  <c:v>-7.8427215966531474</c:v>
                </c:pt>
                <c:pt idx="9">
                  <c:v>-9.1725245020797033</c:v>
                </c:pt>
                <c:pt idx="10">
                  <c:v>-10.509682805443534</c:v>
                </c:pt>
                <c:pt idx="11">
                  <c:v>-11.852251962601201</c:v>
                </c:pt>
                <c:pt idx="12">
                  <c:v>-13.198609507350314</c:v>
                </c:pt>
                <c:pt idx="13">
                  <c:v>-14.547376030315508</c:v>
                </c:pt>
                <c:pt idx="14">
                  <c:v>-15.897358663204308</c:v>
                </c:pt>
                <c:pt idx="15">
                  <c:v>-17.247509325359044</c:v>
                </c:pt>
                <c:pt idx="16">
                  <c:v>-18.596892885306229</c:v>
                </c:pt>
                <c:pt idx="17">
                  <c:v>-19.944662101015112</c:v>
                </c:pt>
                <c:pt idx="18">
                  <c:v>-21.290037250525245</c:v>
                </c:pt>
                <c:pt idx="19">
                  <c:v>-22.632289027455251</c:v>
                </c:pt>
                <c:pt idx="20">
                  <c:v>-23.97072370792359</c:v>
                </c:pt>
                <c:pt idx="21">
                  <c:v>-25.30466988534544</c:v>
                </c:pt>
                <c:pt idx="22">
                  <c:v>-26.633466270137497</c:v>
                </c:pt>
                <c:pt idx="23">
                  <c:v>-27.956450194805811</c:v>
                </c:pt>
                <c:pt idx="24">
                  <c:v>-29.272946571435931</c:v>
                </c:pt>
                <c:pt idx="25">
                  <c:v>-30.582257131227855</c:v>
                </c:pt>
                <c:pt idx="26">
                  <c:v>-31.883649842884822</c:v>
                </c:pt>
                <c:pt idx="27">
                  <c:v>-33.176348463939625</c:v>
                </c:pt>
                <c:pt idx="28">
                  <c:v>-34.459522230103559</c:v>
                </c:pt>
              </c:numCache>
            </c:numRef>
          </c:xVal>
          <c:yVal>
            <c:numRef>
              <c:f>CALC60!$BD$183:$BD$211</c:f>
              <c:numCache>
                <c:formatCode>General</c:formatCode>
                <c:ptCount val="29"/>
              </c:numCache>
            </c:numRef>
          </c:yVal>
          <c:smooth val="0"/>
        </c:ser>
        <c:ser>
          <c:idx val="5"/>
          <c:order val="5"/>
          <c:spPr>
            <a:ln w="28575">
              <a:noFill/>
            </a:ln>
          </c:spPr>
          <c:xVal>
            <c:numRef>
              <c:f>CALC60!$AY$183:$AY$211</c:f>
              <c:numCache>
                <c:formatCode>General</c:formatCode>
                <c:ptCount val="29"/>
                <c:pt idx="0">
                  <c:v>1.9753111994832171</c:v>
                </c:pt>
                <c:pt idx="1">
                  <c:v>0.92563316887902047</c:v>
                </c:pt>
                <c:pt idx="2">
                  <c:v>-0.21601377837397351</c:v>
                </c:pt>
                <c:pt idx="3">
                  <c:v>-1.4157664759720063</c:v>
                </c:pt>
                <c:pt idx="4">
                  <c:v>-2.6556123420946562</c:v>
                </c:pt>
                <c:pt idx="5">
                  <c:v>-3.9245681685754725</c:v>
                </c:pt>
                <c:pt idx="6">
                  <c:v>-5.2153144569239593</c:v>
                </c:pt>
                <c:pt idx="7">
                  <c:v>-6.5226550874579061</c:v>
                </c:pt>
                <c:pt idx="8">
                  <c:v>-7.8427215966531474</c:v>
                </c:pt>
                <c:pt idx="9">
                  <c:v>-9.1725245020797033</c:v>
                </c:pt>
                <c:pt idx="10">
                  <c:v>-10.509682805443534</c:v>
                </c:pt>
                <c:pt idx="11">
                  <c:v>-11.852251962601201</c:v>
                </c:pt>
                <c:pt idx="12">
                  <c:v>-13.198609507350314</c:v>
                </c:pt>
                <c:pt idx="13">
                  <c:v>-14.547376030315508</c:v>
                </c:pt>
                <c:pt idx="14">
                  <c:v>-15.897358663204308</c:v>
                </c:pt>
                <c:pt idx="15">
                  <c:v>-17.247509325359044</c:v>
                </c:pt>
                <c:pt idx="16">
                  <c:v>-18.596892885306229</c:v>
                </c:pt>
                <c:pt idx="17">
                  <c:v>-19.944662101015112</c:v>
                </c:pt>
                <c:pt idx="18">
                  <c:v>-21.290037250525245</c:v>
                </c:pt>
                <c:pt idx="19">
                  <c:v>-22.632289027455251</c:v>
                </c:pt>
                <c:pt idx="20">
                  <c:v>-23.97072370792359</c:v>
                </c:pt>
                <c:pt idx="21">
                  <c:v>-25.30466988534544</c:v>
                </c:pt>
                <c:pt idx="22">
                  <c:v>-26.633466270137497</c:v>
                </c:pt>
                <c:pt idx="23">
                  <c:v>-27.956450194805811</c:v>
                </c:pt>
                <c:pt idx="24">
                  <c:v>-29.272946571435931</c:v>
                </c:pt>
                <c:pt idx="25">
                  <c:v>-30.582257131227855</c:v>
                </c:pt>
                <c:pt idx="26">
                  <c:v>-31.883649842884822</c:v>
                </c:pt>
                <c:pt idx="27">
                  <c:v>-33.176348463939625</c:v>
                </c:pt>
                <c:pt idx="28">
                  <c:v>-34.459522230103559</c:v>
                </c:pt>
              </c:numCache>
            </c:numRef>
          </c:xVal>
          <c:yVal>
            <c:numRef>
              <c:f>CALC60!$BE$183:$BE$211</c:f>
              <c:numCache>
                <c:formatCode>General</c:formatCode>
                <c:ptCount val="29"/>
              </c:numCache>
            </c:numRef>
          </c:yVal>
          <c:smooth val="0"/>
        </c:ser>
        <c:ser>
          <c:idx val="6"/>
          <c:order val="6"/>
          <c:spPr>
            <a:ln w="28575">
              <a:noFill/>
            </a:ln>
          </c:spPr>
          <c:xVal>
            <c:numRef>
              <c:f>CALC60!$AY$183:$AY$211</c:f>
              <c:numCache>
                <c:formatCode>General</c:formatCode>
                <c:ptCount val="29"/>
                <c:pt idx="0">
                  <c:v>1.9753111994832171</c:v>
                </c:pt>
                <c:pt idx="1">
                  <c:v>0.92563316887902047</c:v>
                </c:pt>
                <c:pt idx="2">
                  <c:v>-0.21601377837397351</c:v>
                </c:pt>
                <c:pt idx="3">
                  <c:v>-1.4157664759720063</c:v>
                </c:pt>
                <c:pt idx="4">
                  <c:v>-2.6556123420946562</c:v>
                </c:pt>
                <c:pt idx="5">
                  <c:v>-3.9245681685754725</c:v>
                </c:pt>
                <c:pt idx="6">
                  <c:v>-5.2153144569239593</c:v>
                </c:pt>
                <c:pt idx="7">
                  <c:v>-6.5226550874579061</c:v>
                </c:pt>
                <c:pt idx="8">
                  <c:v>-7.8427215966531474</c:v>
                </c:pt>
                <c:pt idx="9">
                  <c:v>-9.1725245020797033</c:v>
                </c:pt>
                <c:pt idx="10">
                  <c:v>-10.509682805443534</c:v>
                </c:pt>
                <c:pt idx="11">
                  <c:v>-11.852251962601201</c:v>
                </c:pt>
                <c:pt idx="12">
                  <c:v>-13.198609507350314</c:v>
                </c:pt>
                <c:pt idx="13">
                  <c:v>-14.547376030315508</c:v>
                </c:pt>
                <c:pt idx="14">
                  <c:v>-15.897358663204308</c:v>
                </c:pt>
                <c:pt idx="15">
                  <c:v>-17.247509325359044</c:v>
                </c:pt>
                <c:pt idx="16">
                  <c:v>-18.596892885306229</c:v>
                </c:pt>
                <c:pt idx="17">
                  <c:v>-19.944662101015112</c:v>
                </c:pt>
                <c:pt idx="18">
                  <c:v>-21.290037250525245</c:v>
                </c:pt>
                <c:pt idx="19">
                  <c:v>-22.632289027455251</c:v>
                </c:pt>
                <c:pt idx="20">
                  <c:v>-23.97072370792359</c:v>
                </c:pt>
                <c:pt idx="21">
                  <c:v>-25.30466988534544</c:v>
                </c:pt>
                <c:pt idx="22">
                  <c:v>-26.633466270137497</c:v>
                </c:pt>
                <c:pt idx="23">
                  <c:v>-27.956450194805811</c:v>
                </c:pt>
                <c:pt idx="24">
                  <c:v>-29.272946571435931</c:v>
                </c:pt>
                <c:pt idx="25">
                  <c:v>-30.582257131227855</c:v>
                </c:pt>
                <c:pt idx="26">
                  <c:v>-31.883649842884822</c:v>
                </c:pt>
                <c:pt idx="27">
                  <c:v>-33.176348463939625</c:v>
                </c:pt>
                <c:pt idx="28">
                  <c:v>-34.459522230103559</c:v>
                </c:pt>
              </c:numCache>
            </c:numRef>
          </c:xVal>
          <c:yVal>
            <c:numRef>
              <c:f>CALC60!$BF$183:$BF$211</c:f>
              <c:numCache>
                <c:formatCode>General</c:formatCode>
                <c:ptCount val="29"/>
              </c:numCache>
            </c:numRef>
          </c:yVal>
          <c:smooth val="0"/>
        </c:ser>
        <c:ser>
          <c:idx val="7"/>
          <c:order val="7"/>
          <c:spPr>
            <a:ln w="28575">
              <a:noFill/>
            </a:ln>
          </c:spPr>
          <c:xVal>
            <c:numRef>
              <c:f>CALC60!$AY$183:$AY$211</c:f>
              <c:numCache>
                <c:formatCode>General</c:formatCode>
                <c:ptCount val="29"/>
                <c:pt idx="0">
                  <c:v>1.9753111994832171</c:v>
                </c:pt>
                <c:pt idx="1">
                  <c:v>0.92563316887902047</c:v>
                </c:pt>
                <c:pt idx="2">
                  <c:v>-0.21601377837397351</c:v>
                </c:pt>
                <c:pt idx="3">
                  <c:v>-1.4157664759720063</c:v>
                </c:pt>
                <c:pt idx="4">
                  <c:v>-2.6556123420946562</c:v>
                </c:pt>
                <c:pt idx="5">
                  <c:v>-3.9245681685754725</c:v>
                </c:pt>
                <c:pt idx="6">
                  <c:v>-5.2153144569239593</c:v>
                </c:pt>
                <c:pt idx="7">
                  <c:v>-6.5226550874579061</c:v>
                </c:pt>
                <c:pt idx="8">
                  <c:v>-7.8427215966531474</c:v>
                </c:pt>
                <c:pt idx="9">
                  <c:v>-9.1725245020797033</c:v>
                </c:pt>
                <c:pt idx="10">
                  <c:v>-10.509682805443534</c:v>
                </c:pt>
                <c:pt idx="11">
                  <c:v>-11.852251962601201</c:v>
                </c:pt>
                <c:pt idx="12">
                  <c:v>-13.198609507350314</c:v>
                </c:pt>
                <c:pt idx="13">
                  <c:v>-14.547376030315508</c:v>
                </c:pt>
                <c:pt idx="14">
                  <c:v>-15.897358663204308</c:v>
                </c:pt>
                <c:pt idx="15">
                  <c:v>-17.247509325359044</c:v>
                </c:pt>
                <c:pt idx="16">
                  <c:v>-18.596892885306229</c:v>
                </c:pt>
                <c:pt idx="17">
                  <c:v>-19.944662101015112</c:v>
                </c:pt>
                <c:pt idx="18">
                  <c:v>-21.290037250525245</c:v>
                </c:pt>
                <c:pt idx="19">
                  <c:v>-22.632289027455251</c:v>
                </c:pt>
                <c:pt idx="20">
                  <c:v>-23.97072370792359</c:v>
                </c:pt>
                <c:pt idx="21">
                  <c:v>-25.30466988534544</c:v>
                </c:pt>
                <c:pt idx="22">
                  <c:v>-26.633466270137497</c:v>
                </c:pt>
                <c:pt idx="23">
                  <c:v>-27.956450194805811</c:v>
                </c:pt>
                <c:pt idx="24">
                  <c:v>-29.272946571435931</c:v>
                </c:pt>
                <c:pt idx="25">
                  <c:v>-30.582257131227855</c:v>
                </c:pt>
                <c:pt idx="26">
                  <c:v>-31.883649842884822</c:v>
                </c:pt>
                <c:pt idx="27">
                  <c:v>-33.176348463939625</c:v>
                </c:pt>
                <c:pt idx="28">
                  <c:v>-34.459522230103559</c:v>
                </c:pt>
              </c:numCache>
            </c:numRef>
          </c:xVal>
          <c:yVal>
            <c:numRef>
              <c:f>CALC60!$BG$183:$BG$211</c:f>
              <c:numCache>
                <c:formatCode>General</c:formatCode>
                <c:ptCount val="29"/>
              </c:numCache>
            </c:numRef>
          </c:yVal>
          <c:smooth val="0"/>
        </c:ser>
        <c:ser>
          <c:idx val="8"/>
          <c:order val="8"/>
          <c:spPr>
            <a:ln w="28575">
              <a:noFill/>
            </a:ln>
          </c:spPr>
          <c:xVal>
            <c:numRef>
              <c:f>CALC60!$AY$183:$AY$211</c:f>
              <c:numCache>
                <c:formatCode>General</c:formatCode>
                <c:ptCount val="29"/>
                <c:pt idx="0">
                  <c:v>1.9753111994832171</c:v>
                </c:pt>
                <c:pt idx="1">
                  <c:v>0.92563316887902047</c:v>
                </c:pt>
                <c:pt idx="2">
                  <c:v>-0.21601377837397351</c:v>
                </c:pt>
                <c:pt idx="3">
                  <c:v>-1.4157664759720063</c:v>
                </c:pt>
                <c:pt idx="4">
                  <c:v>-2.6556123420946562</c:v>
                </c:pt>
                <c:pt idx="5">
                  <c:v>-3.9245681685754725</c:v>
                </c:pt>
                <c:pt idx="6">
                  <c:v>-5.2153144569239593</c:v>
                </c:pt>
                <c:pt idx="7">
                  <c:v>-6.5226550874579061</c:v>
                </c:pt>
                <c:pt idx="8">
                  <c:v>-7.8427215966531474</c:v>
                </c:pt>
                <c:pt idx="9">
                  <c:v>-9.1725245020797033</c:v>
                </c:pt>
                <c:pt idx="10">
                  <c:v>-10.509682805443534</c:v>
                </c:pt>
                <c:pt idx="11">
                  <c:v>-11.852251962601201</c:v>
                </c:pt>
                <c:pt idx="12">
                  <c:v>-13.198609507350314</c:v>
                </c:pt>
                <c:pt idx="13">
                  <c:v>-14.547376030315508</c:v>
                </c:pt>
                <c:pt idx="14">
                  <c:v>-15.897358663204308</c:v>
                </c:pt>
                <c:pt idx="15">
                  <c:v>-17.247509325359044</c:v>
                </c:pt>
                <c:pt idx="16">
                  <c:v>-18.596892885306229</c:v>
                </c:pt>
                <c:pt idx="17">
                  <c:v>-19.944662101015112</c:v>
                </c:pt>
                <c:pt idx="18">
                  <c:v>-21.290037250525245</c:v>
                </c:pt>
                <c:pt idx="19">
                  <c:v>-22.632289027455251</c:v>
                </c:pt>
                <c:pt idx="20">
                  <c:v>-23.97072370792359</c:v>
                </c:pt>
                <c:pt idx="21">
                  <c:v>-25.30466988534544</c:v>
                </c:pt>
                <c:pt idx="22">
                  <c:v>-26.633466270137497</c:v>
                </c:pt>
                <c:pt idx="23">
                  <c:v>-27.956450194805811</c:v>
                </c:pt>
                <c:pt idx="24">
                  <c:v>-29.272946571435931</c:v>
                </c:pt>
                <c:pt idx="25">
                  <c:v>-30.582257131227855</c:v>
                </c:pt>
                <c:pt idx="26">
                  <c:v>-31.883649842884822</c:v>
                </c:pt>
                <c:pt idx="27">
                  <c:v>-33.176348463939625</c:v>
                </c:pt>
                <c:pt idx="28">
                  <c:v>-34.459522230103559</c:v>
                </c:pt>
              </c:numCache>
            </c:numRef>
          </c:xVal>
          <c:yVal>
            <c:numRef>
              <c:f>CALC60!$BH$183:$BH$211</c:f>
              <c:numCache>
                <c:formatCode>General</c:formatCode>
                <c:ptCount val="29"/>
              </c:numCache>
            </c:numRef>
          </c:yVal>
          <c:smooth val="0"/>
        </c:ser>
        <c:ser>
          <c:idx val="9"/>
          <c:order val="9"/>
          <c:spPr>
            <a:ln w="28575">
              <a:noFill/>
            </a:ln>
          </c:spPr>
          <c:xVal>
            <c:numRef>
              <c:f>CALC60!$AY$183:$AY$211</c:f>
              <c:numCache>
                <c:formatCode>General</c:formatCode>
                <c:ptCount val="29"/>
                <c:pt idx="0">
                  <c:v>1.9753111994832171</c:v>
                </c:pt>
                <c:pt idx="1">
                  <c:v>0.92563316887902047</c:v>
                </c:pt>
                <c:pt idx="2">
                  <c:v>-0.21601377837397351</c:v>
                </c:pt>
                <c:pt idx="3">
                  <c:v>-1.4157664759720063</c:v>
                </c:pt>
                <c:pt idx="4">
                  <c:v>-2.6556123420946562</c:v>
                </c:pt>
                <c:pt idx="5">
                  <c:v>-3.9245681685754725</c:v>
                </c:pt>
                <c:pt idx="6">
                  <c:v>-5.2153144569239593</c:v>
                </c:pt>
                <c:pt idx="7">
                  <c:v>-6.5226550874579061</c:v>
                </c:pt>
                <c:pt idx="8">
                  <c:v>-7.8427215966531474</c:v>
                </c:pt>
                <c:pt idx="9">
                  <c:v>-9.1725245020797033</c:v>
                </c:pt>
                <c:pt idx="10">
                  <c:v>-10.509682805443534</c:v>
                </c:pt>
                <c:pt idx="11">
                  <c:v>-11.852251962601201</c:v>
                </c:pt>
                <c:pt idx="12">
                  <c:v>-13.198609507350314</c:v>
                </c:pt>
                <c:pt idx="13">
                  <c:v>-14.547376030315508</c:v>
                </c:pt>
                <c:pt idx="14">
                  <c:v>-15.897358663204308</c:v>
                </c:pt>
                <c:pt idx="15">
                  <c:v>-17.247509325359044</c:v>
                </c:pt>
                <c:pt idx="16">
                  <c:v>-18.596892885306229</c:v>
                </c:pt>
                <c:pt idx="17">
                  <c:v>-19.944662101015112</c:v>
                </c:pt>
                <c:pt idx="18">
                  <c:v>-21.290037250525245</c:v>
                </c:pt>
                <c:pt idx="19">
                  <c:v>-22.632289027455251</c:v>
                </c:pt>
                <c:pt idx="20">
                  <c:v>-23.97072370792359</c:v>
                </c:pt>
                <c:pt idx="21">
                  <c:v>-25.30466988534544</c:v>
                </c:pt>
                <c:pt idx="22">
                  <c:v>-26.633466270137497</c:v>
                </c:pt>
                <c:pt idx="23">
                  <c:v>-27.956450194805811</c:v>
                </c:pt>
                <c:pt idx="24">
                  <c:v>-29.272946571435931</c:v>
                </c:pt>
                <c:pt idx="25">
                  <c:v>-30.582257131227855</c:v>
                </c:pt>
                <c:pt idx="26">
                  <c:v>-31.883649842884822</c:v>
                </c:pt>
                <c:pt idx="27">
                  <c:v>-33.176348463939625</c:v>
                </c:pt>
                <c:pt idx="28">
                  <c:v>-34.459522230103559</c:v>
                </c:pt>
              </c:numCache>
            </c:numRef>
          </c:xVal>
          <c:yVal>
            <c:numRef>
              <c:f>CALC60!$BI$183:$BI$211</c:f>
              <c:numCache>
                <c:formatCode>General</c:formatCode>
                <c:ptCount val="29"/>
              </c:numCache>
            </c:numRef>
          </c:yVal>
          <c:smooth val="0"/>
        </c:ser>
        <c:ser>
          <c:idx val="10"/>
          <c:order val="10"/>
          <c:spPr>
            <a:ln w="28575">
              <a:noFill/>
            </a:ln>
          </c:spPr>
          <c:xVal>
            <c:numRef>
              <c:f>CALC60!$AY$183:$AY$211</c:f>
              <c:numCache>
                <c:formatCode>General</c:formatCode>
                <c:ptCount val="29"/>
                <c:pt idx="0">
                  <c:v>1.9753111994832171</c:v>
                </c:pt>
                <c:pt idx="1">
                  <c:v>0.92563316887902047</c:v>
                </c:pt>
                <c:pt idx="2">
                  <c:v>-0.21601377837397351</c:v>
                </c:pt>
                <c:pt idx="3">
                  <c:v>-1.4157664759720063</c:v>
                </c:pt>
                <c:pt idx="4">
                  <c:v>-2.6556123420946562</c:v>
                </c:pt>
                <c:pt idx="5">
                  <c:v>-3.9245681685754725</c:v>
                </c:pt>
                <c:pt idx="6">
                  <c:v>-5.2153144569239593</c:v>
                </c:pt>
                <c:pt idx="7">
                  <c:v>-6.5226550874579061</c:v>
                </c:pt>
                <c:pt idx="8">
                  <c:v>-7.8427215966531474</c:v>
                </c:pt>
                <c:pt idx="9">
                  <c:v>-9.1725245020797033</c:v>
                </c:pt>
                <c:pt idx="10">
                  <c:v>-10.509682805443534</c:v>
                </c:pt>
                <c:pt idx="11">
                  <c:v>-11.852251962601201</c:v>
                </c:pt>
                <c:pt idx="12">
                  <c:v>-13.198609507350314</c:v>
                </c:pt>
                <c:pt idx="13">
                  <c:v>-14.547376030315508</c:v>
                </c:pt>
                <c:pt idx="14">
                  <c:v>-15.897358663204308</c:v>
                </c:pt>
                <c:pt idx="15">
                  <c:v>-17.247509325359044</c:v>
                </c:pt>
                <c:pt idx="16">
                  <c:v>-18.596892885306229</c:v>
                </c:pt>
                <c:pt idx="17">
                  <c:v>-19.944662101015112</c:v>
                </c:pt>
                <c:pt idx="18">
                  <c:v>-21.290037250525245</c:v>
                </c:pt>
                <c:pt idx="19">
                  <c:v>-22.632289027455251</c:v>
                </c:pt>
                <c:pt idx="20">
                  <c:v>-23.97072370792359</c:v>
                </c:pt>
                <c:pt idx="21">
                  <c:v>-25.30466988534544</c:v>
                </c:pt>
                <c:pt idx="22">
                  <c:v>-26.633466270137497</c:v>
                </c:pt>
                <c:pt idx="23">
                  <c:v>-27.956450194805811</c:v>
                </c:pt>
                <c:pt idx="24">
                  <c:v>-29.272946571435931</c:v>
                </c:pt>
                <c:pt idx="25">
                  <c:v>-30.582257131227855</c:v>
                </c:pt>
                <c:pt idx="26">
                  <c:v>-31.883649842884822</c:v>
                </c:pt>
                <c:pt idx="27">
                  <c:v>-33.176348463939625</c:v>
                </c:pt>
                <c:pt idx="28">
                  <c:v>-34.459522230103559</c:v>
                </c:pt>
              </c:numCache>
            </c:numRef>
          </c:xVal>
          <c:yVal>
            <c:numRef>
              <c:f>CALC60!$BJ$183:$BJ$211</c:f>
              <c:numCache>
                <c:formatCode>General</c:formatCode>
                <c:ptCount val="29"/>
              </c:numCache>
            </c:numRef>
          </c:yVal>
          <c:smooth val="0"/>
        </c:ser>
        <c:ser>
          <c:idx val="11"/>
          <c:order val="11"/>
          <c:spPr>
            <a:ln w="28575">
              <a:noFill/>
            </a:ln>
          </c:spPr>
          <c:xVal>
            <c:numRef>
              <c:f>CALC60!$AY$183:$AY$211</c:f>
              <c:numCache>
                <c:formatCode>General</c:formatCode>
                <c:ptCount val="29"/>
                <c:pt idx="0">
                  <c:v>1.9753111994832171</c:v>
                </c:pt>
                <c:pt idx="1">
                  <c:v>0.92563316887902047</c:v>
                </c:pt>
                <c:pt idx="2">
                  <c:v>-0.21601377837397351</c:v>
                </c:pt>
                <c:pt idx="3">
                  <c:v>-1.4157664759720063</c:v>
                </c:pt>
                <c:pt idx="4">
                  <c:v>-2.6556123420946562</c:v>
                </c:pt>
                <c:pt idx="5">
                  <c:v>-3.9245681685754725</c:v>
                </c:pt>
                <c:pt idx="6">
                  <c:v>-5.2153144569239593</c:v>
                </c:pt>
                <c:pt idx="7">
                  <c:v>-6.5226550874579061</c:v>
                </c:pt>
                <c:pt idx="8">
                  <c:v>-7.8427215966531474</c:v>
                </c:pt>
                <c:pt idx="9">
                  <c:v>-9.1725245020797033</c:v>
                </c:pt>
                <c:pt idx="10">
                  <c:v>-10.509682805443534</c:v>
                </c:pt>
                <c:pt idx="11">
                  <c:v>-11.852251962601201</c:v>
                </c:pt>
                <c:pt idx="12">
                  <c:v>-13.198609507350314</c:v>
                </c:pt>
                <c:pt idx="13">
                  <c:v>-14.547376030315508</c:v>
                </c:pt>
                <c:pt idx="14">
                  <c:v>-15.897358663204308</c:v>
                </c:pt>
                <c:pt idx="15">
                  <c:v>-17.247509325359044</c:v>
                </c:pt>
                <c:pt idx="16">
                  <c:v>-18.596892885306229</c:v>
                </c:pt>
                <c:pt idx="17">
                  <c:v>-19.944662101015112</c:v>
                </c:pt>
                <c:pt idx="18">
                  <c:v>-21.290037250525245</c:v>
                </c:pt>
                <c:pt idx="19">
                  <c:v>-22.632289027455251</c:v>
                </c:pt>
                <c:pt idx="20">
                  <c:v>-23.97072370792359</c:v>
                </c:pt>
                <c:pt idx="21">
                  <c:v>-25.30466988534544</c:v>
                </c:pt>
                <c:pt idx="22">
                  <c:v>-26.633466270137497</c:v>
                </c:pt>
                <c:pt idx="23">
                  <c:v>-27.956450194805811</c:v>
                </c:pt>
                <c:pt idx="24">
                  <c:v>-29.272946571435931</c:v>
                </c:pt>
                <c:pt idx="25">
                  <c:v>-30.582257131227855</c:v>
                </c:pt>
                <c:pt idx="26">
                  <c:v>-31.883649842884822</c:v>
                </c:pt>
                <c:pt idx="27">
                  <c:v>-33.176348463939625</c:v>
                </c:pt>
                <c:pt idx="28">
                  <c:v>-34.459522230103559</c:v>
                </c:pt>
              </c:numCache>
            </c:numRef>
          </c:xVal>
          <c:yVal>
            <c:numRef>
              <c:f>CALC60!$BK$183:$BK$211</c:f>
              <c:numCache>
                <c:formatCode>General</c:formatCode>
                <c:ptCount val="29"/>
              </c:numCache>
            </c:numRef>
          </c:yVal>
          <c:smooth val="0"/>
        </c:ser>
        <c:ser>
          <c:idx val="12"/>
          <c:order val="12"/>
          <c:spPr>
            <a:ln w="28575">
              <a:noFill/>
            </a:ln>
          </c:spPr>
          <c:xVal>
            <c:numRef>
              <c:f>CALC60!$AY$183:$AY$211</c:f>
              <c:numCache>
                <c:formatCode>General</c:formatCode>
                <c:ptCount val="29"/>
                <c:pt idx="0">
                  <c:v>1.9753111994832171</c:v>
                </c:pt>
                <c:pt idx="1">
                  <c:v>0.92563316887902047</c:v>
                </c:pt>
                <c:pt idx="2">
                  <c:v>-0.21601377837397351</c:v>
                </c:pt>
                <c:pt idx="3">
                  <c:v>-1.4157664759720063</c:v>
                </c:pt>
                <c:pt idx="4">
                  <c:v>-2.6556123420946562</c:v>
                </c:pt>
                <c:pt idx="5">
                  <c:v>-3.9245681685754725</c:v>
                </c:pt>
                <c:pt idx="6">
                  <c:v>-5.2153144569239593</c:v>
                </c:pt>
                <c:pt idx="7">
                  <c:v>-6.5226550874579061</c:v>
                </c:pt>
                <c:pt idx="8">
                  <c:v>-7.8427215966531474</c:v>
                </c:pt>
                <c:pt idx="9">
                  <c:v>-9.1725245020797033</c:v>
                </c:pt>
                <c:pt idx="10">
                  <c:v>-10.509682805443534</c:v>
                </c:pt>
                <c:pt idx="11">
                  <c:v>-11.852251962601201</c:v>
                </c:pt>
                <c:pt idx="12">
                  <c:v>-13.198609507350314</c:v>
                </c:pt>
                <c:pt idx="13">
                  <c:v>-14.547376030315508</c:v>
                </c:pt>
                <c:pt idx="14">
                  <c:v>-15.897358663204308</c:v>
                </c:pt>
                <c:pt idx="15">
                  <c:v>-17.247509325359044</c:v>
                </c:pt>
                <c:pt idx="16">
                  <c:v>-18.596892885306229</c:v>
                </c:pt>
                <c:pt idx="17">
                  <c:v>-19.944662101015112</c:v>
                </c:pt>
                <c:pt idx="18">
                  <c:v>-21.290037250525245</c:v>
                </c:pt>
                <c:pt idx="19">
                  <c:v>-22.632289027455251</c:v>
                </c:pt>
                <c:pt idx="20">
                  <c:v>-23.97072370792359</c:v>
                </c:pt>
                <c:pt idx="21">
                  <c:v>-25.30466988534544</c:v>
                </c:pt>
                <c:pt idx="22">
                  <c:v>-26.633466270137497</c:v>
                </c:pt>
                <c:pt idx="23">
                  <c:v>-27.956450194805811</c:v>
                </c:pt>
                <c:pt idx="24">
                  <c:v>-29.272946571435931</c:v>
                </c:pt>
                <c:pt idx="25">
                  <c:v>-30.582257131227855</c:v>
                </c:pt>
                <c:pt idx="26">
                  <c:v>-31.883649842884822</c:v>
                </c:pt>
                <c:pt idx="27">
                  <c:v>-33.176348463939625</c:v>
                </c:pt>
                <c:pt idx="28">
                  <c:v>-34.459522230103559</c:v>
                </c:pt>
              </c:numCache>
            </c:numRef>
          </c:xVal>
          <c:yVal>
            <c:numRef>
              <c:f>CALC60!$BL$183:$BL$211</c:f>
              <c:numCache>
                <c:formatCode>General</c:formatCode>
                <c:ptCount val="29"/>
              </c:numCache>
            </c:numRef>
          </c:yVal>
          <c:smooth val="0"/>
        </c:ser>
        <c:ser>
          <c:idx val="13"/>
          <c:order val="13"/>
          <c:spPr>
            <a:ln w="28575">
              <a:noFill/>
            </a:ln>
          </c:spPr>
          <c:xVal>
            <c:numRef>
              <c:f>CALC60!$AY$183:$AY$211</c:f>
              <c:numCache>
                <c:formatCode>General</c:formatCode>
                <c:ptCount val="29"/>
                <c:pt idx="0">
                  <c:v>1.9753111994832171</c:v>
                </c:pt>
                <c:pt idx="1">
                  <c:v>0.92563316887902047</c:v>
                </c:pt>
                <c:pt idx="2">
                  <c:v>-0.21601377837397351</c:v>
                </c:pt>
                <c:pt idx="3">
                  <c:v>-1.4157664759720063</c:v>
                </c:pt>
                <c:pt idx="4">
                  <c:v>-2.6556123420946562</c:v>
                </c:pt>
                <c:pt idx="5">
                  <c:v>-3.9245681685754725</c:v>
                </c:pt>
                <c:pt idx="6">
                  <c:v>-5.2153144569239593</c:v>
                </c:pt>
                <c:pt idx="7">
                  <c:v>-6.5226550874579061</c:v>
                </c:pt>
                <c:pt idx="8">
                  <c:v>-7.8427215966531474</c:v>
                </c:pt>
                <c:pt idx="9">
                  <c:v>-9.1725245020797033</c:v>
                </c:pt>
                <c:pt idx="10">
                  <c:v>-10.509682805443534</c:v>
                </c:pt>
                <c:pt idx="11">
                  <c:v>-11.852251962601201</c:v>
                </c:pt>
                <c:pt idx="12">
                  <c:v>-13.198609507350314</c:v>
                </c:pt>
                <c:pt idx="13">
                  <c:v>-14.547376030315508</c:v>
                </c:pt>
                <c:pt idx="14">
                  <c:v>-15.897358663204308</c:v>
                </c:pt>
                <c:pt idx="15">
                  <c:v>-17.247509325359044</c:v>
                </c:pt>
                <c:pt idx="16">
                  <c:v>-18.596892885306229</c:v>
                </c:pt>
                <c:pt idx="17">
                  <c:v>-19.944662101015112</c:v>
                </c:pt>
                <c:pt idx="18">
                  <c:v>-21.290037250525245</c:v>
                </c:pt>
                <c:pt idx="19">
                  <c:v>-22.632289027455251</c:v>
                </c:pt>
                <c:pt idx="20">
                  <c:v>-23.97072370792359</c:v>
                </c:pt>
                <c:pt idx="21">
                  <c:v>-25.30466988534544</c:v>
                </c:pt>
                <c:pt idx="22">
                  <c:v>-26.633466270137497</c:v>
                </c:pt>
                <c:pt idx="23">
                  <c:v>-27.956450194805811</c:v>
                </c:pt>
                <c:pt idx="24">
                  <c:v>-29.272946571435931</c:v>
                </c:pt>
                <c:pt idx="25">
                  <c:v>-30.582257131227855</c:v>
                </c:pt>
                <c:pt idx="26">
                  <c:v>-31.883649842884822</c:v>
                </c:pt>
                <c:pt idx="27">
                  <c:v>-33.176348463939625</c:v>
                </c:pt>
                <c:pt idx="28">
                  <c:v>-34.459522230103559</c:v>
                </c:pt>
              </c:numCache>
            </c:numRef>
          </c:xVal>
          <c:yVal>
            <c:numRef>
              <c:f>CALC60!$BM$183:$BM$211</c:f>
              <c:numCache>
                <c:formatCode>General</c:formatCode>
                <c:ptCount val="29"/>
              </c:numCache>
            </c:numRef>
          </c:yVal>
          <c:smooth val="0"/>
        </c:ser>
        <c:ser>
          <c:idx val="14"/>
          <c:order val="14"/>
          <c:spPr>
            <a:ln w="28575">
              <a:noFill/>
            </a:ln>
          </c:spPr>
          <c:xVal>
            <c:numRef>
              <c:f>CALC60!$AY$183:$AY$211</c:f>
              <c:numCache>
                <c:formatCode>General</c:formatCode>
                <c:ptCount val="29"/>
                <c:pt idx="0">
                  <c:v>1.9753111994832171</c:v>
                </c:pt>
                <c:pt idx="1">
                  <c:v>0.92563316887902047</c:v>
                </c:pt>
                <c:pt idx="2">
                  <c:v>-0.21601377837397351</c:v>
                </c:pt>
                <c:pt idx="3">
                  <c:v>-1.4157664759720063</c:v>
                </c:pt>
                <c:pt idx="4">
                  <c:v>-2.6556123420946562</c:v>
                </c:pt>
                <c:pt idx="5">
                  <c:v>-3.9245681685754725</c:v>
                </c:pt>
                <c:pt idx="6">
                  <c:v>-5.2153144569239593</c:v>
                </c:pt>
                <c:pt idx="7">
                  <c:v>-6.5226550874579061</c:v>
                </c:pt>
                <c:pt idx="8">
                  <c:v>-7.8427215966531474</c:v>
                </c:pt>
                <c:pt idx="9">
                  <c:v>-9.1725245020797033</c:v>
                </c:pt>
                <c:pt idx="10">
                  <c:v>-10.509682805443534</c:v>
                </c:pt>
                <c:pt idx="11">
                  <c:v>-11.852251962601201</c:v>
                </c:pt>
                <c:pt idx="12">
                  <c:v>-13.198609507350314</c:v>
                </c:pt>
                <c:pt idx="13">
                  <c:v>-14.547376030315508</c:v>
                </c:pt>
                <c:pt idx="14">
                  <c:v>-15.897358663204308</c:v>
                </c:pt>
                <c:pt idx="15">
                  <c:v>-17.247509325359044</c:v>
                </c:pt>
                <c:pt idx="16">
                  <c:v>-18.596892885306229</c:v>
                </c:pt>
                <c:pt idx="17">
                  <c:v>-19.944662101015112</c:v>
                </c:pt>
                <c:pt idx="18">
                  <c:v>-21.290037250525245</c:v>
                </c:pt>
                <c:pt idx="19">
                  <c:v>-22.632289027455251</c:v>
                </c:pt>
                <c:pt idx="20">
                  <c:v>-23.97072370792359</c:v>
                </c:pt>
                <c:pt idx="21">
                  <c:v>-25.30466988534544</c:v>
                </c:pt>
                <c:pt idx="22">
                  <c:v>-26.633466270137497</c:v>
                </c:pt>
                <c:pt idx="23">
                  <c:v>-27.956450194805811</c:v>
                </c:pt>
                <c:pt idx="24">
                  <c:v>-29.272946571435931</c:v>
                </c:pt>
                <c:pt idx="25">
                  <c:v>-30.582257131227855</c:v>
                </c:pt>
                <c:pt idx="26">
                  <c:v>-31.883649842884822</c:v>
                </c:pt>
                <c:pt idx="27">
                  <c:v>-33.176348463939625</c:v>
                </c:pt>
                <c:pt idx="28">
                  <c:v>-34.459522230103559</c:v>
                </c:pt>
              </c:numCache>
            </c:numRef>
          </c:xVal>
          <c:yVal>
            <c:numRef>
              <c:f>CALC60!$BN$183:$BN$211</c:f>
              <c:numCache>
                <c:formatCode>General</c:formatCode>
                <c:ptCount val="29"/>
              </c:numCache>
            </c:numRef>
          </c:yVal>
          <c:smooth val="0"/>
        </c:ser>
        <c:ser>
          <c:idx val="15"/>
          <c:order val="15"/>
          <c:spPr>
            <a:ln w="28575">
              <a:noFill/>
            </a:ln>
          </c:spPr>
          <c:xVal>
            <c:numRef>
              <c:f>CALC60!$AY$183:$AY$211</c:f>
              <c:numCache>
                <c:formatCode>General</c:formatCode>
                <c:ptCount val="29"/>
                <c:pt idx="0">
                  <c:v>1.9753111994832171</c:v>
                </c:pt>
                <c:pt idx="1">
                  <c:v>0.92563316887902047</c:v>
                </c:pt>
                <c:pt idx="2">
                  <c:v>-0.21601377837397351</c:v>
                </c:pt>
                <c:pt idx="3">
                  <c:v>-1.4157664759720063</c:v>
                </c:pt>
                <c:pt idx="4">
                  <c:v>-2.6556123420946562</c:v>
                </c:pt>
                <c:pt idx="5">
                  <c:v>-3.9245681685754725</c:v>
                </c:pt>
                <c:pt idx="6">
                  <c:v>-5.2153144569239593</c:v>
                </c:pt>
                <c:pt idx="7">
                  <c:v>-6.5226550874579061</c:v>
                </c:pt>
                <c:pt idx="8">
                  <c:v>-7.8427215966531474</c:v>
                </c:pt>
                <c:pt idx="9">
                  <c:v>-9.1725245020797033</c:v>
                </c:pt>
                <c:pt idx="10">
                  <c:v>-10.509682805443534</c:v>
                </c:pt>
                <c:pt idx="11">
                  <c:v>-11.852251962601201</c:v>
                </c:pt>
                <c:pt idx="12">
                  <c:v>-13.198609507350314</c:v>
                </c:pt>
                <c:pt idx="13">
                  <c:v>-14.547376030315508</c:v>
                </c:pt>
                <c:pt idx="14">
                  <c:v>-15.897358663204308</c:v>
                </c:pt>
                <c:pt idx="15">
                  <c:v>-17.247509325359044</c:v>
                </c:pt>
                <c:pt idx="16">
                  <c:v>-18.596892885306229</c:v>
                </c:pt>
                <c:pt idx="17">
                  <c:v>-19.944662101015112</c:v>
                </c:pt>
                <c:pt idx="18">
                  <c:v>-21.290037250525245</c:v>
                </c:pt>
                <c:pt idx="19">
                  <c:v>-22.632289027455251</c:v>
                </c:pt>
                <c:pt idx="20">
                  <c:v>-23.97072370792359</c:v>
                </c:pt>
                <c:pt idx="21">
                  <c:v>-25.30466988534544</c:v>
                </c:pt>
                <c:pt idx="22">
                  <c:v>-26.633466270137497</c:v>
                </c:pt>
                <c:pt idx="23">
                  <c:v>-27.956450194805811</c:v>
                </c:pt>
                <c:pt idx="24">
                  <c:v>-29.272946571435931</c:v>
                </c:pt>
                <c:pt idx="25">
                  <c:v>-30.582257131227855</c:v>
                </c:pt>
                <c:pt idx="26">
                  <c:v>-31.883649842884822</c:v>
                </c:pt>
                <c:pt idx="27">
                  <c:v>-33.176348463939625</c:v>
                </c:pt>
                <c:pt idx="28">
                  <c:v>-34.459522230103559</c:v>
                </c:pt>
              </c:numCache>
            </c:numRef>
          </c:xVal>
          <c:yVal>
            <c:numRef>
              <c:f>CALC60!$BO$183:$BO$211</c:f>
              <c:numCache>
                <c:formatCode>General</c:formatCode>
                <c:ptCount val="29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570496"/>
        <c:axId val="128572032"/>
      </c:scatterChart>
      <c:valAx>
        <c:axId val="1285704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8572032"/>
        <c:crosses val="autoZero"/>
        <c:crossBetween val="midCat"/>
      </c:valAx>
      <c:valAx>
        <c:axId val="128572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85704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91256387823316953"/>
          <c:y val="0.15311004784688995"/>
        </c:manualLayout>
      </c:layout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'5LeverTailRectangle (2)'!$C$5</c:f>
              <c:strCache>
                <c:ptCount val="1"/>
                <c:pt idx="0">
                  <c:v>Fy</c:v>
                </c:pt>
              </c:strCache>
            </c:strRef>
          </c:tx>
          <c:spPr>
            <a:ln w="28575">
              <a:noFill/>
            </a:ln>
          </c:spPr>
          <c:xVal>
            <c:numRef>
              <c:f>'5LeverTailRectangle (2)'!$B$6:$B$37</c:f>
              <c:numCache>
                <c:formatCode>General</c:formatCode>
                <c:ptCount val="32"/>
                <c:pt idx="0">
                  <c:v>0</c:v>
                </c:pt>
                <c:pt idx="1">
                  <c:v>5.7056752346324089</c:v>
                </c:pt>
                <c:pt idx="2">
                  <c:v>-13.641964142997729</c:v>
                </c:pt>
                <c:pt idx="3">
                  <c:v>-30.258942524896298</c:v>
                </c:pt>
                <c:pt idx="4">
                  <c:v>-45.038795011103623</c:v>
                </c:pt>
                <c:pt idx="5">
                  <c:v>20.595521206660788</c:v>
                </c:pt>
                <c:pt idx="6">
                  <c:v>0.43512526590064482</c:v>
                </c:pt>
                <c:pt idx="7">
                  <c:v>-17.662976938920252</c:v>
                </c:pt>
                <c:pt idx="8">
                  <c:v>-33.303282787786259</c:v>
                </c:pt>
                <c:pt idx="9">
                  <c:v>-46.871579051513621</c:v>
                </c:pt>
                <c:pt idx="10">
                  <c:v>-36.956547508765681</c:v>
                </c:pt>
                <c:pt idx="11">
                  <c:v>-26.781398345189444</c:v>
                </c:pt>
                <c:pt idx="12">
                  <c:v>-14.623566879673085</c:v>
                </c:pt>
                <c:pt idx="13">
                  <c:v>-0.83099303753695608</c:v>
                </c:pt>
                <c:pt idx="14">
                  <c:v>13.89205258645627</c:v>
                </c:pt>
                <c:pt idx="15">
                  <c:v>29.607658587478962</c:v>
                </c:pt>
                <c:pt idx="16">
                  <c:v>-53.08789034502162</c:v>
                </c:pt>
                <c:pt idx="17">
                  <c:v>-43.447939475546619</c:v>
                </c:pt>
                <c:pt idx="18">
                  <c:v>-35.513750041976451</c:v>
                </c:pt>
                <c:pt idx="19">
                  <c:v>-27.187486581690621</c:v>
                </c:pt>
                <c:pt idx="20">
                  <c:v>-15.580020577486465</c:v>
                </c:pt>
                <c:pt idx="21">
                  <c:v>-1.6297244876121013</c:v>
                </c:pt>
                <c:pt idx="22">
                  <c:v>13.172719250604402</c:v>
                </c:pt>
                <c:pt idx="23">
                  <c:v>28.376109828534592</c:v>
                </c:pt>
                <c:pt idx="24">
                  <c:v>-48.389491361873375</c:v>
                </c:pt>
                <c:pt idx="25">
                  <c:v>-33.865233683213766</c:v>
                </c:pt>
                <c:pt idx="26">
                  <c:v>0</c:v>
                </c:pt>
                <c:pt idx="27">
                  <c:v>-27.020832927627175</c:v>
                </c:pt>
                <c:pt idx="28">
                  <c:v>-16.278134372034707</c:v>
                </c:pt>
                <c:pt idx="29">
                  <c:v>-1.9862292169489706</c:v>
                </c:pt>
                <c:pt idx="30">
                  <c:v>13.010587611292753</c:v>
                </c:pt>
                <c:pt idx="31">
                  <c:v>28.004068443275273</c:v>
                </c:pt>
              </c:numCache>
            </c:numRef>
          </c:xVal>
          <c:yVal>
            <c:numRef>
              <c:f>'5LeverTailRectangle (2)'!$C$6:$C$37</c:f>
              <c:numCache>
                <c:formatCode>General</c:formatCode>
                <c:ptCount val="32"/>
                <c:pt idx="0">
                  <c:v>0</c:v>
                </c:pt>
                <c:pt idx="1">
                  <c:v>63.276594859199697</c:v>
                </c:pt>
                <c:pt idx="2">
                  <c:v>62.740312450011984</c:v>
                </c:pt>
                <c:pt idx="3">
                  <c:v>60.538394252448924</c:v>
                </c:pt>
                <c:pt idx="4">
                  <c:v>58.584805748294059</c:v>
                </c:pt>
                <c:pt idx="5">
                  <c:v>49.633409299080292</c:v>
                </c:pt>
                <c:pt idx="6">
                  <c:v>49.939399787223095</c:v>
                </c:pt>
                <c:pt idx="7">
                  <c:v>46.884389238106266</c:v>
                </c:pt>
                <c:pt idx="8">
                  <c:v>42.47793770498447</c:v>
                </c:pt>
                <c:pt idx="9">
                  <c:v>39.100684189643161</c:v>
                </c:pt>
                <c:pt idx="10">
                  <c:v>31.532705350472821</c:v>
                </c:pt>
                <c:pt idx="11">
                  <c:v>35.773803404211108</c:v>
                </c:pt>
                <c:pt idx="12">
                  <c:v>40.054366640520293</c:v>
                </c:pt>
                <c:pt idx="13">
                  <c:v>42.924003315966743</c:v>
                </c:pt>
                <c:pt idx="14">
                  <c:v>43.798826241000008</c:v>
                </c:pt>
                <c:pt idx="15">
                  <c:v>41.744552603496025</c:v>
                </c:pt>
                <c:pt idx="16">
                  <c:v>18.083252142047325</c:v>
                </c:pt>
                <c:pt idx="17">
                  <c:v>18.271868157287212</c:v>
                </c:pt>
                <c:pt idx="18">
                  <c:v>20.674859378103854</c:v>
                </c:pt>
                <c:pt idx="19">
                  <c:v>26.267181461706876</c:v>
                </c:pt>
                <c:pt idx="20">
                  <c:v>32.224220101356977</c:v>
                </c:pt>
                <c:pt idx="21">
                  <c:v>35.980669385052231</c:v>
                </c:pt>
                <c:pt idx="22">
                  <c:v>37.248670305212407</c:v>
                </c:pt>
                <c:pt idx="23">
                  <c:v>35.949398334290343</c:v>
                </c:pt>
                <c:pt idx="24">
                  <c:v>9.016645274253861</c:v>
                </c:pt>
                <c:pt idx="25">
                  <c:v>8.8726565267031496</c:v>
                </c:pt>
                <c:pt idx="26">
                  <c:v>0</c:v>
                </c:pt>
                <c:pt idx="27">
                  <c:v>21.061160505588589</c:v>
                </c:pt>
                <c:pt idx="28">
                  <c:v>24.410635309164093</c:v>
                </c:pt>
                <c:pt idx="29">
                  <c:v>29.221716747016792</c:v>
                </c:pt>
                <c:pt idx="30">
                  <c:v>30.68245351617054</c:v>
                </c:pt>
                <c:pt idx="31">
                  <c:v>29.576922047381981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625664"/>
        <c:axId val="128631552"/>
      </c:scatterChart>
      <c:valAx>
        <c:axId val="1286256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8631552"/>
        <c:crosses val="autoZero"/>
        <c:crossBetween val="midCat"/>
      </c:valAx>
      <c:valAx>
        <c:axId val="128631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862566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'5LeverTailRectangle (2)'!$AZ$5</c:f>
              <c:strCache>
                <c:ptCount val="1"/>
                <c:pt idx="0">
                  <c:v>Y</c:v>
                </c:pt>
              </c:strCache>
            </c:strRef>
          </c:tx>
          <c:spPr>
            <a:ln w="28575">
              <a:noFill/>
            </a:ln>
          </c:spPr>
          <c:xVal>
            <c:numRef>
              <c:f>'5LeverTailRectangle (2)'!$AY$6:$AY$18</c:f>
              <c:numCache>
                <c:formatCode>General</c:formatCode>
                <c:ptCount val="13"/>
                <c:pt idx="0">
                  <c:v>25.831728158814009</c:v>
                </c:pt>
                <c:pt idx="1">
                  <c:v>6.2470713789350008</c:v>
                </c:pt>
                <c:pt idx="2">
                  <c:v>-10.476366362152248</c:v>
                </c:pt>
                <c:pt idx="3">
                  <c:v>-25.334503129260767</c:v>
                </c:pt>
                <c:pt idx="4">
                  <c:v>-38.852682394788737</c:v>
                </c:pt>
              </c:numCache>
            </c:numRef>
          </c:xVal>
          <c:yVal>
            <c:numRef>
              <c:f>'5LeverTailRectangle (2)'!$AZ$6:$AZ$18</c:f>
              <c:numCache>
                <c:formatCode>General</c:formatCode>
                <c:ptCount val="13"/>
                <c:pt idx="0">
                  <c:v>63.169668065207517</c:v>
                </c:pt>
                <c:pt idx="1">
                  <c:v>62.828600687599199</c:v>
                </c:pt>
                <c:pt idx="2">
                  <c:v>60.654567778201482</c:v>
                </c:pt>
                <c:pt idx="3">
                  <c:v>58.656544882186154</c:v>
                </c:pt>
                <c:pt idx="4">
                  <c:v>58.029937134483291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645760"/>
        <c:axId val="128860544"/>
      </c:scatterChart>
      <c:valAx>
        <c:axId val="128645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8860544"/>
        <c:crosses val="autoZero"/>
        <c:crossBetween val="midCat"/>
      </c:valAx>
      <c:valAx>
        <c:axId val="1288605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864576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Положения</a:t>
            </a:r>
            <a:r>
              <a:rPr lang="ru-RU" baseline="0"/>
              <a:t> механизма в шаге</a:t>
            </a:r>
            <a:endParaRPr lang="ru-RU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'5LeverTailRectangle (2)'!$AZ$5</c:f>
              <c:strCache>
                <c:ptCount val="1"/>
                <c:pt idx="0">
                  <c:v>Y</c:v>
                </c:pt>
              </c:strCache>
            </c:strRef>
          </c:tx>
          <c:spPr>
            <a:ln>
              <a:noFill/>
            </a:ln>
          </c:spPr>
          <c:marker>
            <c:symbol val="plus"/>
            <c:size val="10"/>
          </c:marker>
          <c:xVal>
            <c:numRef>
              <c:f>'5LeverTailRectangle (2)'!$AY$6:$AY$224</c:f>
              <c:numCache>
                <c:formatCode>General</c:formatCode>
                <c:ptCount val="219"/>
                <c:pt idx="0">
                  <c:v>25.831728158814009</c:v>
                </c:pt>
                <c:pt idx="1">
                  <c:v>6.2470713789350008</c:v>
                </c:pt>
                <c:pt idx="2">
                  <c:v>-10.476366362152248</c:v>
                </c:pt>
                <c:pt idx="3">
                  <c:v>-25.334503129260767</c:v>
                </c:pt>
                <c:pt idx="4">
                  <c:v>-38.852682394788737</c:v>
                </c:pt>
                <c:pt idx="13">
                  <c:v>-28</c:v>
                </c:pt>
                <c:pt idx="14">
                  <c:v>-20.21679081077513</c:v>
                </c:pt>
                <c:pt idx="15">
                  <c:v>25.831728158814009</c:v>
                </c:pt>
                <c:pt idx="16">
                  <c:v>51.513994255268372</c:v>
                </c:pt>
                <c:pt idx="17">
                  <c:v>28</c:v>
                </c:pt>
                <c:pt idx="18">
                  <c:v>-28</c:v>
                </c:pt>
                <c:pt idx="19">
                  <c:v>-39.008519624966944</c:v>
                </c:pt>
                <c:pt idx="20">
                  <c:v>6.2470713789350008</c:v>
                </c:pt>
                <c:pt idx="21">
                  <c:v>46.114448516120859</c:v>
                </c:pt>
                <c:pt idx="22">
                  <c:v>28</c:v>
                </c:pt>
                <c:pt idx="23">
                  <c:v>-28</c:v>
                </c:pt>
                <c:pt idx="24">
                  <c:v>-49.476702144482829</c:v>
                </c:pt>
                <c:pt idx="25">
                  <c:v>-10.476366362152248</c:v>
                </c:pt>
                <c:pt idx="26">
                  <c:v>37.740003922390386</c:v>
                </c:pt>
                <c:pt idx="27">
                  <c:v>28</c:v>
                </c:pt>
                <c:pt idx="28">
                  <c:v>-28</c:v>
                </c:pt>
                <c:pt idx="29">
                  <c:v>-54.518554557879654</c:v>
                </c:pt>
                <c:pt idx="30">
                  <c:v>-25.334503129260767</c:v>
                </c:pt>
                <c:pt idx="31">
                  <c:v>26.074345174939772</c:v>
                </c:pt>
                <c:pt idx="32">
                  <c:v>28</c:v>
                </c:pt>
                <c:pt idx="33">
                  <c:v>-28</c:v>
                </c:pt>
                <c:pt idx="34">
                  <c:v>-55.662348784867049</c:v>
                </c:pt>
                <c:pt idx="35">
                  <c:v>-38.852682394788737</c:v>
                </c:pt>
                <c:pt idx="80">
                  <c:v>-11.286006599795854</c:v>
                </c:pt>
                <c:pt idx="81">
                  <c:v>70</c:v>
                </c:pt>
                <c:pt idx="82">
                  <c:v>50.151091411687077</c:v>
                </c:pt>
                <c:pt idx="83">
                  <c:v>39.083477722548608</c:v>
                </c:pt>
                <c:pt idx="84">
                  <c:v>9</c:v>
                </c:pt>
                <c:pt idx="85">
                  <c:v>-9</c:v>
                </c:pt>
                <c:pt idx="86">
                  <c:v>-35.05373744672503</c:v>
                </c:pt>
                <c:pt idx="87">
                  <c:v>-70</c:v>
                </c:pt>
                <c:pt idx="88">
                  <c:v>-61.466610306763862</c:v>
                </c:pt>
                <c:pt idx="89">
                  <c:v>2.8488307653754443</c:v>
                </c:pt>
                <c:pt idx="90">
                  <c:v>9</c:v>
                </c:pt>
                <c:pt idx="91">
                  <c:v>109</c:v>
                </c:pt>
                <c:pt idx="92">
                  <c:v>108.96332347734752</c:v>
                </c:pt>
                <c:pt idx="93">
                  <c:v>108.8533167088361</c:v>
                </c:pt>
                <c:pt idx="94">
                  <c:v>108.67004807863076</c:v>
                </c:pt>
                <c:pt idx="95">
                  <c:v>108.41363151310553</c:v>
                </c:pt>
                <c:pt idx="96">
                  <c:v>108.08422641002265</c:v>
                </c:pt>
                <c:pt idx="97">
                  <c:v>107.6820375394453</c:v>
                </c:pt>
                <c:pt idx="98">
                  <c:v>107.20731491644504</c:v>
                </c:pt>
                <c:pt idx="99">
                  <c:v>106.66035364568347</c:v>
                </c:pt>
                <c:pt idx="100">
                  <c:v>106.04149373796464</c:v>
                </c:pt>
                <c:pt idx="101">
                  <c:v>105.351119898872</c:v>
                </c:pt>
                <c:pt idx="102">
                  <c:v>104.58966128962159</c:v>
                </c:pt>
                <c:pt idx="103">
                  <c:v>103.75759126028008</c:v>
                </c:pt>
                <c:pt idx="104">
                  <c:v>102.85542705551322</c:v>
                </c:pt>
                <c:pt idx="105">
                  <c:v>101.88372949304798</c:v>
                </c:pt>
                <c:pt idx="106">
                  <c:v>100.84310261504811</c:v>
                </c:pt>
                <c:pt idx="107">
                  <c:v>99.734193312619794</c:v>
                </c:pt>
                <c:pt idx="108">
                  <c:v>98.557690923680809</c:v>
                </c:pt>
                <c:pt idx="109">
                  <c:v>97.314326804443354</c:v>
                </c:pt>
                <c:pt idx="110">
                  <c:v>96.004873874776649</c:v>
                </c:pt>
                <c:pt idx="111">
                  <c:v>94.630146137732154</c:v>
                </c:pt>
                <c:pt idx="112">
                  <c:v>93.190998173530048</c:v>
                </c:pt>
                <c:pt idx="113">
                  <c:v>91.688324608321324</c:v>
                </c:pt>
                <c:pt idx="114">
                  <c:v>90.123059558056042</c:v>
                </c:pt>
                <c:pt idx="115">
                  <c:v>88.496176047803246</c:v>
                </c:pt>
                <c:pt idx="116">
                  <c:v>86.808685406883541</c:v>
                </c:pt>
                <c:pt idx="117">
                  <c:v>85.061636640190457</c:v>
                </c:pt>
                <c:pt idx="118">
                  <c:v>83.256115776091235</c:v>
                </c:pt>
                <c:pt idx="119">
                  <c:v>81.393245191312488</c:v>
                </c:pt>
                <c:pt idx="120">
                  <c:v>79.474182913230521</c:v>
                </c:pt>
                <c:pt idx="121">
                  <c:v>77.500121899999812</c:v>
                </c:pt>
                <c:pt idx="122">
                  <c:v>75.472289298967283</c:v>
                </c:pt>
                <c:pt idx="123">
                  <c:v>73.391945683833413</c:v>
                </c:pt>
                <c:pt idx="124">
                  <c:v>71.260384271034184</c:v>
                </c:pt>
                <c:pt idx="125">
                  <c:v>69.078930115831355</c:v>
                </c:pt>
                <c:pt idx="126">
                  <c:v>66.84893928861031</c:v>
                </c:pt>
                <c:pt idx="127">
                  <c:v>64.571798031898012</c:v>
                </c:pt>
                <c:pt idx="128">
                  <c:v>62.248921898624673</c:v>
                </c:pt>
                <c:pt idx="129">
                  <c:v>59.881754872165274</c:v>
                </c:pt>
                <c:pt idx="130">
                  <c:v>57.471768468707353</c:v>
                </c:pt>
                <c:pt idx="131">
                  <c:v>55.020460822503807</c:v>
                </c:pt>
                <c:pt idx="132">
                  <c:v>52.529355754578582</c:v>
                </c:pt>
                <c:pt idx="133">
                  <c:v>50.000001825464786</c:v>
                </c:pt>
                <c:pt idx="134">
                  <c:v>47.433971372563768</c:v>
                </c:pt>
                <c:pt idx="135">
                  <c:v>44.832859532723496</c:v>
                </c:pt>
                <c:pt idx="136">
                  <c:v>42.198283250644259</c:v>
                </c:pt>
                <c:pt idx="137">
                  <c:v>39.531880273727573</c:v>
                </c:pt>
                <c:pt idx="138">
                  <c:v>36.835308133993479</c:v>
                </c:pt>
                <c:pt idx="139">
                  <c:v>34.110243117699014</c:v>
                </c:pt>
                <c:pt idx="140">
                  <c:v>31.358379223298492</c:v>
                </c:pt>
                <c:pt idx="141">
                  <c:v>28.581427108392873</c:v>
                </c:pt>
                <c:pt idx="142">
                  <c:v>25.781113026323638</c:v>
                </c:pt>
                <c:pt idx="143">
                  <c:v>22.959177753071529</c:v>
                </c:pt>
                <c:pt idx="144">
                  <c:v>20.117375505127672</c:v>
                </c:pt>
                <c:pt idx="145">
                  <c:v>17.257472849009325</c:v>
                </c:pt>
                <c:pt idx="146">
                  <c:v>14.381247603098693</c:v>
                </c:pt>
                <c:pt idx="147">
                  <c:v>11.4904877324871</c:v>
                </c:pt>
                <c:pt idx="148">
                  <c:v>8.5869902375114009</c:v>
                </c:pt>
                <c:pt idx="149">
                  <c:v>5.6725600366741151</c:v>
                </c:pt>
                <c:pt idx="150">
                  <c:v>2.7490088446409864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1.9499106062863438</c:v>
                </c:pt>
                <c:pt idx="156">
                  <c:v>0.4353759783197173</c:v>
                </c:pt>
                <c:pt idx="157">
                  <c:v>-1.8969752270526943</c:v>
                </c:pt>
                <c:pt idx="158">
                  <c:v>-4.3589076120530557</c:v>
                </c:pt>
                <c:pt idx="159">
                  <c:v>-6.8839803504483132</c:v>
                </c:pt>
                <c:pt idx="160">
                  <c:v>-9.445701924974987</c:v>
                </c:pt>
                <c:pt idx="161">
                  <c:v>-12.029847191518842</c:v>
                </c:pt>
                <c:pt idx="162">
                  <c:v>-14.627414945166993</c:v>
                </c:pt>
                <c:pt idx="163">
                  <c:v>-17.232056846141056</c:v>
                </c:pt>
                <c:pt idx="164">
                  <c:v>-19.838932677723623</c:v>
                </c:pt>
                <c:pt idx="165">
                  <c:v>-22.444130304605075</c:v>
                </c:pt>
                <c:pt idx="166">
                  <c:v>-25.044343452319694</c:v>
                </c:pt>
                <c:pt idx="167">
                  <c:v>-27.636679898033758</c:v>
                </c:pt>
                <c:pt idx="168">
                  <c:v>-30.218540957437643</c:v>
                </c:pt>
                <c:pt idx="169">
                  <c:v>-32.78754241013354</c:v>
                </c:pt>
                <c:pt idx="170">
                  <c:v>-35.341460734846422</c:v>
                </c:pt>
                <c:pt idx="171">
                  <c:v>-37.87819545249797</c:v>
                </c:pt>
                <c:pt idx="172">
                  <c:v>-40.395742083457577</c:v>
                </c:pt>
                <c:pt idx="173">
                  <c:v>-42.892172311294814</c:v>
                </c:pt>
                <c:pt idx="174">
                  <c:v>-45.365619169152751</c:v>
                </c:pt>
                <c:pt idx="175">
                  <c:v>-47.814265809250514</c:v>
                </c:pt>
                <c:pt idx="176">
                  <c:v>-50.2363368832779</c:v>
                </c:pt>
                <c:pt idx="177">
                  <c:v>-52.630091862955695</c:v>
                </c:pt>
                <c:pt idx="178">
                  <c:v>-54.993819829410697</c:v>
                </c:pt>
                <c:pt idx="179">
                  <c:v>-57.325835394749546</c:v>
                </c:pt>
                <c:pt idx="180">
                  <c:v>-59.624475512051248</c:v>
                </c:pt>
                <c:pt idx="181">
                  <c:v>-61.888096995078456</c:v>
                </c:pt>
                <c:pt idx="182">
                  <c:v>-64.115074615332276</c:v>
                </c:pt>
                <c:pt idx="183">
                  <c:v>-66.30379967749289</c:v>
                </c:pt>
                <c:pt idx="184">
                  <c:v>-68.452678998667324</c:v>
                </c:pt>
                <c:pt idx="185">
                  <c:v>-70.560134234811926</c:v>
                </c:pt>
                <c:pt idx="186">
                  <c:v>-72.62460151099414</c:v>
                </c:pt>
                <c:pt idx="187">
                  <c:v>-74.644531322041644</c:v>
                </c:pt>
                <c:pt idx="188">
                  <c:v>-76.618388677470904</c:v>
                </c:pt>
                <c:pt idx="189">
                  <c:v>-78.544653470010275</c:v>
                </c:pt>
                <c:pt idx="190">
                  <c:v>-80.421821050989195</c:v>
                </c:pt>
                <c:pt idx="191">
                  <c:v>-82.248402998682764</c:v>
                </c:pt>
                <c:pt idx="192">
                  <c:v>-84.022928067629167</c:v>
                </c:pt>
                <c:pt idx="193">
                  <c:v>-85.743943308162585</c:v>
                </c:pt>
                <c:pt idx="194">
                  <c:v>-87.410015346074147</c:v>
                </c:pt>
                <c:pt idx="195">
                  <c:v>-89.019731812542062</c:v>
                </c:pt>
                <c:pt idx="196">
                  <c:v>-90.571702914357161</c:v>
                </c:pt>
                <c:pt idx="197">
                  <c:v>-92.064563134086512</c:v>
                </c:pt>
                <c:pt idx="198">
                  <c:v>-93.496973049239003</c:v>
                </c:pt>
                <c:pt idx="199">
                  <c:v>-94.867621258778129</c:v>
                </c:pt>
                <c:pt idx="200">
                  <c:v>-96.175226404524849</c:v>
                </c:pt>
                <c:pt idx="201">
                  <c:v>-97.418539274155421</c:v>
                </c:pt>
                <c:pt idx="202">
                  <c:v>-98.596344971669311</c:v>
                </c:pt>
                <c:pt idx="203">
                  <c:v>-99.707465140420894</c:v>
                </c:pt>
                <c:pt idx="204">
                  <c:v>-100.75076022311241</c:v>
                </c:pt>
                <c:pt idx="205">
                  <c:v>-101.72513174256733</c:v>
                </c:pt>
                <c:pt idx="206">
                  <c:v>-102.62952458666661</c:v>
                </c:pt>
                <c:pt idx="207">
                  <c:v>-103.46292928056559</c:v>
                </c:pt>
                <c:pt idx="208">
                  <c:v>-104.22438422922602</c:v>
                </c:pt>
                <c:pt idx="209">
                  <c:v>-104.91297791341526</c:v>
                </c:pt>
                <c:pt idx="210">
                  <c:v>-105.527851022645</c:v>
                </c:pt>
                <c:pt idx="211">
                  <c:v>-106.06819850905003</c:v>
                </c:pt>
                <c:pt idx="212">
                  <c:v>-106.53327154693659</c:v>
                </c:pt>
                <c:pt idx="213">
                  <c:v>-106.92237938365012</c:v>
                </c:pt>
                <c:pt idx="214">
                  <c:v>-107.23489106851224</c:v>
                </c:pt>
                <c:pt idx="215">
                  <c:v>-107.47023704783025</c:v>
                </c:pt>
                <c:pt idx="216">
                  <c:v>-107.62791061537467</c:v>
                </c:pt>
                <c:pt idx="217">
                  <c:v>-107.70746920921601</c:v>
                </c:pt>
                <c:pt idx="218">
                  <c:v>-107.70853554738908</c:v>
                </c:pt>
              </c:numCache>
            </c:numRef>
          </c:xVal>
          <c:yVal>
            <c:numRef>
              <c:f>'5LeverTailRectangle (2)'!$AZ$6:$AZ$224</c:f>
              <c:numCache>
                <c:formatCode>General</c:formatCode>
                <c:ptCount val="219"/>
                <c:pt idx="0">
                  <c:v>63.169668065207517</c:v>
                </c:pt>
                <c:pt idx="1">
                  <c:v>62.828600687599199</c:v>
                </c:pt>
                <c:pt idx="2">
                  <c:v>60.654567778201482</c:v>
                </c:pt>
                <c:pt idx="3">
                  <c:v>58.656544882186154</c:v>
                </c:pt>
                <c:pt idx="4">
                  <c:v>58.029937134483291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'5LeverTailRectangle (2)'!$BA$5</c:f>
              <c:strCache>
                <c:ptCount val="1"/>
                <c:pt idx="0">
                  <c:v>R0</c:v>
                </c:pt>
              </c:strCache>
            </c:strRef>
          </c:tx>
          <c:xVal>
            <c:numRef>
              <c:f>'5LeverTailRectangle (2)'!$AY$6:$AY$224</c:f>
              <c:numCache>
                <c:formatCode>General</c:formatCode>
                <c:ptCount val="219"/>
                <c:pt idx="0">
                  <c:v>25.831728158814009</c:v>
                </c:pt>
                <c:pt idx="1">
                  <c:v>6.2470713789350008</c:v>
                </c:pt>
                <c:pt idx="2">
                  <c:v>-10.476366362152248</c:v>
                </c:pt>
                <c:pt idx="3">
                  <c:v>-25.334503129260767</c:v>
                </c:pt>
                <c:pt idx="4">
                  <c:v>-38.852682394788737</c:v>
                </c:pt>
                <c:pt idx="13">
                  <c:v>-28</c:v>
                </c:pt>
                <c:pt idx="14">
                  <c:v>-20.21679081077513</c:v>
                </c:pt>
                <c:pt idx="15">
                  <c:v>25.831728158814009</c:v>
                </c:pt>
                <c:pt idx="16">
                  <c:v>51.513994255268372</c:v>
                </c:pt>
                <c:pt idx="17">
                  <c:v>28</c:v>
                </c:pt>
                <c:pt idx="18">
                  <c:v>-28</c:v>
                </c:pt>
                <c:pt idx="19">
                  <c:v>-39.008519624966944</c:v>
                </c:pt>
                <c:pt idx="20">
                  <c:v>6.2470713789350008</c:v>
                </c:pt>
                <c:pt idx="21">
                  <c:v>46.114448516120859</c:v>
                </c:pt>
                <c:pt idx="22">
                  <c:v>28</c:v>
                </c:pt>
                <c:pt idx="23">
                  <c:v>-28</c:v>
                </c:pt>
                <c:pt idx="24">
                  <c:v>-49.476702144482829</c:v>
                </c:pt>
                <c:pt idx="25">
                  <c:v>-10.476366362152248</c:v>
                </c:pt>
                <c:pt idx="26">
                  <c:v>37.740003922390386</c:v>
                </c:pt>
                <c:pt idx="27">
                  <c:v>28</c:v>
                </c:pt>
                <c:pt idx="28">
                  <c:v>-28</c:v>
                </c:pt>
                <c:pt idx="29">
                  <c:v>-54.518554557879654</c:v>
                </c:pt>
                <c:pt idx="30">
                  <c:v>-25.334503129260767</c:v>
                </c:pt>
                <c:pt idx="31">
                  <c:v>26.074345174939772</c:v>
                </c:pt>
                <c:pt idx="32">
                  <c:v>28</c:v>
                </c:pt>
                <c:pt idx="33">
                  <c:v>-28</c:v>
                </c:pt>
                <c:pt idx="34">
                  <c:v>-55.662348784867049</c:v>
                </c:pt>
                <c:pt idx="35">
                  <c:v>-38.852682394788737</c:v>
                </c:pt>
                <c:pt idx="80">
                  <c:v>-11.286006599795854</c:v>
                </c:pt>
                <c:pt idx="81">
                  <c:v>70</c:v>
                </c:pt>
                <c:pt idx="82">
                  <c:v>50.151091411687077</c:v>
                </c:pt>
                <c:pt idx="83">
                  <c:v>39.083477722548608</c:v>
                </c:pt>
                <c:pt idx="84">
                  <c:v>9</c:v>
                </c:pt>
                <c:pt idx="85">
                  <c:v>-9</c:v>
                </c:pt>
                <c:pt idx="86">
                  <c:v>-35.05373744672503</c:v>
                </c:pt>
                <c:pt idx="87">
                  <c:v>-70</c:v>
                </c:pt>
                <c:pt idx="88">
                  <c:v>-61.466610306763862</c:v>
                </c:pt>
                <c:pt idx="89">
                  <c:v>2.8488307653754443</c:v>
                </c:pt>
                <c:pt idx="90">
                  <c:v>9</c:v>
                </c:pt>
                <c:pt idx="91">
                  <c:v>109</c:v>
                </c:pt>
                <c:pt idx="92">
                  <c:v>108.96332347734752</c:v>
                </c:pt>
                <c:pt idx="93">
                  <c:v>108.8533167088361</c:v>
                </c:pt>
                <c:pt idx="94">
                  <c:v>108.67004807863076</c:v>
                </c:pt>
                <c:pt idx="95">
                  <c:v>108.41363151310553</c:v>
                </c:pt>
                <c:pt idx="96">
                  <c:v>108.08422641002265</c:v>
                </c:pt>
                <c:pt idx="97">
                  <c:v>107.6820375394453</c:v>
                </c:pt>
                <c:pt idx="98">
                  <c:v>107.20731491644504</c:v>
                </c:pt>
                <c:pt idx="99">
                  <c:v>106.66035364568347</c:v>
                </c:pt>
                <c:pt idx="100">
                  <c:v>106.04149373796464</c:v>
                </c:pt>
                <c:pt idx="101">
                  <c:v>105.351119898872</c:v>
                </c:pt>
                <c:pt idx="102">
                  <c:v>104.58966128962159</c:v>
                </c:pt>
                <c:pt idx="103">
                  <c:v>103.75759126028008</c:v>
                </c:pt>
                <c:pt idx="104">
                  <c:v>102.85542705551322</c:v>
                </c:pt>
                <c:pt idx="105">
                  <c:v>101.88372949304798</c:v>
                </c:pt>
                <c:pt idx="106">
                  <c:v>100.84310261504811</c:v>
                </c:pt>
                <c:pt idx="107">
                  <c:v>99.734193312619794</c:v>
                </c:pt>
                <c:pt idx="108">
                  <c:v>98.557690923680809</c:v>
                </c:pt>
                <c:pt idx="109">
                  <c:v>97.314326804443354</c:v>
                </c:pt>
                <c:pt idx="110">
                  <c:v>96.004873874776649</c:v>
                </c:pt>
                <c:pt idx="111">
                  <c:v>94.630146137732154</c:v>
                </c:pt>
                <c:pt idx="112">
                  <c:v>93.190998173530048</c:v>
                </c:pt>
                <c:pt idx="113">
                  <c:v>91.688324608321324</c:v>
                </c:pt>
                <c:pt idx="114">
                  <c:v>90.123059558056042</c:v>
                </c:pt>
                <c:pt idx="115">
                  <c:v>88.496176047803246</c:v>
                </c:pt>
                <c:pt idx="116">
                  <c:v>86.808685406883541</c:v>
                </c:pt>
                <c:pt idx="117">
                  <c:v>85.061636640190457</c:v>
                </c:pt>
                <c:pt idx="118">
                  <c:v>83.256115776091235</c:v>
                </c:pt>
                <c:pt idx="119">
                  <c:v>81.393245191312488</c:v>
                </c:pt>
                <c:pt idx="120">
                  <c:v>79.474182913230521</c:v>
                </c:pt>
                <c:pt idx="121">
                  <c:v>77.500121899999812</c:v>
                </c:pt>
                <c:pt idx="122">
                  <c:v>75.472289298967283</c:v>
                </c:pt>
                <c:pt idx="123">
                  <c:v>73.391945683833413</c:v>
                </c:pt>
                <c:pt idx="124">
                  <c:v>71.260384271034184</c:v>
                </c:pt>
                <c:pt idx="125">
                  <c:v>69.078930115831355</c:v>
                </c:pt>
                <c:pt idx="126">
                  <c:v>66.84893928861031</c:v>
                </c:pt>
                <c:pt idx="127">
                  <c:v>64.571798031898012</c:v>
                </c:pt>
                <c:pt idx="128">
                  <c:v>62.248921898624673</c:v>
                </c:pt>
                <c:pt idx="129">
                  <c:v>59.881754872165274</c:v>
                </c:pt>
                <c:pt idx="130">
                  <c:v>57.471768468707353</c:v>
                </c:pt>
                <c:pt idx="131">
                  <c:v>55.020460822503807</c:v>
                </c:pt>
                <c:pt idx="132">
                  <c:v>52.529355754578582</c:v>
                </c:pt>
                <c:pt idx="133">
                  <c:v>50.000001825464786</c:v>
                </c:pt>
                <c:pt idx="134">
                  <c:v>47.433971372563768</c:v>
                </c:pt>
                <c:pt idx="135">
                  <c:v>44.832859532723496</c:v>
                </c:pt>
                <c:pt idx="136">
                  <c:v>42.198283250644259</c:v>
                </c:pt>
                <c:pt idx="137">
                  <c:v>39.531880273727573</c:v>
                </c:pt>
                <c:pt idx="138">
                  <c:v>36.835308133993479</c:v>
                </c:pt>
                <c:pt idx="139">
                  <c:v>34.110243117699014</c:v>
                </c:pt>
                <c:pt idx="140">
                  <c:v>31.358379223298492</c:v>
                </c:pt>
                <c:pt idx="141">
                  <c:v>28.581427108392873</c:v>
                </c:pt>
                <c:pt idx="142">
                  <c:v>25.781113026323638</c:v>
                </c:pt>
                <c:pt idx="143">
                  <c:v>22.959177753071529</c:v>
                </c:pt>
                <c:pt idx="144">
                  <c:v>20.117375505127672</c:v>
                </c:pt>
                <c:pt idx="145">
                  <c:v>17.257472849009325</c:v>
                </c:pt>
                <c:pt idx="146">
                  <c:v>14.381247603098693</c:v>
                </c:pt>
                <c:pt idx="147">
                  <c:v>11.4904877324871</c:v>
                </c:pt>
                <c:pt idx="148">
                  <c:v>8.5869902375114009</c:v>
                </c:pt>
                <c:pt idx="149">
                  <c:v>5.6725600366741151</c:v>
                </c:pt>
                <c:pt idx="150">
                  <c:v>2.7490088446409864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1.9499106062863438</c:v>
                </c:pt>
                <c:pt idx="156">
                  <c:v>0.4353759783197173</c:v>
                </c:pt>
                <c:pt idx="157">
                  <c:v>-1.8969752270526943</c:v>
                </c:pt>
                <c:pt idx="158">
                  <c:v>-4.3589076120530557</c:v>
                </c:pt>
                <c:pt idx="159">
                  <c:v>-6.8839803504483132</c:v>
                </c:pt>
                <c:pt idx="160">
                  <c:v>-9.445701924974987</c:v>
                </c:pt>
                <c:pt idx="161">
                  <c:v>-12.029847191518842</c:v>
                </c:pt>
                <c:pt idx="162">
                  <c:v>-14.627414945166993</c:v>
                </c:pt>
                <c:pt idx="163">
                  <c:v>-17.232056846141056</c:v>
                </c:pt>
                <c:pt idx="164">
                  <c:v>-19.838932677723623</c:v>
                </c:pt>
                <c:pt idx="165">
                  <c:v>-22.444130304605075</c:v>
                </c:pt>
                <c:pt idx="166">
                  <c:v>-25.044343452319694</c:v>
                </c:pt>
                <c:pt idx="167">
                  <c:v>-27.636679898033758</c:v>
                </c:pt>
                <c:pt idx="168">
                  <c:v>-30.218540957437643</c:v>
                </c:pt>
                <c:pt idx="169">
                  <c:v>-32.78754241013354</c:v>
                </c:pt>
                <c:pt idx="170">
                  <c:v>-35.341460734846422</c:v>
                </c:pt>
                <c:pt idx="171">
                  <c:v>-37.87819545249797</c:v>
                </c:pt>
                <c:pt idx="172">
                  <c:v>-40.395742083457577</c:v>
                </c:pt>
                <c:pt idx="173">
                  <c:v>-42.892172311294814</c:v>
                </c:pt>
                <c:pt idx="174">
                  <c:v>-45.365619169152751</c:v>
                </c:pt>
                <c:pt idx="175">
                  <c:v>-47.814265809250514</c:v>
                </c:pt>
                <c:pt idx="176">
                  <c:v>-50.2363368832779</c:v>
                </c:pt>
                <c:pt idx="177">
                  <c:v>-52.630091862955695</c:v>
                </c:pt>
                <c:pt idx="178">
                  <c:v>-54.993819829410697</c:v>
                </c:pt>
                <c:pt idx="179">
                  <c:v>-57.325835394749546</c:v>
                </c:pt>
                <c:pt idx="180">
                  <c:v>-59.624475512051248</c:v>
                </c:pt>
                <c:pt idx="181">
                  <c:v>-61.888096995078456</c:v>
                </c:pt>
                <c:pt idx="182">
                  <c:v>-64.115074615332276</c:v>
                </c:pt>
                <c:pt idx="183">
                  <c:v>-66.30379967749289</c:v>
                </c:pt>
                <c:pt idx="184">
                  <c:v>-68.452678998667324</c:v>
                </c:pt>
                <c:pt idx="185">
                  <c:v>-70.560134234811926</c:v>
                </c:pt>
                <c:pt idx="186">
                  <c:v>-72.62460151099414</c:v>
                </c:pt>
                <c:pt idx="187">
                  <c:v>-74.644531322041644</c:v>
                </c:pt>
                <c:pt idx="188">
                  <c:v>-76.618388677470904</c:v>
                </c:pt>
                <c:pt idx="189">
                  <c:v>-78.544653470010275</c:v>
                </c:pt>
                <c:pt idx="190">
                  <c:v>-80.421821050989195</c:v>
                </c:pt>
                <c:pt idx="191">
                  <c:v>-82.248402998682764</c:v>
                </c:pt>
                <c:pt idx="192">
                  <c:v>-84.022928067629167</c:v>
                </c:pt>
                <c:pt idx="193">
                  <c:v>-85.743943308162585</c:v>
                </c:pt>
                <c:pt idx="194">
                  <c:v>-87.410015346074147</c:v>
                </c:pt>
                <c:pt idx="195">
                  <c:v>-89.019731812542062</c:v>
                </c:pt>
                <c:pt idx="196">
                  <c:v>-90.571702914357161</c:v>
                </c:pt>
                <c:pt idx="197">
                  <c:v>-92.064563134086512</c:v>
                </c:pt>
                <c:pt idx="198">
                  <c:v>-93.496973049239003</c:v>
                </c:pt>
                <c:pt idx="199">
                  <c:v>-94.867621258778129</c:v>
                </c:pt>
                <c:pt idx="200">
                  <c:v>-96.175226404524849</c:v>
                </c:pt>
                <c:pt idx="201">
                  <c:v>-97.418539274155421</c:v>
                </c:pt>
                <c:pt idx="202">
                  <c:v>-98.596344971669311</c:v>
                </c:pt>
                <c:pt idx="203">
                  <c:v>-99.707465140420894</c:v>
                </c:pt>
                <c:pt idx="204">
                  <c:v>-100.75076022311241</c:v>
                </c:pt>
                <c:pt idx="205">
                  <c:v>-101.72513174256733</c:v>
                </c:pt>
                <c:pt idx="206">
                  <c:v>-102.62952458666661</c:v>
                </c:pt>
                <c:pt idx="207">
                  <c:v>-103.46292928056559</c:v>
                </c:pt>
                <c:pt idx="208">
                  <c:v>-104.22438422922602</c:v>
                </c:pt>
                <c:pt idx="209">
                  <c:v>-104.91297791341526</c:v>
                </c:pt>
                <c:pt idx="210">
                  <c:v>-105.527851022645</c:v>
                </c:pt>
                <c:pt idx="211">
                  <c:v>-106.06819850905003</c:v>
                </c:pt>
                <c:pt idx="212">
                  <c:v>-106.53327154693659</c:v>
                </c:pt>
                <c:pt idx="213">
                  <c:v>-106.92237938365012</c:v>
                </c:pt>
                <c:pt idx="214">
                  <c:v>-107.23489106851224</c:v>
                </c:pt>
                <c:pt idx="215">
                  <c:v>-107.47023704783025</c:v>
                </c:pt>
                <c:pt idx="216">
                  <c:v>-107.62791061537467</c:v>
                </c:pt>
                <c:pt idx="217">
                  <c:v>-107.70746920921601</c:v>
                </c:pt>
                <c:pt idx="218">
                  <c:v>-107.70853554738908</c:v>
                </c:pt>
              </c:numCache>
            </c:numRef>
          </c:xVal>
          <c:yVal>
            <c:numRef>
              <c:f>'5LeverTailRectangle (2)'!$BA$6:$BA$224</c:f>
              <c:numCache>
                <c:formatCode>General</c:formatCode>
                <c:ptCount val="219"/>
                <c:pt idx="13">
                  <c:v>0</c:v>
                </c:pt>
                <c:pt idx="14">
                  <c:v>31.03903437152589</c:v>
                </c:pt>
                <c:pt idx="15">
                  <c:v>63.169668065207517</c:v>
                </c:pt>
                <c:pt idx="16">
                  <c:v>21.704655587297538</c:v>
                </c:pt>
                <c:pt idx="17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'5LeverTailRectangle (2)'!$BB$5</c:f>
              <c:strCache>
                <c:ptCount val="1"/>
                <c:pt idx="0">
                  <c:v>R1</c:v>
                </c:pt>
              </c:strCache>
            </c:strRef>
          </c:tx>
          <c:xVal>
            <c:numRef>
              <c:f>'5LeverTailRectangle (2)'!$AY$6:$AY$224</c:f>
              <c:numCache>
                <c:formatCode>General</c:formatCode>
                <c:ptCount val="219"/>
                <c:pt idx="0">
                  <c:v>25.831728158814009</c:v>
                </c:pt>
                <c:pt idx="1">
                  <c:v>6.2470713789350008</c:v>
                </c:pt>
                <c:pt idx="2">
                  <c:v>-10.476366362152248</c:v>
                </c:pt>
                <c:pt idx="3">
                  <c:v>-25.334503129260767</c:v>
                </c:pt>
                <c:pt idx="4">
                  <c:v>-38.852682394788737</c:v>
                </c:pt>
                <c:pt idx="13">
                  <c:v>-28</c:v>
                </c:pt>
                <c:pt idx="14">
                  <c:v>-20.21679081077513</c:v>
                </c:pt>
                <c:pt idx="15">
                  <c:v>25.831728158814009</c:v>
                </c:pt>
                <c:pt idx="16">
                  <c:v>51.513994255268372</c:v>
                </c:pt>
                <c:pt idx="17">
                  <c:v>28</c:v>
                </c:pt>
                <c:pt idx="18">
                  <c:v>-28</c:v>
                </c:pt>
                <c:pt idx="19">
                  <c:v>-39.008519624966944</c:v>
                </c:pt>
                <c:pt idx="20">
                  <c:v>6.2470713789350008</c:v>
                </c:pt>
                <c:pt idx="21">
                  <c:v>46.114448516120859</c:v>
                </c:pt>
                <c:pt idx="22">
                  <c:v>28</c:v>
                </c:pt>
                <c:pt idx="23">
                  <c:v>-28</c:v>
                </c:pt>
                <c:pt idx="24">
                  <c:v>-49.476702144482829</c:v>
                </c:pt>
                <c:pt idx="25">
                  <c:v>-10.476366362152248</c:v>
                </c:pt>
                <c:pt idx="26">
                  <c:v>37.740003922390386</c:v>
                </c:pt>
                <c:pt idx="27">
                  <c:v>28</c:v>
                </c:pt>
                <c:pt idx="28">
                  <c:v>-28</c:v>
                </c:pt>
                <c:pt idx="29">
                  <c:v>-54.518554557879654</c:v>
                </c:pt>
                <c:pt idx="30">
                  <c:v>-25.334503129260767</c:v>
                </c:pt>
                <c:pt idx="31">
                  <c:v>26.074345174939772</c:v>
                </c:pt>
                <c:pt idx="32">
                  <c:v>28</c:v>
                </c:pt>
                <c:pt idx="33">
                  <c:v>-28</c:v>
                </c:pt>
                <c:pt idx="34">
                  <c:v>-55.662348784867049</c:v>
                </c:pt>
                <c:pt idx="35">
                  <c:v>-38.852682394788737</c:v>
                </c:pt>
                <c:pt idx="80">
                  <c:v>-11.286006599795854</c:v>
                </c:pt>
                <c:pt idx="81">
                  <c:v>70</c:v>
                </c:pt>
                <c:pt idx="82">
                  <c:v>50.151091411687077</c:v>
                </c:pt>
                <c:pt idx="83">
                  <c:v>39.083477722548608</c:v>
                </c:pt>
                <c:pt idx="84">
                  <c:v>9</c:v>
                </c:pt>
                <c:pt idx="85">
                  <c:v>-9</c:v>
                </c:pt>
                <c:pt idx="86">
                  <c:v>-35.05373744672503</c:v>
                </c:pt>
                <c:pt idx="87">
                  <c:v>-70</c:v>
                </c:pt>
                <c:pt idx="88">
                  <c:v>-61.466610306763862</c:v>
                </c:pt>
                <c:pt idx="89">
                  <c:v>2.8488307653754443</c:v>
                </c:pt>
                <c:pt idx="90">
                  <c:v>9</c:v>
                </c:pt>
                <c:pt idx="91">
                  <c:v>109</c:v>
                </c:pt>
                <c:pt idx="92">
                  <c:v>108.96332347734752</c:v>
                </c:pt>
                <c:pt idx="93">
                  <c:v>108.8533167088361</c:v>
                </c:pt>
                <c:pt idx="94">
                  <c:v>108.67004807863076</c:v>
                </c:pt>
                <c:pt idx="95">
                  <c:v>108.41363151310553</c:v>
                </c:pt>
                <c:pt idx="96">
                  <c:v>108.08422641002265</c:v>
                </c:pt>
                <c:pt idx="97">
                  <c:v>107.6820375394453</c:v>
                </c:pt>
                <c:pt idx="98">
                  <c:v>107.20731491644504</c:v>
                </c:pt>
                <c:pt idx="99">
                  <c:v>106.66035364568347</c:v>
                </c:pt>
                <c:pt idx="100">
                  <c:v>106.04149373796464</c:v>
                </c:pt>
                <c:pt idx="101">
                  <c:v>105.351119898872</c:v>
                </c:pt>
                <c:pt idx="102">
                  <c:v>104.58966128962159</c:v>
                </c:pt>
                <c:pt idx="103">
                  <c:v>103.75759126028008</c:v>
                </c:pt>
                <c:pt idx="104">
                  <c:v>102.85542705551322</c:v>
                </c:pt>
                <c:pt idx="105">
                  <c:v>101.88372949304798</c:v>
                </c:pt>
                <c:pt idx="106">
                  <c:v>100.84310261504811</c:v>
                </c:pt>
                <c:pt idx="107">
                  <c:v>99.734193312619794</c:v>
                </c:pt>
                <c:pt idx="108">
                  <c:v>98.557690923680809</c:v>
                </c:pt>
                <c:pt idx="109">
                  <c:v>97.314326804443354</c:v>
                </c:pt>
                <c:pt idx="110">
                  <c:v>96.004873874776649</c:v>
                </c:pt>
                <c:pt idx="111">
                  <c:v>94.630146137732154</c:v>
                </c:pt>
                <c:pt idx="112">
                  <c:v>93.190998173530048</c:v>
                </c:pt>
                <c:pt idx="113">
                  <c:v>91.688324608321324</c:v>
                </c:pt>
                <c:pt idx="114">
                  <c:v>90.123059558056042</c:v>
                </c:pt>
                <c:pt idx="115">
                  <c:v>88.496176047803246</c:v>
                </c:pt>
                <c:pt idx="116">
                  <c:v>86.808685406883541</c:v>
                </c:pt>
                <c:pt idx="117">
                  <c:v>85.061636640190457</c:v>
                </c:pt>
                <c:pt idx="118">
                  <c:v>83.256115776091235</c:v>
                </c:pt>
                <c:pt idx="119">
                  <c:v>81.393245191312488</c:v>
                </c:pt>
                <c:pt idx="120">
                  <c:v>79.474182913230521</c:v>
                </c:pt>
                <c:pt idx="121">
                  <c:v>77.500121899999812</c:v>
                </c:pt>
                <c:pt idx="122">
                  <c:v>75.472289298967283</c:v>
                </c:pt>
                <c:pt idx="123">
                  <c:v>73.391945683833413</c:v>
                </c:pt>
                <c:pt idx="124">
                  <c:v>71.260384271034184</c:v>
                </c:pt>
                <c:pt idx="125">
                  <c:v>69.078930115831355</c:v>
                </c:pt>
                <c:pt idx="126">
                  <c:v>66.84893928861031</c:v>
                </c:pt>
                <c:pt idx="127">
                  <c:v>64.571798031898012</c:v>
                </c:pt>
                <c:pt idx="128">
                  <c:v>62.248921898624673</c:v>
                </c:pt>
                <c:pt idx="129">
                  <c:v>59.881754872165274</c:v>
                </c:pt>
                <c:pt idx="130">
                  <c:v>57.471768468707353</c:v>
                </c:pt>
                <c:pt idx="131">
                  <c:v>55.020460822503807</c:v>
                </c:pt>
                <c:pt idx="132">
                  <c:v>52.529355754578582</c:v>
                </c:pt>
                <c:pt idx="133">
                  <c:v>50.000001825464786</c:v>
                </c:pt>
                <c:pt idx="134">
                  <c:v>47.433971372563768</c:v>
                </c:pt>
                <c:pt idx="135">
                  <c:v>44.832859532723496</c:v>
                </c:pt>
                <c:pt idx="136">
                  <c:v>42.198283250644259</c:v>
                </c:pt>
                <c:pt idx="137">
                  <c:v>39.531880273727573</c:v>
                </c:pt>
                <c:pt idx="138">
                  <c:v>36.835308133993479</c:v>
                </c:pt>
                <c:pt idx="139">
                  <c:v>34.110243117699014</c:v>
                </c:pt>
                <c:pt idx="140">
                  <c:v>31.358379223298492</c:v>
                </c:pt>
                <c:pt idx="141">
                  <c:v>28.581427108392873</c:v>
                </c:pt>
                <c:pt idx="142">
                  <c:v>25.781113026323638</c:v>
                </c:pt>
                <c:pt idx="143">
                  <c:v>22.959177753071529</c:v>
                </c:pt>
                <c:pt idx="144">
                  <c:v>20.117375505127672</c:v>
                </c:pt>
                <c:pt idx="145">
                  <c:v>17.257472849009325</c:v>
                </c:pt>
                <c:pt idx="146">
                  <c:v>14.381247603098693</c:v>
                </c:pt>
                <c:pt idx="147">
                  <c:v>11.4904877324871</c:v>
                </c:pt>
                <c:pt idx="148">
                  <c:v>8.5869902375114009</c:v>
                </c:pt>
                <c:pt idx="149">
                  <c:v>5.6725600366741151</c:v>
                </c:pt>
                <c:pt idx="150">
                  <c:v>2.7490088446409864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1.9499106062863438</c:v>
                </c:pt>
                <c:pt idx="156">
                  <c:v>0.4353759783197173</c:v>
                </c:pt>
                <c:pt idx="157">
                  <c:v>-1.8969752270526943</c:v>
                </c:pt>
                <c:pt idx="158">
                  <c:v>-4.3589076120530557</c:v>
                </c:pt>
                <c:pt idx="159">
                  <c:v>-6.8839803504483132</c:v>
                </c:pt>
                <c:pt idx="160">
                  <c:v>-9.445701924974987</c:v>
                </c:pt>
                <c:pt idx="161">
                  <c:v>-12.029847191518842</c:v>
                </c:pt>
                <c:pt idx="162">
                  <c:v>-14.627414945166993</c:v>
                </c:pt>
                <c:pt idx="163">
                  <c:v>-17.232056846141056</c:v>
                </c:pt>
                <c:pt idx="164">
                  <c:v>-19.838932677723623</c:v>
                </c:pt>
                <c:pt idx="165">
                  <c:v>-22.444130304605075</c:v>
                </c:pt>
                <c:pt idx="166">
                  <c:v>-25.044343452319694</c:v>
                </c:pt>
                <c:pt idx="167">
                  <c:v>-27.636679898033758</c:v>
                </c:pt>
                <c:pt idx="168">
                  <c:v>-30.218540957437643</c:v>
                </c:pt>
                <c:pt idx="169">
                  <c:v>-32.78754241013354</c:v>
                </c:pt>
                <c:pt idx="170">
                  <c:v>-35.341460734846422</c:v>
                </c:pt>
                <c:pt idx="171">
                  <c:v>-37.87819545249797</c:v>
                </c:pt>
                <c:pt idx="172">
                  <c:v>-40.395742083457577</c:v>
                </c:pt>
                <c:pt idx="173">
                  <c:v>-42.892172311294814</c:v>
                </c:pt>
                <c:pt idx="174">
                  <c:v>-45.365619169152751</c:v>
                </c:pt>
                <c:pt idx="175">
                  <c:v>-47.814265809250514</c:v>
                </c:pt>
                <c:pt idx="176">
                  <c:v>-50.2363368832779</c:v>
                </c:pt>
                <c:pt idx="177">
                  <c:v>-52.630091862955695</c:v>
                </c:pt>
                <c:pt idx="178">
                  <c:v>-54.993819829410697</c:v>
                </c:pt>
                <c:pt idx="179">
                  <c:v>-57.325835394749546</c:v>
                </c:pt>
                <c:pt idx="180">
                  <c:v>-59.624475512051248</c:v>
                </c:pt>
                <c:pt idx="181">
                  <c:v>-61.888096995078456</c:v>
                </c:pt>
                <c:pt idx="182">
                  <c:v>-64.115074615332276</c:v>
                </c:pt>
                <c:pt idx="183">
                  <c:v>-66.30379967749289</c:v>
                </c:pt>
                <c:pt idx="184">
                  <c:v>-68.452678998667324</c:v>
                </c:pt>
                <c:pt idx="185">
                  <c:v>-70.560134234811926</c:v>
                </c:pt>
                <c:pt idx="186">
                  <c:v>-72.62460151099414</c:v>
                </c:pt>
                <c:pt idx="187">
                  <c:v>-74.644531322041644</c:v>
                </c:pt>
                <c:pt idx="188">
                  <c:v>-76.618388677470904</c:v>
                </c:pt>
                <c:pt idx="189">
                  <c:v>-78.544653470010275</c:v>
                </c:pt>
                <c:pt idx="190">
                  <c:v>-80.421821050989195</c:v>
                </c:pt>
                <c:pt idx="191">
                  <c:v>-82.248402998682764</c:v>
                </c:pt>
                <c:pt idx="192">
                  <c:v>-84.022928067629167</c:v>
                </c:pt>
                <c:pt idx="193">
                  <c:v>-85.743943308162585</c:v>
                </c:pt>
                <c:pt idx="194">
                  <c:v>-87.410015346074147</c:v>
                </c:pt>
                <c:pt idx="195">
                  <c:v>-89.019731812542062</c:v>
                </c:pt>
                <c:pt idx="196">
                  <c:v>-90.571702914357161</c:v>
                </c:pt>
                <c:pt idx="197">
                  <c:v>-92.064563134086512</c:v>
                </c:pt>
                <c:pt idx="198">
                  <c:v>-93.496973049239003</c:v>
                </c:pt>
                <c:pt idx="199">
                  <c:v>-94.867621258778129</c:v>
                </c:pt>
                <c:pt idx="200">
                  <c:v>-96.175226404524849</c:v>
                </c:pt>
                <c:pt idx="201">
                  <c:v>-97.418539274155421</c:v>
                </c:pt>
                <c:pt idx="202">
                  <c:v>-98.596344971669311</c:v>
                </c:pt>
                <c:pt idx="203">
                  <c:v>-99.707465140420894</c:v>
                </c:pt>
                <c:pt idx="204">
                  <c:v>-100.75076022311241</c:v>
                </c:pt>
                <c:pt idx="205">
                  <c:v>-101.72513174256733</c:v>
                </c:pt>
                <c:pt idx="206">
                  <c:v>-102.62952458666661</c:v>
                </c:pt>
                <c:pt idx="207">
                  <c:v>-103.46292928056559</c:v>
                </c:pt>
                <c:pt idx="208">
                  <c:v>-104.22438422922602</c:v>
                </c:pt>
                <c:pt idx="209">
                  <c:v>-104.91297791341526</c:v>
                </c:pt>
                <c:pt idx="210">
                  <c:v>-105.527851022645</c:v>
                </c:pt>
                <c:pt idx="211">
                  <c:v>-106.06819850905003</c:v>
                </c:pt>
                <c:pt idx="212">
                  <c:v>-106.53327154693659</c:v>
                </c:pt>
                <c:pt idx="213">
                  <c:v>-106.92237938365012</c:v>
                </c:pt>
                <c:pt idx="214">
                  <c:v>-107.23489106851224</c:v>
                </c:pt>
                <c:pt idx="215">
                  <c:v>-107.47023704783025</c:v>
                </c:pt>
                <c:pt idx="216">
                  <c:v>-107.62791061537467</c:v>
                </c:pt>
                <c:pt idx="217">
                  <c:v>-107.70746920921601</c:v>
                </c:pt>
                <c:pt idx="218">
                  <c:v>-107.70853554738908</c:v>
                </c:pt>
              </c:numCache>
            </c:numRef>
          </c:xVal>
          <c:yVal>
            <c:numRef>
              <c:f>'5LeverTailRectangle (2)'!$BB$6:$BB$224</c:f>
              <c:numCache>
                <c:formatCode>General</c:formatCode>
                <c:ptCount val="219"/>
                <c:pt idx="18">
                  <c:v>0</c:v>
                </c:pt>
                <c:pt idx="19">
                  <c:v>30.046838363906406</c:v>
                </c:pt>
                <c:pt idx="20">
                  <c:v>62.828600687599199</c:v>
                </c:pt>
                <c:pt idx="21">
                  <c:v>26.379286475505864</c:v>
                </c:pt>
                <c:pt idx="22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'5LeverTailRectangle (2)'!$BC$5</c:f>
              <c:strCache>
                <c:ptCount val="1"/>
                <c:pt idx="0">
                  <c:v>R2</c:v>
                </c:pt>
              </c:strCache>
            </c:strRef>
          </c:tx>
          <c:xVal>
            <c:numRef>
              <c:f>'5LeverTailRectangle (2)'!$AY$6:$AY$224</c:f>
              <c:numCache>
                <c:formatCode>General</c:formatCode>
                <c:ptCount val="219"/>
                <c:pt idx="0">
                  <c:v>25.831728158814009</c:v>
                </c:pt>
                <c:pt idx="1">
                  <c:v>6.2470713789350008</c:v>
                </c:pt>
                <c:pt idx="2">
                  <c:v>-10.476366362152248</c:v>
                </c:pt>
                <c:pt idx="3">
                  <c:v>-25.334503129260767</c:v>
                </c:pt>
                <c:pt idx="4">
                  <c:v>-38.852682394788737</c:v>
                </c:pt>
                <c:pt idx="13">
                  <c:v>-28</c:v>
                </c:pt>
                <c:pt idx="14">
                  <c:v>-20.21679081077513</c:v>
                </c:pt>
                <c:pt idx="15">
                  <c:v>25.831728158814009</c:v>
                </c:pt>
                <c:pt idx="16">
                  <c:v>51.513994255268372</c:v>
                </c:pt>
                <c:pt idx="17">
                  <c:v>28</c:v>
                </c:pt>
                <c:pt idx="18">
                  <c:v>-28</c:v>
                </c:pt>
                <c:pt idx="19">
                  <c:v>-39.008519624966944</c:v>
                </c:pt>
                <c:pt idx="20">
                  <c:v>6.2470713789350008</c:v>
                </c:pt>
                <c:pt idx="21">
                  <c:v>46.114448516120859</c:v>
                </c:pt>
                <c:pt idx="22">
                  <c:v>28</c:v>
                </c:pt>
                <c:pt idx="23">
                  <c:v>-28</c:v>
                </c:pt>
                <c:pt idx="24">
                  <c:v>-49.476702144482829</c:v>
                </c:pt>
                <c:pt idx="25">
                  <c:v>-10.476366362152248</c:v>
                </c:pt>
                <c:pt idx="26">
                  <c:v>37.740003922390386</c:v>
                </c:pt>
                <c:pt idx="27">
                  <c:v>28</c:v>
                </c:pt>
                <c:pt idx="28">
                  <c:v>-28</c:v>
                </c:pt>
                <c:pt idx="29">
                  <c:v>-54.518554557879654</c:v>
                </c:pt>
                <c:pt idx="30">
                  <c:v>-25.334503129260767</c:v>
                </c:pt>
                <c:pt idx="31">
                  <c:v>26.074345174939772</c:v>
                </c:pt>
                <c:pt idx="32">
                  <c:v>28</c:v>
                </c:pt>
                <c:pt idx="33">
                  <c:v>-28</c:v>
                </c:pt>
                <c:pt idx="34">
                  <c:v>-55.662348784867049</c:v>
                </c:pt>
                <c:pt idx="35">
                  <c:v>-38.852682394788737</c:v>
                </c:pt>
                <c:pt idx="80">
                  <c:v>-11.286006599795854</c:v>
                </c:pt>
                <c:pt idx="81">
                  <c:v>70</c:v>
                </c:pt>
                <c:pt idx="82">
                  <c:v>50.151091411687077</c:v>
                </c:pt>
                <c:pt idx="83">
                  <c:v>39.083477722548608</c:v>
                </c:pt>
                <c:pt idx="84">
                  <c:v>9</c:v>
                </c:pt>
                <c:pt idx="85">
                  <c:v>-9</c:v>
                </c:pt>
                <c:pt idx="86">
                  <c:v>-35.05373744672503</c:v>
                </c:pt>
                <c:pt idx="87">
                  <c:v>-70</c:v>
                </c:pt>
                <c:pt idx="88">
                  <c:v>-61.466610306763862</c:v>
                </c:pt>
                <c:pt idx="89">
                  <c:v>2.8488307653754443</c:v>
                </c:pt>
                <c:pt idx="90">
                  <c:v>9</c:v>
                </c:pt>
                <c:pt idx="91">
                  <c:v>109</c:v>
                </c:pt>
                <c:pt idx="92">
                  <c:v>108.96332347734752</c:v>
                </c:pt>
                <c:pt idx="93">
                  <c:v>108.8533167088361</c:v>
                </c:pt>
                <c:pt idx="94">
                  <c:v>108.67004807863076</c:v>
                </c:pt>
                <c:pt idx="95">
                  <c:v>108.41363151310553</c:v>
                </c:pt>
                <c:pt idx="96">
                  <c:v>108.08422641002265</c:v>
                </c:pt>
                <c:pt idx="97">
                  <c:v>107.6820375394453</c:v>
                </c:pt>
                <c:pt idx="98">
                  <c:v>107.20731491644504</c:v>
                </c:pt>
                <c:pt idx="99">
                  <c:v>106.66035364568347</c:v>
                </c:pt>
                <c:pt idx="100">
                  <c:v>106.04149373796464</c:v>
                </c:pt>
                <c:pt idx="101">
                  <c:v>105.351119898872</c:v>
                </c:pt>
                <c:pt idx="102">
                  <c:v>104.58966128962159</c:v>
                </c:pt>
                <c:pt idx="103">
                  <c:v>103.75759126028008</c:v>
                </c:pt>
                <c:pt idx="104">
                  <c:v>102.85542705551322</c:v>
                </c:pt>
                <c:pt idx="105">
                  <c:v>101.88372949304798</c:v>
                </c:pt>
                <c:pt idx="106">
                  <c:v>100.84310261504811</c:v>
                </c:pt>
                <c:pt idx="107">
                  <c:v>99.734193312619794</c:v>
                </c:pt>
                <c:pt idx="108">
                  <c:v>98.557690923680809</c:v>
                </c:pt>
                <c:pt idx="109">
                  <c:v>97.314326804443354</c:v>
                </c:pt>
                <c:pt idx="110">
                  <c:v>96.004873874776649</c:v>
                </c:pt>
                <c:pt idx="111">
                  <c:v>94.630146137732154</c:v>
                </c:pt>
                <c:pt idx="112">
                  <c:v>93.190998173530048</c:v>
                </c:pt>
                <c:pt idx="113">
                  <c:v>91.688324608321324</c:v>
                </c:pt>
                <c:pt idx="114">
                  <c:v>90.123059558056042</c:v>
                </c:pt>
                <c:pt idx="115">
                  <c:v>88.496176047803246</c:v>
                </c:pt>
                <c:pt idx="116">
                  <c:v>86.808685406883541</c:v>
                </c:pt>
                <c:pt idx="117">
                  <c:v>85.061636640190457</c:v>
                </c:pt>
                <c:pt idx="118">
                  <c:v>83.256115776091235</c:v>
                </c:pt>
                <c:pt idx="119">
                  <c:v>81.393245191312488</c:v>
                </c:pt>
                <c:pt idx="120">
                  <c:v>79.474182913230521</c:v>
                </c:pt>
                <c:pt idx="121">
                  <c:v>77.500121899999812</c:v>
                </c:pt>
                <c:pt idx="122">
                  <c:v>75.472289298967283</c:v>
                </c:pt>
                <c:pt idx="123">
                  <c:v>73.391945683833413</c:v>
                </c:pt>
                <c:pt idx="124">
                  <c:v>71.260384271034184</c:v>
                </c:pt>
                <c:pt idx="125">
                  <c:v>69.078930115831355</c:v>
                </c:pt>
                <c:pt idx="126">
                  <c:v>66.84893928861031</c:v>
                </c:pt>
                <c:pt idx="127">
                  <c:v>64.571798031898012</c:v>
                </c:pt>
                <c:pt idx="128">
                  <c:v>62.248921898624673</c:v>
                </c:pt>
                <c:pt idx="129">
                  <c:v>59.881754872165274</c:v>
                </c:pt>
                <c:pt idx="130">
                  <c:v>57.471768468707353</c:v>
                </c:pt>
                <c:pt idx="131">
                  <c:v>55.020460822503807</c:v>
                </c:pt>
                <c:pt idx="132">
                  <c:v>52.529355754578582</c:v>
                </c:pt>
                <c:pt idx="133">
                  <c:v>50.000001825464786</c:v>
                </c:pt>
                <c:pt idx="134">
                  <c:v>47.433971372563768</c:v>
                </c:pt>
                <c:pt idx="135">
                  <c:v>44.832859532723496</c:v>
                </c:pt>
                <c:pt idx="136">
                  <c:v>42.198283250644259</c:v>
                </c:pt>
                <c:pt idx="137">
                  <c:v>39.531880273727573</c:v>
                </c:pt>
                <c:pt idx="138">
                  <c:v>36.835308133993479</c:v>
                </c:pt>
                <c:pt idx="139">
                  <c:v>34.110243117699014</c:v>
                </c:pt>
                <c:pt idx="140">
                  <c:v>31.358379223298492</c:v>
                </c:pt>
                <c:pt idx="141">
                  <c:v>28.581427108392873</c:v>
                </c:pt>
                <c:pt idx="142">
                  <c:v>25.781113026323638</c:v>
                </c:pt>
                <c:pt idx="143">
                  <c:v>22.959177753071529</c:v>
                </c:pt>
                <c:pt idx="144">
                  <c:v>20.117375505127672</c:v>
                </c:pt>
                <c:pt idx="145">
                  <c:v>17.257472849009325</c:v>
                </c:pt>
                <c:pt idx="146">
                  <c:v>14.381247603098693</c:v>
                </c:pt>
                <c:pt idx="147">
                  <c:v>11.4904877324871</c:v>
                </c:pt>
                <c:pt idx="148">
                  <c:v>8.5869902375114009</c:v>
                </c:pt>
                <c:pt idx="149">
                  <c:v>5.6725600366741151</c:v>
                </c:pt>
                <c:pt idx="150">
                  <c:v>2.7490088446409864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1.9499106062863438</c:v>
                </c:pt>
                <c:pt idx="156">
                  <c:v>0.4353759783197173</c:v>
                </c:pt>
                <c:pt idx="157">
                  <c:v>-1.8969752270526943</c:v>
                </c:pt>
                <c:pt idx="158">
                  <c:v>-4.3589076120530557</c:v>
                </c:pt>
                <c:pt idx="159">
                  <c:v>-6.8839803504483132</c:v>
                </c:pt>
                <c:pt idx="160">
                  <c:v>-9.445701924974987</c:v>
                </c:pt>
                <c:pt idx="161">
                  <c:v>-12.029847191518842</c:v>
                </c:pt>
                <c:pt idx="162">
                  <c:v>-14.627414945166993</c:v>
                </c:pt>
                <c:pt idx="163">
                  <c:v>-17.232056846141056</c:v>
                </c:pt>
                <c:pt idx="164">
                  <c:v>-19.838932677723623</c:v>
                </c:pt>
                <c:pt idx="165">
                  <c:v>-22.444130304605075</c:v>
                </c:pt>
                <c:pt idx="166">
                  <c:v>-25.044343452319694</c:v>
                </c:pt>
                <c:pt idx="167">
                  <c:v>-27.636679898033758</c:v>
                </c:pt>
                <c:pt idx="168">
                  <c:v>-30.218540957437643</c:v>
                </c:pt>
                <c:pt idx="169">
                  <c:v>-32.78754241013354</c:v>
                </c:pt>
                <c:pt idx="170">
                  <c:v>-35.341460734846422</c:v>
                </c:pt>
                <c:pt idx="171">
                  <c:v>-37.87819545249797</c:v>
                </c:pt>
                <c:pt idx="172">
                  <c:v>-40.395742083457577</c:v>
                </c:pt>
                <c:pt idx="173">
                  <c:v>-42.892172311294814</c:v>
                </c:pt>
                <c:pt idx="174">
                  <c:v>-45.365619169152751</c:v>
                </c:pt>
                <c:pt idx="175">
                  <c:v>-47.814265809250514</c:v>
                </c:pt>
                <c:pt idx="176">
                  <c:v>-50.2363368832779</c:v>
                </c:pt>
                <c:pt idx="177">
                  <c:v>-52.630091862955695</c:v>
                </c:pt>
                <c:pt idx="178">
                  <c:v>-54.993819829410697</c:v>
                </c:pt>
                <c:pt idx="179">
                  <c:v>-57.325835394749546</c:v>
                </c:pt>
                <c:pt idx="180">
                  <c:v>-59.624475512051248</c:v>
                </c:pt>
                <c:pt idx="181">
                  <c:v>-61.888096995078456</c:v>
                </c:pt>
                <c:pt idx="182">
                  <c:v>-64.115074615332276</c:v>
                </c:pt>
                <c:pt idx="183">
                  <c:v>-66.30379967749289</c:v>
                </c:pt>
                <c:pt idx="184">
                  <c:v>-68.452678998667324</c:v>
                </c:pt>
                <c:pt idx="185">
                  <c:v>-70.560134234811926</c:v>
                </c:pt>
                <c:pt idx="186">
                  <c:v>-72.62460151099414</c:v>
                </c:pt>
                <c:pt idx="187">
                  <c:v>-74.644531322041644</c:v>
                </c:pt>
                <c:pt idx="188">
                  <c:v>-76.618388677470904</c:v>
                </c:pt>
                <c:pt idx="189">
                  <c:v>-78.544653470010275</c:v>
                </c:pt>
                <c:pt idx="190">
                  <c:v>-80.421821050989195</c:v>
                </c:pt>
                <c:pt idx="191">
                  <c:v>-82.248402998682764</c:v>
                </c:pt>
                <c:pt idx="192">
                  <c:v>-84.022928067629167</c:v>
                </c:pt>
                <c:pt idx="193">
                  <c:v>-85.743943308162585</c:v>
                </c:pt>
                <c:pt idx="194">
                  <c:v>-87.410015346074147</c:v>
                </c:pt>
                <c:pt idx="195">
                  <c:v>-89.019731812542062</c:v>
                </c:pt>
                <c:pt idx="196">
                  <c:v>-90.571702914357161</c:v>
                </c:pt>
                <c:pt idx="197">
                  <c:v>-92.064563134086512</c:v>
                </c:pt>
                <c:pt idx="198">
                  <c:v>-93.496973049239003</c:v>
                </c:pt>
                <c:pt idx="199">
                  <c:v>-94.867621258778129</c:v>
                </c:pt>
                <c:pt idx="200">
                  <c:v>-96.175226404524849</c:v>
                </c:pt>
                <c:pt idx="201">
                  <c:v>-97.418539274155421</c:v>
                </c:pt>
                <c:pt idx="202">
                  <c:v>-98.596344971669311</c:v>
                </c:pt>
                <c:pt idx="203">
                  <c:v>-99.707465140420894</c:v>
                </c:pt>
                <c:pt idx="204">
                  <c:v>-100.75076022311241</c:v>
                </c:pt>
                <c:pt idx="205">
                  <c:v>-101.72513174256733</c:v>
                </c:pt>
                <c:pt idx="206">
                  <c:v>-102.62952458666661</c:v>
                </c:pt>
                <c:pt idx="207">
                  <c:v>-103.46292928056559</c:v>
                </c:pt>
                <c:pt idx="208">
                  <c:v>-104.22438422922602</c:v>
                </c:pt>
                <c:pt idx="209">
                  <c:v>-104.91297791341526</c:v>
                </c:pt>
                <c:pt idx="210">
                  <c:v>-105.527851022645</c:v>
                </c:pt>
                <c:pt idx="211">
                  <c:v>-106.06819850905003</c:v>
                </c:pt>
                <c:pt idx="212">
                  <c:v>-106.53327154693659</c:v>
                </c:pt>
                <c:pt idx="213">
                  <c:v>-106.92237938365012</c:v>
                </c:pt>
                <c:pt idx="214">
                  <c:v>-107.23489106851224</c:v>
                </c:pt>
                <c:pt idx="215">
                  <c:v>-107.47023704783025</c:v>
                </c:pt>
                <c:pt idx="216">
                  <c:v>-107.62791061537467</c:v>
                </c:pt>
                <c:pt idx="217">
                  <c:v>-107.70746920921601</c:v>
                </c:pt>
                <c:pt idx="218">
                  <c:v>-107.70853554738908</c:v>
                </c:pt>
              </c:numCache>
            </c:numRef>
          </c:xVal>
          <c:yVal>
            <c:numRef>
              <c:f>'5LeverTailRectangle (2)'!$BC$6:$BC$224</c:f>
              <c:numCache>
                <c:formatCode>General</c:formatCode>
                <c:ptCount val="219"/>
                <c:pt idx="23">
                  <c:v>0</c:v>
                </c:pt>
                <c:pt idx="24">
                  <c:v>23.72237899109545</c:v>
                </c:pt>
                <c:pt idx="25">
                  <c:v>60.654567778201482</c:v>
                </c:pt>
                <c:pt idx="26">
                  <c:v>30.481671929076004</c:v>
                </c:pt>
                <c:pt idx="27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'5LeverTailRectangle (2)'!$BD$5</c:f>
              <c:strCache>
                <c:ptCount val="1"/>
                <c:pt idx="0">
                  <c:v>R3</c:v>
                </c:pt>
              </c:strCache>
            </c:strRef>
          </c:tx>
          <c:xVal>
            <c:numRef>
              <c:f>'5LeverTailRectangle (2)'!$AY$6:$AY$224</c:f>
              <c:numCache>
                <c:formatCode>General</c:formatCode>
                <c:ptCount val="219"/>
                <c:pt idx="0">
                  <c:v>25.831728158814009</c:v>
                </c:pt>
                <c:pt idx="1">
                  <c:v>6.2470713789350008</c:v>
                </c:pt>
                <c:pt idx="2">
                  <c:v>-10.476366362152248</c:v>
                </c:pt>
                <c:pt idx="3">
                  <c:v>-25.334503129260767</c:v>
                </c:pt>
                <c:pt idx="4">
                  <c:v>-38.852682394788737</c:v>
                </c:pt>
                <c:pt idx="13">
                  <c:v>-28</c:v>
                </c:pt>
                <c:pt idx="14">
                  <c:v>-20.21679081077513</c:v>
                </c:pt>
                <c:pt idx="15">
                  <c:v>25.831728158814009</c:v>
                </c:pt>
                <c:pt idx="16">
                  <c:v>51.513994255268372</c:v>
                </c:pt>
                <c:pt idx="17">
                  <c:v>28</c:v>
                </c:pt>
                <c:pt idx="18">
                  <c:v>-28</c:v>
                </c:pt>
                <c:pt idx="19">
                  <c:v>-39.008519624966944</c:v>
                </c:pt>
                <c:pt idx="20">
                  <c:v>6.2470713789350008</c:v>
                </c:pt>
                <c:pt idx="21">
                  <c:v>46.114448516120859</c:v>
                </c:pt>
                <c:pt idx="22">
                  <c:v>28</c:v>
                </c:pt>
                <c:pt idx="23">
                  <c:v>-28</c:v>
                </c:pt>
                <c:pt idx="24">
                  <c:v>-49.476702144482829</c:v>
                </c:pt>
                <c:pt idx="25">
                  <c:v>-10.476366362152248</c:v>
                </c:pt>
                <c:pt idx="26">
                  <c:v>37.740003922390386</c:v>
                </c:pt>
                <c:pt idx="27">
                  <c:v>28</c:v>
                </c:pt>
                <c:pt idx="28">
                  <c:v>-28</c:v>
                </c:pt>
                <c:pt idx="29">
                  <c:v>-54.518554557879654</c:v>
                </c:pt>
                <c:pt idx="30">
                  <c:v>-25.334503129260767</c:v>
                </c:pt>
                <c:pt idx="31">
                  <c:v>26.074345174939772</c:v>
                </c:pt>
                <c:pt idx="32">
                  <c:v>28</c:v>
                </c:pt>
                <c:pt idx="33">
                  <c:v>-28</c:v>
                </c:pt>
                <c:pt idx="34">
                  <c:v>-55.662348784867049</c:v>
                </c:pt>
                <c:pt idx="35">
                  <c:v>-38.852682394788737</c:v>
                </c:pt>
                <c:pt idx="80">
                  <c:v>-11.286006599795854</c:v>
                </c:pt>
                <c:pt idx="81">
                  <c:v>70</c:v>
                </c:pt>
                <c:pt idx="82">
                  <c:v>50.151091411687077</c:v>
                </c:pt>
                <c:pt idx="83">
                  <c:v>39.083477722548608</c:v>
                </c:pt>
                <c:pt idx="84">
                  <c:v>9</c:v>
                </c:pt>
                <c:pt idx="85">
                  <c:v>-9</c:v>
                </c:pt>
                <c:pt idx="86">
                  <c:v>-35.05373744672503</c:v>
                </c:pt>
                <c:pt idx="87">
                  <c:v>-70</c:v>
                </c:pt>
                <c:pt idx="88">
                  <c:v>-61.466610306763862</c:v>
                </c:pt>
                <c:pt idx="89">
                  <c:v>2.8488307653754443</c:v>
                </c:pt>
                <c:pt idx="90">
                  <c:v>9</c:v>
                </c:pt>
                <c:pt idx="91">
                  <c:v>109</c:v>
                </c:pt>
                <c:pt idx="92">
                  <c:v>108.96332347734752</c:v>
                </c:pt>
                <c:pt idx="93">
                  <c:v>108.8533167088361</c:v>
                </c:pt>
                <c:pt idx="94">
                  <c:v>108.67004807863076</c:v>
                </c:pt>
                <c:pt idx="95">
                  <c:v>108.41363151310553</c:v>
                </c:pt>
                <c:pt idx="96">
                  <c:v>108.08422641002265</c:v>
                </c:pt>
                <c:pt idx="97">
                  <c:v>107.6820375394453</c:v>
                </c:pt>
                <c:pt idx="98">
                  <c:v>107.20731491644504</c:v>
                </c:pt>
                <c:pt idx="99">
                  <c:v>106.66035364568347</c:v>
                </c:pt>
                <c:pt idx="100">
                  <c:v>106.04149373796464</c:v>
                </c:pt>
                <c:pt idx="101">
                  <c:v>105.351119898872</c:v>
                </c:pt>
                <c:pt idx="102">
                  <c:v>104.58966128962159</c:v>
                </c:pt>
                <c:pt idx="103">
                  <c:v>103.75759126028008</c:v>
                </c:pt>
                <c:pt idx="104">
                  <c:v>102.85542705551322</c:v>
                </c:pt>
                <c:pt idx="105">
                  <c:v>101.88372949304798</c:v>
                </c:pt>
                <c:pt idx="106">
                  <c:v>100.84310261504811</c:v>
                </c:pt>
                <c:pt idx="107">
                  <c:v>99.734193312619794</c:v>
                </c:pt>
                <c:pt idx="108">
                  <c:v>98.557690923680809</c:v>
                </c:pt>
                <c:pt idx="109">
                  <c:v>97.314326804443354</c:v>
                </c:pt>
                <c:pt idx="110">
                  <c:v>96.004873874776649</c:v>
                </c:pt>
                <c:pt idx="111">
                  <c:v>94.630146137732154</c:v>
                </c:pt>
                <c:pt idx="112">
                  <c:v>93.190998173530048</c:v>
                </c:pt>
                <c:pt idx="113">
                  <c:v>91.688324608321324</c:v>
                </c:pt>
                <c:pt idx="114">
                  <c:v>90.123059558056042</c:v>
                </c:pt>
                <c:pt idx="115">
                  <c:v>88.496176047803246</c:v>
                </c:pt>
                <c:pt idx="116">
                  <c:v>86.808685406883541</c:v>
                </c:pt>
                <c:pt idx="117">
                  <c:v>85.061636640190457</c:v>
                </c:pt>
                <c:pt idx="118">
                  <c:v>83.256115776091235</c:v>
                </c:pt>
                <c:pt idx="119">
                  <c:v>81.393245191312488</c:v>
                </c:pt>
                <c:pt idx="120">
                  <c:v>79.474182913230521</c:v>
                </c:pt>
                <c:pt idx="121">
                  <c:v>77.500121899999812</c:v>
                </c:pt>
                <c:pt idx="122">
                  <c:v>75.472289298967283</c:v>
                </c:pt>
                <c:pt idx="123">
                  <c:v>73.391945683833413</c:v>
                </c:pt>
                <c:pt idx="124">
                  <c:v>71.260384271034184</c:v>
                </c:pt>
                <c:pt idx="125">
                  <c:v>69.078930115831355</c:v>
                </c:pt>
                <c:pt idx="126">
                  <c:v>66.84893928861031</c:v>
                </c:pt>
                <c:pt idx="127">
                  <c:v>64.571798031898012</c:v>
                </c:pt>
                <c:pt idx="128">
                  <c:v>62.248921898624673</c:v>
                </c:pt>
                <c:pt idx="129">
                  <c:v>59.881754872165274</c:v>
                </c:pt>
                <c:pt idx="130">
                  <c:v>57.471768468707353</c:v>
                </c:pt>
                <c:pt idx="131">
                  <c:v>55.020460822503807</c:v>
                </c:pt>
                <c:pt idx="132">
                  <c:v>52.529355754578582</c:v>
                </c:pt>
                <c:pt idx="133">
                  <c:v>50.000001825464786</c:v>
                </c:pt>
                <c:pt idx="134">
                  <c:v>47.433971372563768</c:v>
                </c:pt>
                <c:pt idx="135">
                  <c:v>44.832859532723496</c:v>
                </c:pt>
                <c:pt idx="136">
                  <c:v>42.198283250644259</c:v>
                </c:pt>
                <c:pt idx="137">
                  <c:v>39.531880273727573</c:v>
                </c:pt>
                <c:pt idx="138">
                  <c:v>36.835308133993479</c:v>
                </c:pt>
                <c:pt idx="139">
                  <c:v>34.110243117699014</c:v>
                </c:pt>
                <c:pt idx="140">
                  <c:v>31.358379223298492</c:v>
                </c:pt>
                <c:pt idx="141">
                  <c:v>28.581427108392873</c:v>
                </c:pt>
                <c:pt idx="142">
                  <c:v>25.781113026323638</c:v>
                </c:pt>
                <c:pt idx="143">
                  <c:v>22.959177753071529</c:v>
                </c:pt>
                <c:pt idx="144">
                  <c:v>20.117375505127672</c:v>
                </c:pt>
                <c:pt idx="145">
                  <c:v>17.257472849009325</c:v>
                </c:pt>
                <c:pt idx="146">
                  <c:v>14.381247603098693</c:v>
                </c:pt>
                <c:pt idx="147">
                  <c:v>11.4904877324871</c:v>
                </c:pt>
                <c:pt idx="148">
                  <c:v>8.5869902375114009</c:v>
                </c:pt>
                <c:pt idx="149">
                  <c:v>5.6725600366741151</c:v>
                </c:pt>
                <c:pt idx="150">
                  <c:v>2.7490088446409864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1.9499106062863438</c:v>
                </c:pt>
                <c:pt idx="156">
                  <c:v>0.4353759783197173</c:v>
                </c:pt>
                <c:pt idx="157">
                  <c:v>-1.8969752270526943</c:v>
                </c:pt>
                <c:pt idx="158">
                  <c:v>-4.3589076120530557</c:v>
                </c:pt>
                <c:pt idx="159">
                  <c:v>-6.8839803504483132</c:v>
                </c:pt>
                <c:pt idx="160">
                  <c:v>-9.445701924974987</c:v>
                </c:pt>
                <c:pt idx="161">
                  <c:v>-12.029847191518842</c:v>
                </c:pt>
                <c:pt idx="162">
                  <c:v>-14.627414945166993</c:v>
                </c:pt>
                <c:pt idx="163">
                  <c:v>-17.232056846141056</c:v>
                </c:pt>
                <c:pt idx="164">
                  <c:v>-19.838932677723623</c:v>
                </c:pt>
                <c:pt idx="165">
                  <c:v>-22.444130304605075</c:v>
                </c:pt>
                <c:pt idx="166">
                  <c:v>-25.044343452319694</c:v>
                </c:pt>
                <c:pt idx="167">
                  <c:v>-27.636679898033758</c:v>
                </c:pt>
                <c:pt idx="168">
                  <c:v>-30.218540957437643</c:v>
                </c:pt>
                <c:pt idx="169">
                  <c:v>-32.78754241013354</c:v>
                </c:pt>
                <c:pt idx="170">
                  <c:v>-35.341460734846422</c:v>
                </c:pt>
                <c:pt idx="171">
                  <c:v>-37.87819545249797</c:v>
                </c:pt>
                <c:pt idx="172">
                  <c:v>-40.395742083457577</c:v>
                </c:pt>
                <c:pt idx="173">
                  <c:v>-42.892172311294814</c:v>
                </c:pt>
                <c:pt idx="174">
                  <c:v>-45.365619169152751</c:v>
                </c:pt>
                <c:pt idx="175">
                  <c:v>-47.814265809250514</c:v>
                </c:pt>
                <c:pt idx="176">
                  <c:v>-50.2363368832779</c:v>
                </c:pt>
                <c:pt idx="177">
                  <c:v>-52.630091862955695</c:v>
                </c:pt>
                <c:pt idx="178">
                  <c:v>-54.993819829410697</c:v>
                </c:pt>
                <c:pt idx="179">
                  <c:v>-57.325835394749546</c:v>
                </c:pt>
                <c:pt idx="180">
                  <c:v>-59.624475512051248</c:v>
                </c:pt>
                <c:pt idx="181">
                  <c:v>-61.888096995078456</c:v>
                </c:pt>
                <c:pt idx="182">
                  <c:v>-64.115074615332276</c:v>
                </c:pt>
                <c:pt idx="183">
                  <c:v>-66.30379967749289</c:v>
                </c:pt>
                <c:pt idx="184">
                  <c:v>-68.452678998667324</c:v>
                </c:pt>
                <c:pt idx="185">
                  <c:v>-70.560134234811926</c:v>
                </c:pt>
                <c:pt idx="186">
                  <c:v>-72.62460151099414</c:v>
                </c:pt>
                <c:pt idx="187">
                  <c:v>-74.644531322041644</c:v>
                </c:pt>
                <c:pt idx="188">
                  <c:v>-76.618388677470904</c:v>
                </c:pt>
                <c:pt idx="189">
                  <c:v>-78.544653470010275</c:v>
                </c:pt>
                <c:pt idx="190">
                  <c:v>-80.421821050989195</c:v>
                </c:pt>
                <c:pt idx="191">
                  <c:v>-82.248402998682764</c:v>
                </c:pt>
                <c:pt idx="192">
                  <c:v>-84.022928067629167</c:v>
                </c:pt>
                <c:pt idx="193">
                  <c:v>-85.743943308162585</c:v>
                </c:pt>
                <c:pt idx="194">
                  <c:v>-87.410015346074147</c:v>
                </c:pt>
                <c:pt idx="195">
                  <c:v>-89.019731812542062</c:v>
                </c:pt>
                <c:pt idx="196">
                  <c:v>-90.571702914357161</c:v>
                </c:pt>
                <c:pt idx="197">
                  <c:v>-92.064563134086512</c:v>
                </c:pt>
                <c:pt idx="198">
                  <c:v>-93.496973049239003</c:v>
                </c:pt>
                <c:pt idx="199">
                  <c:v>-94.867621258778129</c:v>
                </c:pt>
                <c:pt idx="200">
                  <c:v>-96.175226404524849</c:v>
                </c:pt>
                <c:pt idx="201">
                  <c:v>-97.418539274155421</c:v>
                </c:pt>
                <c:pt idx="202">
                  <c:v>-98.596344971669311</c:v>
                </c:pt>
                <c:pt idx="203">
                  <c:v>-99.707465140420894</c:v>
                </c:pt>
                <c:pt idx="204">
                  <c:v>-100.75076022311241</c:v>
                </c:pt>
                <c:pt idx="205">
                  <c:v>-101.72513174256733</c:v>
                </c:pt>
                <c:pt idx="206">
                  <c:v>-102.62952458666661</c:v>
                </c:pt>
                <c:pt idx="207">
                  <c:v>-103.46292928056559</c:v>
                </c:pt>
                <c:pt idx="208">
                  <c:v>-104.22438422922602</c:v>
                </c:pt>
                <c:pt idx="209">
                  <c:v>-104.91297791341526</c:v>
                </c:pt>
                <c:pt idx="210">
                  <c:v>-105.527851022645</c:v>
                </c:pt>
                <c:pt idx="211">
                  <c:v>-106.06819850905003</c:v>
                </c:pt>
                <c:pt idx="212">
                  <c:v>-106.53327154693659</c:v>
                </c:pt>
                <c:pt idx="213">
                  <c:v>-106.92237938365012</c:v>
                </c:pt>
                <c:pt idx="214">
                  <c:v>-107.23489106851224</c:v>
                </c:pt>
                <c:pt idx="215">
                  <c:v>-107.47023704783025</c:v>
                </c:pt>
                <c:pt idx="216">
                  <c:v>-107.62791061537467</c:v>
                </c:pt>
                <c:pt idx="217">
                  <c:v>-107.70746920921601</c:v>
                </c:pt>
                <c:pt idx="218">
                  <c:v>-107.70853554738908</c:v>
                </c:pt>
              </c:numCache>
            </c:numRef>
          </c:xVal>
          <c:yVal>
            <c:numRef>
              <c:f>'5LeverTailRectangle (2)'!$BD$6:$BD$224</c:f>
              <c:numCache>
                <c:formatCode>General</c:formatCode>
                <c:ptCount val="219"/>
                <c:pt idx="28">
                  <c:v>0</c:v>
                </c:pt>
                <c:pt idx="29">
                  <c:v>17.90994874813326</c:v>
                </c:pt>
                <c:pt idx="30">
                  <c:v>58.656544882186154</c:v>
                </c:pt>
                <c:pt idx="31">
                  <c:v>31.942007662241931</c:v>
                </c:pt>
                <c:pt idx="32">
                  <c:v>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'5LeverTailRectangle (2)'!$BE$5</c:f>
              <c:strCache>
                <c:ptCount val="1"/>
                <c:pt idx="0">
                  <c:v>R4</c:v>
                </c:pt>
              </c:strCache>
            </c:strRef>
          </c:tx>
          <c:xVal>
            <c:numRef>
              <c:f>'5LeverTailRectangle (2)'!$AY$6:$AY$224</c:f>
              <c:numCache>
                <c:formatCode>General</c:formatCode>
                <c:ptCount val="219"/>
                <c:pt idx="0">
                  <c:v>25.831728158814009</c:v>
                </c:pt>
                <c:pt idx="1">
                  <c:v>6.2470713789350008</c:v>
                </c:pt>
                <c:pt idx="2">
                  <c:v>-10.476366362152248</c:v>
                </c:pt>
                <c:pt idx="3">
                  <c:v>-25.334503129260767</c:v>
                </c:pt>
                <c:pt idx="4">
                  <c:v>-38.852682394788737</c:v>
                </c:pt>
                <c:pt idx="13">
                  <c:v>-28</c:v>
                </c:pt>
                <c:pt idx="14">
                  <c:v>-20.21679081077513</c:v>
                </c:pt>
                <c:pt idx="15">
                  <c:v>25.831728158814009</c:v>
                </c:pt>
                <c:pt idx="16">
                  <c:v>51.513994255268372</c:v>
                </c:pt>
                <c:pt idx="17">
                  <c:v>28</c:v>
                </c:pt>
                <c:pt idx="18">
                  <c:v>-28</c:v>
                </c:pt>
                <c:pt idx="19">
                  <c:v>-39.008519624966944</c:v>
                </c:pt>
                <c:pt idx="20">
                  <c:v>6.2470713789350008</c:v>
                </c:pt>
                <c:pt idx="21">
                  <c:v>46.114448516120859</c:v>
                </c:pt>
                <c:pt idx="22">
                  <c:v>28</c:v>
                </c:pt>
                <c:pt idx="23">
                  <c:v>-28</c:v>
                </c:pt>
                <c:pt idx="24">
                  <c:v>-49.476702144482829</c:v>
                </c:pt>
                <c:pt idx="25">
                  <c:v>-10.476366362152248</c:v>
                </c:pt>
                <c:pt idx="26">
                  <c:v>37.740003922390386</c:v>
                </c:pt>
                <c:pt idx="27">
                  <c:v>28</c:v>
                </c:pt>
                <c:pt idx="28">
                  <c:v>-28</c:v>
                </c:pt>
                <c:pt idx="29">
                  <c:v>-54.518554557879654</c:v>
                </c:pt>
                <c:pt idx="30">
                  <c:v>-25.334503129260767</c:v>
                </c:pt>
                <c:pt idx="31">
                  <c:v>26.074345174939772</c:v>
                </c:pt>
                <c:pt idx="32">
                  <c:v>28</c:v>
                </c:pt>
                <c:pt idx="33">
                  <c:v>-28</c:v>
                </c:pt>
                <c:pt idx="34">
                  <c:v>-55.662348784867049</c:v>
                </c:pt>
                <c:pt idx="35">
                  <c:v>-38.852682394788737</c:v>
                </c:pt>
                <c:pt idx="80">
                  <c:v>-11.286006599795854</c:v>
                </c:pt>
                <c:pt idx="81">
                  <c:v>70</c:v>
                </c:pt>
                <c:pt idx="82">
                  <c:v>50.151091411687077</c:v>
                </c:pt>
                <c:pt idx="83">
                  <c:v>39.083477722548608</c:v>
                </c:pt>
                <c:pt idx="84">
                  <c:v>9</c:v>
                </c:pt>
                <c:pt idx="85">
                  <c:v>-9</c:v>
                </c:pt>
                <c:pt idx="86">
                  <c:v>-35.05373744672503</c:v>
                </c:pt>
                <c:pt idx="87">
                  <c:v>-70</c:v>
                </c:pt>
                <c:pt idx="88">
                  <c:v>-61.466610306763862</c:v>
                </c:pt>
                <c:pt idx="89">
                  <c:v>2.8488307653754443</c:v>
                </c:pt>
                <c:pt idx="90">
                  <c:v>9</c:v>
                </c:pt>
                <c:pt idx="91">
                  <c:v>109</c:v>
                </c:pt>
                <c:pt idx="92">
                  <c:v>108.96332347734752</c:v>
                </c:pt>
                <c:pt idx="93">
                  <c:v>108.8533167088361</c:v>
                </c:pt>
                <c:pt idx="94">
                  <c:v>108.67004807863076</c:v>
                </c:pt>
                <c:pt idx="95">
                  <c:v>108.41363151310553</c:v>
                </c:pt>
                <c:pt idx="96">
                  <c:v>108.08422641002265</c:v>
                </c:pt>
                <c:pt idx="97">
                  <c:v>107.6820375394453</c:v>
                </c:pt>
                <c:pt idx="98">
                  <c:v>107.20731491644504</c:v>
                </c:pt>
                <c:pt idx="99">
                  <c:v>106.66035364568347</c:v>
                </c:pt>
                <c:pt idx="100">
                  <c:v>106.04149373796464</c:v>
                </c:pt>
                <c:pt idx="101">
                  <c:v>105.351119898872</c:v>
                </c:pt>
                <c:pt idx="102">
                  <c:v>104.58966128962159</c:v>
                </c:pt>
                <c:pt idx="103">
                  <c:v>103.75759126028008</c:v>
                </c:pt>
                <c:pt idx="104">
                  <c:v>102.85542705551322</c:v>
                </c:pt>
                <c:pt idx="105">
                  <c:v>101.88372949304798</c:v>
                </c:pt>
                <c:pt idx="106">
                  <c:v>100.84310261504811</c:v>
                </c:pt>
                <c:pt idx="107">
                  <c:v>99.734193312619794</c:v>
                </c:pt>
                <c:pt idx="108">
                  <c:v>98.557690923680809</c:v>
                </c:pt>
                <c:pt idx="109">
                  <c:v>97.314326804443354</c:v>
                </c:pt>
                <c:pt idx="110">
                  <c:v>96.004873874776649</c:v>
                </c:pt>
                <c:pt idx="111">
                  <c:v>94.630146137732154</c:v>
                </c:pt>
                <c:pt idx="112">
                  <c:v>93.190998173530048</c:v>
                </c:pt>
                <c:pt idx="113">
                  <c:v>91.688324608321324</c:v>
                </c:pt>
                <c:pt idx="114">
                  <c:v>90.123059558056042</c:v>
                </c:pt>
                <c:pt idx="115">
                  <c:v>88.496176047803246</c:v>
                </c:pt>
                <c:pt idx="116">
                  <c:v>86.808685406883541</c:v>
                </c:pt>
                <c:pt idx="117">
                  <c:v>85.061636640190457</c:v>
                </c:pt>
                <c:pt idx="118">
                  <c:v>83.256115776091235</c:v>
                </c:pt>
                <c:pt idx="119">
                  <c:v>81.393245191312488</c:v>
                </c:pt>
                <c:pt idx="120">
                  <c:v>79.474182913230521</c:v>
                </c:pt>
                <c:pt idx="121">
                  <c:v>77.500121899999812</c:v>
                </c:pt>
                <c:pt idx="122">
                  <c:v>75.472289298967283</c:v>
                </c:pt>
                <c:pt idx="123">
                  <c:v>73.391945683833413</c:v>
                </c:pt>
                <c:pt idx="124">
                  <c:v>71.260384271034184</c:v>
                </c:pt>
                <c:pt idx="125">
                  <c:v>69.078930115831355</c:v>
                </c:pt>
                <c:pt idx="126">
                  <c:v>66.84893928861031</c:v>
                </c:pt>
                <c:pt idx="127">
                  <c:v>64.571798031898012</c:v>
                </c:pt>
                <c:pt idx="128">
                  <c:v>62.248921898624673</c:v>
                </c:pt>
                <c:pt idx="129">
                  <c:v>59.881754872165274</c:v>
                </c:pt>
                <c:pt idx="130">
                  <c:v>57.471768468707353</c:v>
                </c:pt>
                <c:pt idx="131">
                  <c:v>55.020460822503807</c:v>
                </c:pt>
                <c:pt idx="132">
                  <c:v>52.529355754578582</c:v>
                </c:pt>
                <c:pt idx="133">
                  <c:v>50.000001825464786</c:v>
                </c:pt>
                <c:pt idx="134">
                  <c:v>47.433971372563768</c:v>
                </c:pt>
                <c:pt idx="135">
                  <c:v>44.832859532723496</c:v>
                </c:pt>
                <c:pt idx="136">
                  <c:v>42.198283250644259</c:v>
                </c:pt>
                <c:pt idx="137">
                  <c:v>39.531880273727573</c:v>
                </c:pt>
                <c:pt idx="138">
                  <c:v>36.835308133993479</c:v>
                </c:pt>
                <c:pt idx="139">
                  <c:v>34.110243117699014</c:v>
                </c:pt>
                <c:pt idx="140">
                  <c:v>31.358379223298492</c:v>
                </c:pt>
                <c:pt idx="141">
                  <c:v>28.581427108392873</c:v>
                </c:pt>
                <c:pt idx="142">
                  <c:v>25.781113026323638</c:v>
                </c:pt>
                <c:pt idx="143">
                  <c:v>22.959177753071529</c:v>
                </c:pt>
                <c:pt idx="144">
                  <c:v>20.117375505127672</c:v>
                </c:pt>
                <c:pt idx="145">
                  <c:v>17.257472849009325</c:v>
                </c:pt>
                <c:pt idx="146">
                  <c:v>14.381247603098693</c:v>
                </c:pt>
                <c:pt idx="147">
                  <c:v>11.4904877324871</c:v>
                </c:pt>
                <c:pt idx="148">
                  <c:v>8.5869902375114009</c:v>
                </c:pt>
                <c:pt idx="149">
                  <c:v>5.6725600366741151</c:v>
                </c:pt>
                <c:pt idx="150">
                  <c:v>2.7490088446409864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1.9499106062863438</c:v>
                </c:pt>
                <c:pt idx="156">
                  <c:v>0.4353759783197173</c:v>
                </c:pt>
                <c:pt idx="157">
                  <c:v>-1.8969752270526943</c:v>
                </c:pt>
                <c:pt idx="158">
                  <c:v>-4.3589076120530557</c:v>
                </c:pt>
                <c:pt idx="159">
                  <c:v>-6.8839803504483132</c:v>
                </c:pt>
                <c:pt idx="160">
                  <c:v>-9.445701924974987</c:v>
                </c:pt>
                <c:pt idx="161">
                  <c:v>-12.029847191518842</c:v>
                </c:pt>
                <c:pt idx="162">
                  <c:v>-14.627414945166993</c:v>
                </c:pt>
                <c:pt idx="163">
                  <c:v>-17.232056846141056</c:v>
                </c:pt>
                <c:pt idx="164">
                  <c:v>-19.838932677723623</c:v>
                </c:pt>
                <c:pt idx="165">
                  <c:v>-22.444130304605075</c:v>
                </c:pt>
                <c:pt idx="166">
                  <c:v>-25.044343452319694</c:v>
                </c:pt>
                <c:pt idx="167">
                  <c:v>-27.636679898033758</c:v>
                </c:pt>
                <c:pt idx="168">
                  <c:v>-30.218540957437643</c:v>
                </c:pt>
                <c:pt idx="169">
                  <c:v>-32.78754241013354</c:v>
                </c:pt>
                <c:pt idx="170">
                  <c:v>-35.341460734846422</c:v>
                </c:pt>
                <c:pt idx="171">
                  <c:v>-37.87819545249797</c:v>
                </c:pt>
                <c:pt idx="172">
                  <c:v>-40.395742083457577</c:v>
                </c:pt>
                <c:pt idx="173">
                  <c:v>-42.892172311294814</c:v>
                </c:pt>
                <c:pt idx="174">
                  <c:v>-45.365619169152751</c:v>
                </c:pt>
                <c:pt idx="175">
                  <c:v>-47.814265809250514</c:v>
                </c:pt>
                <c:pt idx="176">
                  <c:v>-50.2363368832779</c:v>
                </c:pt>
                <c:pt idx="177">
                  <c:v>-52.630091862955695</c:v>
                </c:pt>
                <c:pt idx="178">
                  <c:v>-54.993819829410697</c:v>
                </c:pt>
                <c:pt idx="179">
                  <c:v>-57.325835394749546</c:v>
                </c:pt>
                <c:pt idx="180">
                  <c:v>-59.624475512051248</c:v>
                </c:pt>
                <c:pt idx="181">
                  <c:v>-61.888096995078456</c:v>
                </c:pt>
                <c:pt idx="182">
                  <c:v>-64.115074615332276</c:v>
                </c:pt>
                <c:pt idx="183">
                  <c:v>-66.30379967749289</c:v>
                </c:pt>
                <c:pt idx="184">
                  <c:v>-68.452678998667324</c:v>
                </c:pt>
                <c:pt idx="185">
                  <c:v>-70.560134234811926</c:v>
                </c:pt>
                <c:pt idx="186">
                  <c:v>-72.62460151099414</c:v>
                </c:pt>
                <c:pt idx="187">
                  <c:v>-74.644531322041644</c:v>
                </c:pt>
                <c:pt idx="188">
                  <c:v>-76.618388677470904</c:v>
                </c:pt>
                <c:pt idx="189">
                  <c:v>-78.544653470010275</c:v>
                </c:pt>
                <c:pt idx="190">
                  <c:v>-80.421821050989195</c:v>
                </c:pt>
                <c:pt idx="191">
                  <c:v>-82.248402998682764</c:v>
                </c:pt>
                <c:pt idx="192">
                  <c:v>-84.022928067629167</c:v>
                </c:pt>
                <c:pt idx="193">
                  <c:v>-85.743943308162585</c:v>
                </c:pt>
                <c:pt idx="194">
                  <c:v>-87.410015346074147</c:v>
                </c:pt>
                <c:pt idx="195">
                  <c:v>-89.019731812542062</c:v>
                </c:pt>
                <c:pt idx="196">
                  <c:v>-90.571702914357161</c:v>
                </c:pt>
                <c:pt idx="197">
                  <c:v>-92.064563134086512</c:v>
                </c:pt>
                <c:pt idx="198">
                  <c:v>-93.496973049239003</c:v>
                </c:pt>
                <c:pt idx="199">
                  <c:v>-94.867621258778129</c:v>
                </c:pt>
                <c:pt idx="200">
                  <c:v>-96.175226404524849</c:v>
                </c:pt>
                <c:pt idx="201">
                  <c:v>-97.418539274155421</c:v>
                </c:pt>
                <c:pt idx="202">
                  <c:v>-98.596344971669311</c:v>
                </c:pt>
                <c:pt idx="203">
                  <c:v>-99.707465140420894</c:v>
                </c:pt>
                <c:pt idx="204">
                  <c:v>-100.75076022311241</c:v>
                </c:pt>
                <c:pt idx="205">
                  <c:v>-101.72513174256733</c:v>
                </c:pt>
                <c:pt idx="206">
                  <c:v>-102.62952458666661</c:v>
                </c:pt>
                <c:pt idx="207">
                  <c:v>-103.46292928056559</c:v>
                </c:pt>
                <c:pt idx="208">
                  <c:v>-104.22438422922602</c:v>
                </c:pt>
                <c:pt idx="209">
                  <c:v>-104.91297791341526</c:v>
                </c:pt>
                <c:pt idx="210">
                  <c:v>-105.527851022645</c:v>
                </c:pt>
                <c:pt idx="211">
                  <c:v>-106.06819850905003</c:v>
                </c:pt>
                <c:pt idx="212">
                  <c:v>-106.53327154693659</c:v>
                </c:pt>
                <c:pt idx="213">
                  <c:v>-106.92237938365012</c:v>
                </c:pt>
                <c:pt idx="214">
                  <c:v>-107.23489106851224</c:v>
                </c:pt>
                <c:pt idx="215">
                  <c:v>-107.47023704783025</c:v>
                </c:pt>
                <c:pt idx="216">
                  <c:v>-107.62791061537467</c:v>
                </c:pt>
                <c:pt idx="217">
                  <c:v>-107.70746920921601</c:v>
                </c:pt>
                <c:pt idx="218">
                  <c:v>-107.70853554738908</c:v>
                </c:pt>
              </c:numCache>
            </c:numRef>
          </c:xVal>
          <c:yVal>
            <c:numRef>
              <c:f>'5LeverTailRectangle (2)'!$BE$6:$BE$224</c:f>
              <c:numCache>
                <c:formatCode>General</c:formatCode>
                <c:ptCount val="219"/>
                <c:pt idx="33">
                  <c:v>0</c:v>
                </c:pt>
                <c:pt idx="34">
                  <c:v>16.087089845723014</c:v>
                </c:pt>
                <c:pt idx="35">
                  <c:v>58.029937134483291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'5LeverTailRectangle (2)'!$BF$5</c:f>
              <c:strCache>
                <c:ptCount val="1"/>
                <c:pt idx="0">
                  <c:v>R5</c:v>
                </c:pt>
              </c:strCache>
            </c:strRef>
          </c:tx>
          <c:xVal>
            <c:numRef>
              <c:f>'5LeverTailRectangle (2)'!$AY$6:$AY$224</c:f>
              <c:numCache>
                <c:formatCode>General</c:formatCode>
                <c:ptCount val="219"/>
                <c:pt idx="0">
                  <c:v>25.831728158814009</c:v>
                </c:pt>
                <c:pt idx="1">
                  <c:v>6.2470713789350008</c:v>
                </c:pt>
                <c:pt idx="2">
                  <c:v>-10.476366362152248</c:v>
                </c:pt>
                <c:pt idx="3">
                  <c:v>-25.334503129260767</c:v>
                </c:pt>
                <c:pt idx="4">
                  <c:v>-38.852682394788737</c:v>
                </c:pt>
                <c:pt idx="13">
                  <c:v>-28</c:v>
                </c:pt>
                <c:pt idx="14">
                  <c:v>-20.21679081077513</c:v>
                </c:pt>
                <c:pt idx="15">
                  <c:v>25.831728158814009</c:v>
                </c:pt>
                <c:pt idx="16">
                  <c:v>51.513994255268372</c:v>
                </c:pt>
                <c:pt idx="17">
                  <c:v>28</c:v>
                </c:pt>
                <c:pt idx="18">
                  <c:v>-28</c:v>
                </c:pt>
                <c:pt idx="19">
                  <c:v>-39.008519624966944</c:v>
                </c:pt>
                <c:pt idx="20">
                  <c:v>6.2470713789350008</c:v>
                </c:pt>
                <c:pt idx="21">
                  <c:v>46.114448516120859</c:v>
                </c:pt>
                <c:pt idx="22">
                  <c:v>28</c:v>
                </c:pt>
                <c:pt idx="23">
                  <c:v>-28</c:v>
                </c:pt>
                <c:pt idx="24">
                  <c:v>-49.476702144482829</c:v>
                </c:pt>
                <c:pt idx="25">
                  <c:v>-10.476366362152248</c:v>
                </c:pt>
                <c:pt idx="26">
                  <c:v>37.740003922390386</c:v>
                </c:pt>
                <c:pt idx="27">
                  <c:v>28</c:v>
                </c:pt>
                <c:pt idx="28">
                  <c:v>-28</c:v>
                </c:pt>
                <c:pt idx="29">
                  <c:v>-54.518554557879654</c:v>
                </c:pt>
                <c:pt idx="30">
                  <c:v>-25.334503129260767</c:v>
                </c:pt>
                <c:pt idx="31">
                  <c:v>26.074345174939772</c:v>
                </c:pt>
                <c:pt idx="32">
                  <c:v>28</c:v>
                </c:pt>
                <c:pt idx="33">
                  <c:v>-28</c:v>
                </c:pt>
                <c:pt idx="34">
                  <c:v>-55.662348784867049</c:v>
                </c:pt>
                <c:pt idx="35">
                  <c:v>-38.852682394788737</c:v>
                </c:pt>
                <c:pt idx="80">
                  <c:v>-11.286006599795854</c:v>
                </c:pt>
                <c:pt idx="81">
                  <c:v>70</c:v>
                </c:pt>
                <c:pt idx="82">
                  <c:v>50.151091411687077</c:v>
                </c:pt>
                <c:pt idx="83">
                  <c:v>39.083477722548608</c:v>
                </c:pt>
                <c:pt idx="84">
                  <c:v>9</c:v>
                </c:pt>
                <c:pt idx="85">
                  <c:v>-9</c:v>
                </c:pt>
                <c:pt idx="86">
                  <c:v>-35.05373744672503</c:v>
                </c:pt>
                <c:pt idx="87">
                  <c:v>-70</c:v>
                </c:pt>
                <c:pt idx="88">
                  <c:v>-61.466610306763862</c:v>
                </c:pt>
                <c:pt idx="89">
                  <c:v>2.8488307653754443</c:v>
                </c:pt>
                <c:pt idx="90">
                  <c:v>9</c:v>
                </c:pt>
                <c:pt idx="91">
                  <c:v>109</c:v>
                </c:pt>
                <c:pt idx="92">
                  <c:v>108.96332347734752</c:v>
                </c:pt>
                <c:pt idx="93">
                  <c:v>108.8533167088361</c:v>
                </c:pt>
                <c:pt idx="94">
                  <c:v>108.67004807863076</c:v>
                </c:pt>
                <c:pt idx="95">
                  <c:v>108.41363151310553</c:v>
                </c:pt>
                <c:pt idx="96">
                  <c:v>108.08422641002265</c:v>
                </c:pt>
                <c:pt idx="97">
                  <c:v>107.6820375394453</c:v>
                </c:pt>
                <c:pt idx="98">
                  <c:v>107.20731491644504</c:v>
                </c:pt>
                <c:pt idx="99">
                  <c:v>106.66035364568347</c:v>
                </c:pt>
                <c:pt idx="100">
                  <c:v>106.04149373796464</c:v>
                </c:pt>
                <c:pt idx="101">
                  <c:v>105.351119898872</c:v>
                </c:pt>
                <c:pt idx="102">
                  <c:v>104.58966128962159</c:v>
                </c:pt>
                <c:pt idx="103">
                  <c:v>103.75759126028008</c:v>
                </c:pt>
                <c:pt idx="104">
                  <c:v>102.85542705551322</c:v>
                </c:pt>
                <c:pt idx="105">
                  <c:v>101.88372949304798</c:v>
                </c:pt>
                <c:pt idx="106">
                  <c:v>100.84310261504811</c:v>
                </c:pt>
                <c:pt idx="107">
                  <c:v>99.734193312619794</c:v>
                </c:pt>
                <c:pt idx="108">
                  <c:v>98.557690923680809</c:v>
                </c:pt>
                <c:pt idx="109">
                  <c:v>97.314326804443354</c:v>
                </c:pt>
                <c:pt idx="110">
                  <c:v>96.004873874776649</c:v>
                </c:pt>
                <c:pt idx="111">
                  <c:v>94.630146137732154</c:v>
                </c:pt>
                <c:pt idx="112">
                  <c:v>93.190998173530048</c:v>
                </c:pt>
                <c:pt idx="113">
                  <c:v>91.688324608321324</c:v>
                </c:pt>
                <c:pt idx="114">
                  <c:v>90.123059558056042</c:v>
                </c:pt>
                <c:pt idx="115">
                  <c:v>88.496176047803246</c:v>
                </c:pt>
                <c:pt idx="116">
                  <c:v>86.808685406883541</c:v>
                </c:pt>
                <c:pt idx="117">
                  <c:v>85.061636640190457</c:v>
                </c:pt>
                <c:pt idx="118">
                  <c:v>83.256115776091235</c:v>
                </c:pt>
                <c:pt idx="119">
                  <c:v>81.393245191312488</c:v>
                </c:pt>
                <c:pt idx="120">
                  <c:v>79.474182913230521</c:v>
                </c:pt>
                <c:pt idx="121">
                  <c:v>77.500121899999812</c:v>
                </c:pt>
                <c:pt idx="122">
                  <c:v>75.472289298967283</c:v>
                </c:pt>
                <c:pt idx="123">
                  <c:v>73.391945683833413</c:v>
                </c:pt>
                <c:pt idx="124">
                  <c:v>71.260384271034184</c:v>
                </c:pt>
                <c:pt idx="125">
                  <c:v>69.078930115831355</c:v>
                </c:pt>
                <c:pt idx="126">
                  <c:v>66.84893928861031</c:v>
                </c:pt>
                <c:pt idx="127">
                  <c:v>64.571798031898012</c:v>
                </c:pt>
                <c:pt idx="128">
                  <c:v>62.248921898624673</c:v>
                </c:pt>
                <c:pt idx="129">
                  <c:v>59.881754872165274</c:v>
                </c:pt>
                <c:pt idx="130">
                  <c:v>57.471768468707353</c:v>
                </c:pt>
                <c:pt idx="131">
                  <c:v>55.020460822503807</c:v>
                </c:pt>
                <c:pt idx="132">
                  <c:v>52.529355754578582</c:v>
                </c:pt>
                <c:pt idx="133">
                  <c:v>50.000001825464786</c:v>
                </c:pt>
                <c:pt idx="134">
                  <c:v>47.433971372563768</c:v>
                </c:pt>
                <c:pt idx="135">
                  <c:v>44.832859532723496</c:v>
                </c:pt>
                <c:pt idx="136">
                  <c:v>42.198283250644259</c:v>
                </c:pt>
                <c:pt idx="137">
                  <c:v>39.531880273727573</c:v>
                </c:pt>
                <c:pt idx="138">
                  <c:v>36.835308133993479</c:v>
                </c:pt>
                <c:pt idx="139">
                  <c:v>34.110243117699014</c:v>
                </c:pt>
                <c:pt idx="140">
                  <c:v>31.358379223298492</c:v>
                </c:pt>
                <c:pt idx="141">
                  <c:v>28.581427108392873</c:v>
                </c:pt>
                <c:pt idx="142">
                  <c:v>25.781113026323638</c:v>
                </c:pt>
                <c:pt idx="143">
                  <c:v>22.959177753071529</c:v>
                </c:pt>
                <c:pt idx="144">
                  <c:v>20.117375505127672</c:v>
                </c:pt>
                <c:pt idx="145">
                  <c:v>17.257472849009325</c:v>
                </c:pt>
                <c:pt idx="146">
                  <c:v>14.381247603098693</c:v>
                </c:pt>
                <c:pt idx="147">
                  <c:v>11.4904877324871</c:v>
                </c:pt>
                <c:pt idx="148">
                  <c:v>8.5869902375114009</c:v>
                </c:pt>
                <c:pt idx="149">
                  <c:v>5.6725600366741151</c:v>
                </c:pt>
                <c:pt idx="150">
                  <c:v>2.7490088446409864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1.9499106062863438</c:v>
                </c:pt>
                <c:pt idx="156">
                  <c:v>0.4353759783197173</c:v>
                </c:pt>
                <c:pt idx="157">
                  <c:v>-1.8969752270526943</c:v>
                </c:pt>
                <c:pt idx="158">
                  <c:v>-4.3589076120530557</c:v>
                </c:pt>
                <c:pt idx="159">
                  <c:v>-6.8839803504483132</c:v>
                </c:pt>
                <c:pt idx="160">
                  <c:v>-9.445701924974987</c:v>
                </c:pt>
                <c:pt idx="161">
                  <c:v>-12.029847191518842</c:v>
                </c:pt>
                <c:pt idx="162">
                  <c:v>-14.627414945166993</c:v>
                </c:pt>
                <c:pt idx="163">
                  <c:v>-17.232056846141056</c:v>
                </c:pt>
                <c:pt idx="164">
                  <c:v>-19.838932677723623</c:v>
                </c:pt>
                <c:pt idx="165">
                  <c:v>-22.444130304605075</c:v>
                </c:pt>
                <c:pt idx="166">
                  <c:v>-25.044343452319694</c:v>
                </c:pt>
                <c:pt idx="167">
                  <c:v>-27.636679898033758</c:v>
                </c:pt>
                <c:pt idx="168">
                  <c:v>-30.218540957437643</c:v>
                </c:pt>
                <c:pt idx="169">
                  <c:v>-32.78754241013354</c:v>
                </c:pt>
                <c:pt idx="170">
                  <c:v>-35.341460734846422</c:v>
                </c:pt>
                <c:pt idx="171">
                  <c:v>-37.87819545249797</c:v>
                </c:pt>
                <c:pt idx="172">
                  <c:v>-40.395742083457577</c:v>
                </c:pt>
                <c:pt idx="173">
                  <c:v>-42.892172311294814</c:v>
                </c:pt>
                <c:pt idx="174">
                  <c:v>-45.365619169152751</c:v>
                </c:pt>
                <c:pt idx="175">
                  <c:v>-47.814265809250514</c:v>
                </c:pt>
                <c:pt idx="176">
                  <c:v>-50.2363368832779</c:v>
                </c:pt>
                <c:pt idx="177">
                  <c:v>-52.630091862955695</c:v>
                </c:pt>
                <c:pt idx="178">
                  <c:v>-54.993819829410697</c:v>
                </c:pt>
                <c:pt idx="179">
                  <c:v>-57.325835394749546</c:v>
                </c:pt>
                <c:pt idx="180">
                  <c:v>-59.624475512051248</c:v>
                </c:pt>
                <c:pt idx="181">
                  <c:v>-61.888096995078456</c:v>
                </c:pt>
                <c:pt idx="182">
                  <c:v>-64.115074615332276</c:v>
                </c:pt>
                <c:pt idx="183">
                  <c:v>-66.30379967749289</c:v>
                </c:pt>
                <c:pt idx="184">
                  <c:v>-68.452678998667324</c:v>
                </c:pt>
                <c:pt idx="185">
                  <c:v>-70.560134234811926</c:v>
                </c:pt>
                <c:pt idx="186">
                  <c:v>-72.62460151099414</c:v>
                </c:pt>
                <c:pt idx="187">
                  <c:v>-74.644531322041644</c:v>
                </c:pt>
                <c:pt idx="188">
                  <c:v>-76.618388677470904</c:v>
                </c:pt>
                <c:pt idx="189">
                  <c:v>-78.544653470010275</c:v>
                </c:pt>
                <c:pt idx="190">
                  <c:v>-80.421821050989195</c:v>
                </c:pt>
                <c:pt idx="191">
                  <c:v>-82.248402998682764</c:v>
                </c:pt>
                <c:pt idx="192">
                  <c:v>-84.022928067629167</c:v>
                </c:pt>
                <c:pt idx="193">
                  <c:v>-85.743943308162585</c:v>
                </c:pt>
                <c:pt idx="194">
                  <c:v>-87.410015346074147</c:v>
                </c:pt>
                <c:pt idx="195">
                  <c:v>-89.019731812542062</c:v>
                </c:pt>
                <c:pt idx="196">
                  <c:v>-90.571702914357161</c:v>
                </c:pt>
                <c:pt idx="197">
                  <c:v>-92.064563134086512</c:v>
                </c:pt>
                <c:pt idx="198">
                  <c:v>-93.496973049239003</c:v>
                </c:pt>
                <c:pt idx="199">
                  <c:v>-94.867621258778129</c:v>
                </c:pt>
                <c:pt idx="200">
                  <c:v>-96.175226404524849</c:v>
                </c:pt>
                <c:pt idx="201">
                  <c:v>-97.418539274155421</c:v>
                </c:pt>
                <c:pt idx="202">
                  <c:v>-98.596344971669311</c:v>
                </c:pt>
                <c:pt idx="203">
                  <c:v>-99.707465140420894</c:v>
                </c:pt>
                <c:pt idx="204">
                  <c:v>-100.75076022311241</c:v>
                </c:pt>
                <c:pt idx="205">
                  <c:v>-101.72513174256733</c:v>
                </c:pt>
                <c:pt idx="206">
                  <c:v>-102.62952458666661</c:v>
                </c:pt>
                <c:pt idx="207">
                  <c:v>-103.46292928056559</c:v>
                </c:pt>
                <c:pt idx="208">
                  <c:v>-104.22438422922602</c:v>
                </c:pt>
                <c:pt idx="209">
                  <c:v>-104.91297791341526</c:v>
                </c:pt>
                <c:pt idx="210">
                  <c:v>-105.527851022645</c:v>
                </c:pt>
                <c:pt idx="211">
                  <c:v>-106.06819850905003</c:v>
                </c:pt>
                <c:pt idx="212">
                  <c:v>-106.53327154693659</c:v>
                </c:pt>
                <c:pt idx="213">
                  <c:v>-106.92237938365012</c:v>
                </c:pt>
                <c:pt idx="214">
                  <c:v>-107.23489106851224</c:v>
                </c:pt>
                <c:pt idx="215">
                  <c:v>-107.47023704783025</c:v>
                </c:pt>
                <c:pt idx="216">
                  <c:v>-107.62791061537467</c:v>
                </c:pt>
                <c:pt idx="217">
                  <c:v>-107.70746920921601</c:v>
                </c:pt>
                <c:pt idx="218">
                  <c:v>-107.70853554738908</c:v>
                </c:pt>
              </c:numCache>
            </c:numRef>
          </c:xVal>
          <c:yVal>
            <c:numRef>
              <c:f>'5LeverTailRectangle (2)'!$BF$6:$BF$224</c:f>
              <c:numCache>
                <c:formatCode>General</c:formatCode>
                <c:ptCount val="219"/>
              </c:numCache>
            </c:numRef>
          </c:yVal>
          <c:smooth val="0"/>
        </c:ser>
        <c:ser>
          <c:idx val="7"/>
          <c:order val="7"/>
          <c:tx>
            <c:strRef>
              <c:f>'5LeverTailRectangle (2)'!$BG$5</c:f>
              <c:strCache>
                <c:ptCount val="1"/>
                <c:pt idx="0">
                  <c:v>R6</c:v>
                </c:pt>
              </c:strCache>
            </c:strRef>
          </c:tx>
          <c:xVal>
            <c:numRef>
              <c:f>'5LeverTailRectangle (2)'!$AY$6:$AY$224</c:f>
              <c:numCache>
                <c:formatCode>General</c:formatCode>
                <c:ptCount val="219"/>
                <c:pt idx="0">
                  <c:v>25.831728158814009</c:v>
                </c:pt>
                <c:pt idx="1">
                  <c:v>6.2470713789350008</c:v>
                </c:pt>
                <c:pt idx="2">
                  <c:v>-10.476366362152248</c:v>
                </c:pt>
                <c:pt idx="3">
                  <c:v>-25.334503129260767</c:v>
                </c:pt>
                <c:pt idx="4">
                  <c:v>-38.852682394788737</c:v>
                </c:pt>
                <c:pt idx="13">
                  <c:v>-28</c:v>
                </c:pt>
                <c:pt idx="14">
                  <c:v>-20.21679081077513</c:v>
                </c:pt>
                <c:pt idx="15">
                  <c:v>25.831728158814009</c:v>
                </c:pt>
                <c:pt idx="16">
                  <c:v>51.513994255268372</c:v>
                </c:pt>
                <c:pt idx="17">
                  <c:v>28</c:v>
                </c:pt>
                <c:pt idx="18">
                  <c:v>-28</c:v>
                </c:pt>
                <c:pt idx="19">
                  <c:v>-39.008519624966944</c:v>
                </c:pt>
                <c:pt idx="20">
                  <c:v>6.2470713789350008</c:v>
                </c:pt>
                <c:pt idx="21">
                  <c:v>46.114448516120859</c:v>
                </c:pt>
                <c:pt idx="22">
                  <c:v>28</c:v>
                </c:pt>
                <c:pt idx="23">
                  <c:v>-28</c:v>
                </c:pt>
                <c:pt idx="24">
                  <c:v>-49.476702144482829</c:v>
                </c:pt>
                <c:pt idx="25">
                  <c:v>-10.476366362152248</c:v>
                </c:pt>
                <c:pt idx="26">
                  <c:v>37.740003922390386</c:v>
                </c:pt>
                <c:pt idx="27">
                  <c:v>28</c:v>
                </c:pt>
                <c:pt idx="28">
                  <c:v>-28</c:v>
                </c:pt>
                <c:pt idx="29">
                  <c:v>-54.518554557879654</c:v>
                </c:pt>
                <c:pt idx="30">
                  <c:v>-25.334503129260767</c:v>
                </c:pt>
                <c:pt idx="31">
                  <c:v>26.074345174939772</c:v>
                </c:pt>
                <c:pt idx="32">
                  <c:v>28</c:v>
                </c:pt>
                <c:pt idx="33">
                  <c:v>-28</c:v>
                </c:pt>
                <c:pt idx="34">
                  <c:v>-55.662348784867049</c:v>
                </c:pt>
                <c:pt idx="35">
                  <c:v>-38.852682394788737</c:v>
                </c:pt>
                <c:pt idx="80">
                  <c:v>-11.286006599795854</c:v>
                </c:pt>
                <c:pt idx="81">
                  <c:v>70</c:v>
                </c:pt>
                <c:pt idx="82">
                  <c:v>50.151091411687077</c:v>
                </c:pt>
                <c:pt idx="83">
                  <c:v>39.083477722548608</c:v>
                </c:pt>
                <c:pt idx="84">
                  <c:v>9</c:v>
                </c:pt>
                <c:pt idx="85">
                  <c:v>-9</c:v>
                </c:pt>
                <c:pt idx="86">
                  <c:v>-35.05373744672503</c:v>
                </c:pt>
                <c:pt idx="87">
                  <c:v>-70</c:v>
                </c:pt>
                <c:pt idx="88">
                  <c:v>-61.466610306763862</c:v>
                </c:pt>
                <c:pt idx="89">
                  <c:v>2.8488307653754443</c:v>
                </c:pt>
                <c:pt idx="90">
                  <c:v>9</c:v>
                </c:pt>
                <c:pt idx="91">
                  <c:v>109</c:v>
                </c:pt>
                <c:pt idx="92">
                  <c:v>108.96332347734752</c:v>
                </c:pt>
                <c:pt idx="93">
                  <c:v>108.8533167088361</c:v>
                </c:pt>
                <c:pt idx="94">
                  <c:v>108.67004807863076</c:v>
                </c:pt>
                <c:pt idx="95">
                  <c:v>108.41363151310553</c:v>
                </c:pt>
                <c:pt idx="96">
                  <c:v>108.08422641002265</c:v>
                </c:pt>
                <c:pt idx="97">
                  <c:v>107.6820375394453</c:v>
                </c:pt>
                <c:pt idx="98">
                  <c:v>107.20731491644504</c:v>
                </c:pt>
                <c:pt idx="99">
                  <c:v>106.66035364568347</c:v>
                </c:pt>
                <c:pt idx="100">
                  <c:v>106.04149373796464</c:v>
                </c:pt>
                <c:pt idx="101">
                  <c:v>105.351119898872</c:v>
                </c:pt>
                <c:pt idx="102">
                  <c:v>104.58966128962159</c:v>
                </c:pt>
                <c:pt idx="103">
                  <c:v>103.75759126028008</c:v>
                </c:pt>
                <c:pt idx="104">
                  <c:v>102.85542705551322</c:v>
                </c:pt>
                <c:pt idx="105">
                  <c:v>101.88372949304798</c:v>
                </c:pt>
                <c:pt idx="106">
                  <c:v>100.84310261504811</c:v>
                </c:pt>
                <c:pt idx="107">
                  <c:v>99.734193312619794</c:v>
                </c:pt>
                <c:pt idx="108">
                  <c:v>98.557690923680809</c:v>
                </c:pt>
                <c:pt idx="109">
                  <c:v>97.314326804443354</c:v>
                </c:pt>
                <c:pt idx="110">
                  <c:v>96.004873874776649</c:v>
                </c:pt>
                <c:pt idx="111">
                  <c:v>94.630146137732154</c:v>
                </c:pt>
                <c:pt idx="112">
                  <c:v>93.190998173530048</c:v>
                </c:pt>
                <c:pt idx="113">
                  <c:v>91.688324608321324</c:v>
                </c:pt>
                <c:pt idx="114">
                  <c:v>90.123059558056042</c:v>
                </c:pt>
                <c:pt idx="115">
                  <c:v>88.496176047803246</c:v>
                </c:pt>
                <c:pt idx="116">
                  <c:v>86.808685406883541</c:v>
                </c:pt>
                <c:pt idx="117">
                  <c:v>85.061636640190457</c:v>
                </c:pt>
                <c:pt idx="118">
                  <c:v>83.256115776091235</c:v>
                </c:pt>
                <c:pt idx="119">
                  <c:v>81.393245191312488</c:v>
                </c:pt>
                <c:pt idx="120">
                  <c:v>79.474182913230521</c:v>
                </c:pt>
                <c:pt idx="121">
                  <c:v>77.500121899999812</c:v>
                </c:pt>
                <c:pt idx="122">
                  <c:v>75.472289298967283</c:v>
                </c:pt>
                <c:pt idx="123">
                  <c:v>73.391945683833413</c:v>
                </c:pt>
                <c:pt idx="124">
                  <c:v>71.260384271034184</c:v>
                </c:pt>
                <c:pt idx="125">
                  <c:v>69.078930115831355</c:v>
                </c:pt>
                <c:pt idx="126">
                  <c:v>66.84893928861031</c:v>
                </c:pt>
                <c:pt idx="127">
                  <c:v>64.571798031898012</c:v>
                </c:pt>
                <c:pt idx="128">
                  <c:v>62.248921898624673</c:v>
                </c:pt>
                <c:pt idx="129">
                  <c:v>59.881754872165274</c:v>
                </c:pt>
                <c:pt idx="130">
                  <c:v>57.471768468707353</c:v>
                </c:pt>
                <c:pt idx="131">
                  <c:v>55.020460822503807</c:v>
                </c:pt>
                <c:pt idx="132">
                  <c:v>52.529355754578582</c:v>
                </c:pt>
                <c:pt idx="133">
                  <c:v>50.000001825464786</c:v>
                </c:pt>
                <c:pt idx="134">
                  <c:v>47.433971372563768</c:v>
                </c:pt>
                <c:pt idx="135">
                  <c:v>44.832859532723496</c:v>
                </c:pt>
                <c:pt idx="136">
                  <c:v>42.198283250644259</c:v>
                </c:pt>
                <c:pt idx="137">
                  <c:v>39.531880273727573</c:v>
                </c:pt>
                <c:pt idx="138">
                  <c:v>36.835308133993479</c:v>
                </c:pt>
                <c:pt idx="139">
                  <c:v>34.110243117699014</c:v>
                </c:pt>
                <c:pt idx="140">
                  <c:v>31.358379223298492</c:v>
                </c:pt>
                <c:pt idx="141">
                  <c:v>28.581427108392873</c:v>
                </c:pt>
                <c:pt idx="142">
                  <c:v>25.781113026323638</c:v>
                </c:pt>
                <c:pt idx="143">
                  <c:v>22.959177753071529</c:v>
                </c:pt>
                <c:pt idx="144">
                  <c:v>20.117375505127672</c:v>
                </c:pt>
                <c:pt idx="145">
                  <c:v>17.257472849009325</c:v>
                </c:pt>
                <c:pt idx="146">
                  <c:v>14.381247603098693</c:v>
                </c:pt>
                <c:pt idx="147">
                  <c:v>11.4904877324871</c:v>
                </c:pt>
                <c:pt idx="148">
                  <c:v>8.5869902375114009</c:v>
                </c:pt>
                <c:pt idx="149">
                  <c:v>5.6725600366741151</c:v>
                </c:pt>
                <c:pt idx="150">
                  <c:v>2.7490088446409864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1.9499106062863438</c:v>
                </c:pt>
                <c:pt idx="156">
                  <c:v>0.4353759783197173</c:v>
                </c:pt>
                <c:pt idx="157">
                  <c:v>-1.8969752270526943</c:v>
                </c:pt>
                <c:pt idx="158">
                  <c:v>-4.3589076120530557</c:v>
                </c:pt>
                <c:pt idx="159">
                  <c:v>-6.8839803504483132</c:v>
                </c:pt>
                <c:pt idx="160">
                  <c:v>-9.445701924974987</c:v>
                </c:pt>
                <c:pt idx="161">
                  <c:v>-12.029847191518842</c:v>
                </c:pt>
                <c:pt idx="162">
                  <c:v>-14.627414945166993</c:v>
                </c:pt>
                <c:pt idx="163">
                  <c:v>-17.232056846141056</c:v>
                </c:pt>
                <c:pt idx="164">
                  <c:v>-19.838932677723623</c:v>
                </c:pt>
                <c:pt idx="165">
                  <c:v>-22.444130304605075</c:v>
                </c:pt>
                <c:pt idx="166">
                  <c:v>-25.044343452319694</c:v>
                </c:pt>
                <c:pt idx="167">
                  <c:v>-27.636679898033758</c:v>
                </c:pt>
                <c:pt idx="168">
                  <c:v>-30.218540957437643</c:v>
                </c:pt>
                <c:pt idx="169">
                  <c:v>-32.78754241013354</c:v>
                </c:pt>
                <c:pt idx="170">
                  <c:v>-35.341460734846422</c:v>
                </c:pt>
                <c:pt idx="171">
                  <c:v>-37.87819545249797</c:v>
                </c:pt>
                <c:pt idx="172">
                  <c:v>-40.395742083457577</c:v>
                </c:pt>
                <c:pt idx="173">
                  <c:v>-42.892172311294814</c:v>
                </c:pt>
                <c:pt idx="174">
                  <c:v>-45.365619169152751</c:v>
                </c:pt>
                <c:pt idx="175">
                  <c:v>-47.814265809250514</c:v>
                </c:pt>
                <c:pt idx="176">
                  <c:v>-50.2363368832779</c:v>
                </c:pt>
                <c:pt idx="177">
                  <c:v>-52.630091862955695</c:v>
                </c:pt>
                <c:pt idx="178">
                  <c:v>-54.993819829410697</c:v>
                </c:pt>
                <c:pt idx="179">
                  <c:v>-57.325835394749546</c:v>
                </c:pt>
                <c:pt idx="180">
                  <c:v>-59.624475512051248</c:v>
                </c:pt>
                <c:pt idx="181">
                  <c:v>-61.888096995078456</c:v>
                </c:pt>
                <c:pt idx="182">
                  <c:v>-64.115074615332276</c:v>
                </c:pt>
                <c:pt idx="183">
                  <c:v>-66.30379967749289</c:v>
                </c:pt>
                <c:pt idx="184">
                  <c:v>-68.452678998667324</c:v>
                </c:pt>
                <c:pt idx="185">
                  <c:v>-70.560134234811926</c:v>
                </c:pt>
                <c:pt idx="186">
                  <c:v>-72.62460151099414</c:v>
                </c:pt>
                <c:pt idx="187">
                  <c:v>-74.644531322041644</c:v>
                </c:pt>
                <c:pt idx="188">
                  <c:v>-76.618388677470904</c:v>
                </c:pt>
                <c:pt idx="189">
                  <c:v>-78.544653470010275</c:v>
                </c:pt>
                <c:pt idx="190">
                  <c:v>-80.421821050989195</c:v>
                </c:pt>
                <c:pt idx="191">
                  <c:v>-82.248402998682764</c:v>
                </c:pt>
                <c:pt idx="192">
                  <c:v>-84.022928067629167</c:v>
                </c:pt>
                <c:pt idx="193">
                  <c:v>-85.743943308162585</c:v>
                </c:pt>
                <c:pt idx="194">
                  <c:v>-87.410015346074147</c:v>
                </c:pt>
                <c:pt idx="195">
                  <c:v>-89.019731812542062</c:v>
                </c:pt>
                <c:pt idx="196">
                  <c:v>-90.571702914357161</c:v>
                </c:pt>
                <c:pt idx="197">
                  <c:v>-92.064563134086512</c:v>
                </c:pt>
                <c:pt idx="198">
                  <c:v>-93.496973049239003</c:v>
                </c:pt>
                <c:pt idx="199">
                  <c:v>-94.867621258778129</c:v>
                </c:pt>
                <c:pt idx="200">
                  <c:v>-96.175226404524849</c:v>
                </c:pt>
                <c:pt idx="201">
                  <c:v>-97.418539274155421</c:v>
                </c:pt>
                <c:pt idx="202">
                  <c:v>-98.596344971669311</c:v>
                </c:pt>
                <c:pt idx="203">
                  <c:v>-99.707465140420894</c:v>
                </c:pt>
                <c:pt idx="204">
                  <c:v>-100.75076022311241</c:v>
                </c:pt>
                <c:pt idx="205">
                  <c:v>-101.72513174256733</c:v>
                </c:pt>
                <c:pt idx="206">
                  <c:v>-102.62952458666661</c:v>
                </c:pt>
                <c:pt idx="207">
                  <c:v>-103.46292928056559</c:v>
                </c:pt>
                <c:pt idx="208">
                  <c:v>-104.22438422922602</c:v>
                </c:pt>
                <c:pt idx="209">
                  <c:v>-104.91297791341526</c:v>
                </c:pt>
                <c:pt idx="210">
                  <c:v>-105.527851022645</c:v>
                </c:pt>
                <c:pt idx="211">
                  <c:v>-106.06819850905003</c:v>
                </c:pt>
                <c:pt idx="212">
                  <c:v>-106.53327154693659</c:v>
                </c:pt>
                <c:pt idx="213">
                  <c:v>-106.92237938365012</c:v>
                </c:pt>
                <c:pt idx="214">
                  <c:v>-107.23489106851224</c:v>
                </c:pt>
                <c:pt idx="215">
                  <c:v>-107.47023704783025</c:v>
                </c:pt>
                <c:pt idx="216">
                  <c:v>-107.62791061537467</c:v>
                </c:pt>
                <c:pt idx="217">
                  <c:v>-107.70746920921601</c:v>
                </c:pt>
                <c:pt idx="218">
                  <c:v>-107.70853554738908</c:v>
                </c:pt>
              </c:numCache>
            </c:numRef>
          </c:xVal>
          <c:yVal>
            <c:numRef>
              <c:f>'5LeverTailRectangle (2)'!$BG$6:$BG$224</c:f>
              <c:numCache>
                <c:formatCode>General</c:formatCode>
                <c:ptCount val="219"/>
              </c:numCache>
            </c:numRef>
          </c:yVal>
          <c:smooth val="0"/>
        </c:ser>
        <c:ser>
          <c:idx val="8"/>
          <c:order val="8"/>
          <c:tx>
            <c:strRef>
              <c:f>'5LeverTailRectangle (2)'!$BH$5</c:f>
              <c:strCache>
                <c:ptCount val="1"/>
                <c:pt idx="0">
                  <c:v>R7</c:v>
                </c:pt>
              </c:strCache>
            </c:strRef>
          </c:tx>
          <c:xVal>
            <c:numRef>
              <c:f>'5LeverTailRectangle (2)'!$AY$6:$AY$224</c:f>
              <c:numCache>
                <c:formatCode>General</c:formatCode>
                <c:ptCount val="219"/>
                <c:pt idx="0">
                  <c:v>25.831728158814009</c:v>
                </c:pt>
                <c:pt idx="1">
                  <c:v>6.2470713789350008</c:v>
                </c:pt>
                <c:pt idx="2">
                  <c:v>-10.476366362152248</c:v>
                </c:pt>
                <c:pt idx="3">
                  <c:v>-25.334503129260767</c:v>
                </c:pt>
                <c:pt idx="4">
                  <c:v>-38.852682394788737</c:v>
                </c:pt>
                <c:pt idx="13">
                  <c:v>-28</c:v>
                </c:pt>
                <c:pt idx="14">
                  <c:v>-20.21679081077513</c:v>
                </c:pt>
                <c:pt idx="15">
                  <c:v>25.831728158814009</c:v>
                </c:pt>
                <c:pt idx="16">
                  <c:v>51.513994255268372</c:v>
                </c:pt>
                <c:pt idx="17">
                  <c:v>28</c:v>
                </c:pt>
                <c:pt idx="18">
                  <c:v>-28</c:v>
                </c:pt>
                <c:pt idx="19">
                  <c:v>-39.008519624966944</c:v>
                </c:pt>
                <c:pt idx="20">
                  <c:v>6.2470713789350008</c:v>
                </c:pt>
                <c:pt idx="21">
                  <c:v>46.114448516120859</c:v>
                </c:pt>
                <c:pt idx="22">
                  <c:v>28</c:v>
                </c:pt>
                <c:pt idx="23">
                  <c:v>-28</c:v>
                </c:pt>
                <c:pt idx="24">
                  <c:v>-49.476702144482829</c:v>
                </c:pt>
                <c:pt idx="25">
                  <c:v>-10.476366362152248</c:v>
                </c:pt>
                <c:pt idx="26">
                  <c:v>37.740003922390386</c:v>
                </c:pt>
                <c:pt idx="27">
                  <c:v>28</c:v>
                </c:pt>
                <c:pt idx="28">
                  <c:v>-28</c:v>
                </c:pt>
                <c:pt idx="29">
                  <c:v>-54.518554557879654</c:v>
                </c:pt>
                <c:pt idx="30">
                  <c:v>-25.334503129260767</c:v>
                </c:pt>
                <c:pt idx="31">
                  <c:v>26.074345174939772</c:v>
                </c:pt>
                <c:pt idx="32">
                  <c:v>28</c:v>
                </c:pt>
                <c:pt idx="33">
                  <c:v>-28</c:v>
                </c:pt>
                <c:pt idx="34">
                  <c:v>-55.662348784867049</c:v>
                </c:pt>
                <c:pt idx="35">
                  <c:v>-38.852682394788737</c:v>
                </c:pt>
                <c:pt idx="80">
                  <c:v>-11.286006599795854</c:v>
                </c:pt>
                <c:pt idx="81">
                  <c:v>70</c:v>
                </c:pt>
                <c:pt idx="82">
                  <c:v>50.151091411687077</c:v>
                </c:pt>
                <c:pt idx="83">
                  <c:v>39.083477722548608</c:v>
                </c:pt>
                <c:pt idx="84">
                  <c:v>9</c:v>
                </c:pt>
                <c:pt idx="85">
                  <c:v>-9</c:v>
                </c:pt>
                <c:pt idx="86">
                  <c:v>-35.05373744672503</c:v>
                </c:pt>
                <c:pt idx="87">
                  <c:v>-70</c:v>
                </c:pt>
                <c:pt idx="88">
                  <c:v>-61.466610306763862</c:v>
                </c:pt>
                <c:pt idx="89">
                  <c:v>2.8488307653754443</c:v>
                </c:pt>
                <c:pt idx="90">
                  <c:v>9</c:v>
                </c:pt>
                <c:pt idx="91">
                  <c:v>109</c:v>
                </c:pt>
                <c:pt idx="92">
                  <c:v>108.96332347734752</c:v>
                </c:pt>
                <c:pt idx="93">
                  <c:v>108.8533167088361</c:v>
                </c:pt>
                <c:pt idx="94">
                  <c:v>108.67004807863076</c:v>
                </c:pt>
                <c:pt idx="95">
                  <c:v>108.41363151310553</c:v>
                </c:pt>
                <c:pt idx="96">
                  <c:v>108.08422641002265</c:v>
                </c:pt>
                <c:pt idx="97">
                  <c:v>107.6820375394453</c:v>
                </c:pt>
                <c:pt idx="98">
                  <c:v>107.20731491644504</c:v>
                </c:pt>
                <c:pt idx="99">
                  <c:v>106.66035364568347</c:v>
                </c:pt>
                <c:pt idx="100">
                  <c:v>106.04149373796464</c:v>
                </c:pt>
                <c:pt idx="101">
                  <c:v>105.351119898872</c:v>
                </c:pt>
                <c:pt idx="102">
                  <c:v>104.58966128962159</c:v>
                </c:pt>
                <c:pt idx="103">
                  <c:v>103.75759126028008</c:v>
                </c:pt>
                <c:pt idx="104">
                  <c:v>102.85542705551322</c:v>
                </c:pt>
                <c:pt idx="105">
                  <c:v>101.88372949304798</c:v>
                </c:pt>
                <c:pt idx="106">
                  <c:v>100.84310261504811</c:v>
                </c:pt>
                <c:pt idx="107">
                  <c:v>99.734193312619794</c:v>
                </c:pt>
                <c:pt idx="108">
                  <c:v>98.557690923680809</c:v>
                </c:pt>
                <c:pt idx="109">
                  <c:v>97.314326804443354</c:v>
                </c:pt>
                <c:pt idx="110">
                  <c:v>96.004873874776649</c:v>
                </c:pt>
                <c:pt idx="111">
                  <c:v>94.630146137732154</c:v>
                </c:pt>
                <c:pt idx="112">
                  <c:v>93.190998173530048</c:v>
                </c:pt>
                <c:pt idx="113">
                  <c:v>91.688324608321324</c:v>
                </c:pt>
                <c:pt idx="114">
                  <c:v>90.123059558056042</c:v>
                </c:pt>
                <c:pt idx="115">
                  <c:v>88.496176047803246</c:v>
                </c:pt>
                <c:pt idx="116">
                  <c:v>86.808685406883541</c:v>
                </c:pt>
                <c:pt idx="117">
                  <c:v>85.061636640190457</c:v>
                </c:pt>
                <c:pt idx="118">
                  <c:v>83.256115776091235</c:v>
                </c:pt>
                <c:pt idx="119">
                  <c:v>81.393245191312488</c:v>
                </c:pt>
                <c:pt idx="120">
                  <c:v>79.474182913230521</c:v>
                </c:pt>
                <c:pt idx="121">
                  <c:v>77.500121899999812</c:v>
                </c:pt>
                <c:pt idx="122">
                  <c:v>75.472289298967283</c:v>
                </c:pt>
                <c:pt idx="123">
                  <c:v>73.391945683833413</c:v>
                </c:pt>
                <c:pt idx="124">
                  <c:v>71.260384271034184</c:v>
                </c:pt>
                <c:pt idx="125">
                  <c:v>69.078930115831355</c:v>
                </c:pt>
                <c:pt idx="126">
                  <c:v>66.84893928861031</c:v>
                </c:pt>
                <c:pt idx="127">
                  <c:v>64.571798031898012</c:v>
                </c:pt>
                <c:pt idx="128">
                  <c:v>62.248921898624673</c:v>
                </c:pt>
                <c:pt idx="129">
                  <c:v>59.881754872165274</c:v>
                </c:pt>
                <c:pt idx="130">
                  <c:v>57.471768468707353</c:v>
                </c:pt>
                <c:pt idx="131">
                  <c:v>55.020460822503807</c:v>
                </c:pt>
                <c:pt idx="132">
                  <c:v>52.529355754578582</c:v>
                </c:pt>
                <c:pt idx="133">
                  <c:v>50.000001825464786</c:v>
                </c:pt>
                <c:pt idx="134">
                  <c:v>47.433971372563768</c:v>
                </c:pt>
                <c:pt idx="135">
                  <c:v>44.832859532723496</c:v>
                </c:pt>
                <c:pt idx="136">
                  <c:v>42.198283250644259</c:v>
                </c:pt>
                <c:pt idx="137">
                  <c:v>39.531880273727573</c:v>
                </c:pt>
                <c:pt idx="138">
                  <c:v>36.835308133993479</c:v>
                </c:pt>
                <c:pt idx="139">
                  <c:v>34.110243117699014</c:v>
                </c:pt>
                <c:pt idx="140">
                  <c:v>31.358379223298492</c:v>
                </c:pt>
                <c:pt idx="141">
                  <c:v>28.581427108392873</c:v>
                </c:pt>
                <c:pt idx="142">
                  <c:v>25.781113026323638</c:v>
                </c:pt>
                <c:pt idx="143">
                  <c:v>22.959177753071529</c:v>
                </c:pt>
                <c:pt idx="144">
                  <c:v>20.117375505127672</c:v>
                </c:pt>
                <c:pt idx="145">
                  <c:v>17.257472849009325</c:v>
                </c:pt>
                <c:pt idx="146">
                  <c:v>14.381247603098693</c:v>
                </c:pt>
                <c:pt idx="147">
                  <c:v>11.4904877324871</c:v>
                </c:pt>
                <c:pt idx="148">
                  <c:v>8.5869902375114009</c:v>
                </c:pt>
                <c:pt idx="149">
                  <c:v>5.6725600366741151</c:v>
                </c:pt>
                <c:pt idx="150">
                  <c:v>2.7490088446409864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1.9499106062863438</c:v>
                </c:pt>
                <c:pt idx="156">
                  <c:v>0.4353759783197173</c:v>
                </c:pt>
                <c:pt idx="157">
                  <c:v>-1.8969752270526943</c:v>
                </c:pt>
                <c:pt idx="158">
                  <c:v>-4.3589076120530557</c:v>
                </c:pt>
                <c:pt idx="159">
                  <c:v>-6.8839803504483132</c:v>
                </c:pt>
                <c:pt idx="160">
                  <c:v>-9.445701924974987</c:v>
                </c:pt>
                <c:pt idx="161">
                  <c:v>-12.029847191518842</c:v>
                </c:pt>
                <c:pt idx="162">
                  <c:v>-14.627414945166993</c:v>
                </c:pt>
                <c:pt idx="163">
                  <c:v>-17.232056846141056</c:v>
                </c:pt>
                <c:pt idx="164">
                  <c:v>-19.838932677723623</c:v>
                </c:pt>
                <c:pt idx="165">
                  <c:v>-22.444130304605075</c:v>
                </c:pt>
                <c:pt idx="166">
                  <c:v>-25.044343452319694</c:v>
                </c:pt>
                <c:pt idx="167">
                  <c:v>-27.636679898033758</c:v>
                </c:pt>
                <c:pt idx="168">
                  <c:v>-30.218540957437643</c:v>
                </c:pt>
                <c:pt idx="169">
                  <c:v>-32.78754241013354</c:v>
                </c:pt>
                <c:pt idx="170">
                  <c:v>-35.341460734846422</c:v>
                </c:pt>
                <c:pt idx="171">
                  <c:v>-37.87819545249797</c:v>
                </c:pt>
                <c:pt idx="172">
                  <c:v>-40.395742083457577</c:v>
                </c:pt>
                <c:pt idx="173">
                  <c:v>-42.892172311294814</c:v>
                </c:pt>
                <c:pt idx="174">
                  <c:v>-45.365619169152751</c:v>
                </c:pt>
                <c:pt idx="175">
                  <c:v>-47.814265809250514</c:v>
                </c:pt>
                <c:pt idx="176">
                  <c:v>-50.2363368832779</c:v>
                </c:pt>
                <c:pt idx="177">
                  <c:v>-52.630091862955695</c:v>
                </c:pt>
                <c:pt idx="178">
                  <c:v>-54.993819829410697</c:v>
                </c:pt>
                <c:pt idx="179">
                  <c:v>-57.325835394749546</c:v>
                </c:pt>
                <c:pt idx="180">
                  <c:v>-59.624475512051248</c:v>
                </c:pt>
                <c:pt idx="181">
                  <c:v>-61.888096995078456</c:v>
                </c:pt>
                <c:pt idx="182">
                  <c:v>-64.115074615332276</c:v>
                </c:pt>
                <c:pt idx="183">
                  <c:v>-66.30379967749289</c:v>
                </c:pt>
                <c:pt idx="184">
                  <c:v>-68.452678998667324</c:v>
                </c:pt>
                <c:pt idx="185">
                  <c:v>-70.560134234811926</c:v>
                </c:pt>
                <c:pt idx="186">
                  <c:v>-72.62460151099414</c:v>
                </c:pt>
                <c:pt idx="187">
                  <c:v>-74.644531322041644</c:v>
                </c:pt>
                <c:pt idx="188">
                  <c:v>-76.618388677470904</c:v>
                </c:pt>
                <c:pt idx="189">
                  <c:v>-78.544653470010275</c:v>
                </c:pt>
                <c:pt idx="190">
                  <c:v>-80.421821050989195</c:v>
                </c:pt>
                <c:pt idx="191">
                  <c:v>-82.248402998682764</c:v>
                </c:pt>
                <c:pt idx="192">
                  <c:v>-84.022928067629167</c:v>
                </c:pt>
                <c:pt idx="193">
                  <c:v>-85.743943308162585</c:v>
                </c:pt>
                <c:pt idx="194">
                  <c:v>-87.410015346074147</c:v>
                </c:pt>
                <c:pt idx="195">
                  <c:v>-89.019731812542062</c:v>
                </c:pt>
                <c:pt idx="196">
                  <c:v>-90.571702914357161</c:v>
                </c:pt>
                <c:pt idx="197">
                  <c:v>-92.064563134086512</c:v>
                </c:pt>
                <c:pt idx="198">
                  <c:v>-93.496973049239003</c:v>
                </c:pt>
                <c:pt idx="199">
                  <c:v>-94.867621258778129</c:v>
                </c:pt>
                <c:pt idx="200">
                  <c:v>-96.175226404524849</c:v>
                </c:pt>
                <c:pt idx="201">
                  <c:v>-97.418539274155421</c:v>
                </c:pt>
                <c:pt idx="202">
                  <c:v>-98.596344971669311</c:v>
                </c:pt>
                <c:pt idx="203">
                  <c:v>-99.707465140420894</c:v>
                </c:pt>
                <c:pt idx="204">
                  <c:v>-100.75076022311241</c:v>
                </c:pt>
                <c:pt idx="205">
                  <c:v>-101.72513174256733</c:v>
                </c:pt>
                <c:pt idx="206">
                  <c:v>-102.62952458666661</c:v>
                </c:pt>
                <c:pt idx="207">
                  <c:v>-103.46292928056559</c:v>
                </c:pt>
                <c:pt idx="208">
                  <c:v>-104.22438422922602</c:v>
                </c:pt>
                <c:pt idx="209">
                  <c:v>-104.91297791341526</c:v>
                </c:pt>
                <c:pt idx="210">
                  <c:v>-105.527851022645</c:v>
                </c:pt>
                <c:pt idx="211">
                  <c:v>-106.06819850905003</c:v>
                </c:pt>
                <c:pt idx="212">
                  <c:v>-106.53327154693659</c:v>
                </c:pt>
                <c:pt idx="213">
                  <c:v>-106.92237938365012</c:v>
                </c:pt>
                <c:pt idx="214">
                  <c:v>-107.23489106851224</c:v>
                </c:pt>
                <c:pt idx="215">
                  <c:v>-107.47023704783025</c:v>
                </c:pt>
                <c:pt idx="216">
                  <c:v>-107.62791061537467</c:v>
                </c:pt>
                <c:pt idx="217">
                  <c:v>-107.70746920921601</c:v>
                </c:pt>
                <c:pt idx="218">
                  <c:v>-107.70853554738908</c:v>
                </c:pt>
              </c:numCache>
            </c:numRef>
          </c:xVal>
          <c:yVal>
            <c:numRef>
              <c:f>'5LeverTailRectangle (2)'!$BH$6:$BH$224</c:f>
              <c:numCache>
                <c:formatCode>General</c:formatCode>
                <c:ptCount val="219"/>
              </c:numCache>
            </c:numRef>
          </c:yVal>
          <c:smooth val="0"/>
        </c:ser>
        <c:ser>
          <c:idx val="9"/>
          <c:order val="9"/>
          <c:tx>
            <c:strRef>
              <c:f>'5LeverTailRectangle (2)'!$BI$5</c:f>
              <c:strCache>
                <c:ptCount val="1"/>
                <c:pt idx="0">
                  <c:v>R8</c:v>
                </c:pt>
              </c:strCache>
            </c:strRef>
          </c:tx>
          <c:xVal>
            <c:numRef>
              <c:f>'5LeverTailRectangle (2)'!$AY$6:$AY$224</c:f>
              <c:numCache>
                <c:formatCode>General</c:formatCode>
                <c:ptCount val="219"/>
                <c:pt idx="0">
                  <c:v>25.831728158814009</c:v>
                </c:pt>
                <c:pt idx="1">
                  <c:v>6.2470713789350008</c:v>
                </c:pt>
                <c:pt idx="2">
                  <c:v>-10.476366362152248</c:v>
                </c:pt>
                <c:pt idx="3">
                  <c:v>-25.334503129260767</c:v>
                </c:pt>
                <c:pt idx="4">
                  <c:v>-38.852682394788737</c:v>
                </c:pt>
                <c:pt idx="13">
                  <c:v>-28</c:v>
                </c:pt>
                <c:pt idx="14">
                  <c:v>-20.21679081077513</c:v>
                </c:pt>
                <c:pt idx="15">
                  <c:v>25.831728158814009</c:v>
                </c:pt>
                <c:pt idx="16">
                  <c:v>51.513994255268372</c:v>
                </c:pt>
                <c:pt idx="17">
                  <c:v>28</c:v>
                </c:pt>
                <c:pt idx="18">
                  <c:v>-28</c:v>
                </c:pt>
                <c:pt idx="19">
                  <c:v>-39.008519624966944</c:v>
                </c:pt>
                <c:pt idx="20">
                  <c:v>6.2470713789350008</c:v>
                </c:pt>
                <c:pt idx="21">
                  <c:v>46.114448516120859</c:v>
                </c:pt>
                <c:pt idx="22">
                  <c:v>28</c:v>
                </c:pt>
                <c:pt idx="23">
                  <c:v>-28</c:v>
                </c:pt>
                <c:pt idx="24">
                  <c:v>-49.476702144482829</c:v>
                </c:pt>
                <c:pt idx="25">
                  <c:v>-10.476366362152248</c:v>
                </c:pt>
                <c:pt idx="26">
                  <c:v>37.740003922390386</c:v>
                </c:pt>
                <c:pt idx="27">
                  <c:v>28</c:v>
                </c:pt>
                <c:pt idx="28">
                  <c:v>-28</c:v>
                </c:pt>
                <c:pt idx="29">
                  <c:v>-54.518554557879654</c:v>
                </c:pt>
                <c:pt idx="30">
                  <c:v>-25.334503129260767</c:v>
                </c:pt>
                <c:pt idx="31">
                  <c:v>26.074345174939772</c:v>
                </c:pt>
                <c:pt idx="32">
                  <c:v>28</c:v>
                </c:pt>
                <c:pt idx="33">
                  <c:v>-28</c:v>
                </c:pt>
                <c:pt idx="34">
                  <c:v>-55.662348784867049</c:v>
                </c:pt>
                <c:pt idx="35">
                  <c:v>-38.852682394788737</c:v>
                </c:pt>
                <c:pt idx="80">
                  <c:v>-11.286006599795854</c:v>
                </c:pt>
                <c:pt idx="81">
                  <c:v>70</c:v>
                </c:pt>
                <c:pt idx="82">
                  <c:v>50.151091411687077</c:v>
                </c:pt>
                <c:pt idx="83">
                  <c:v>39.083477722548608</c:v>
                </c:pt>
                <c:pt idx="84">
                  <c:v>9</c:v>
                </c:pt>
                <c:pt idx="85">
                  <c:v>-9</c:v>
                </c:pt>
                <c:pt idx="86">
                  <c:v>-35.05373744672503</c:v>
                </c:pt>
                <c:pt idx="87">
                  <c:v>-70</c:v>
                </c:pt>
                <c:pt idx="88">
                  <c:v>-61.466610306763862</c:v>
                </c:pt>
                <c:pt idx="89">
                  <c:v>2.8488307653754443</c:v>
                </c:pt>
                <c:pt idx="90">
                  <c:v>9</c:v>
                </c:pt>
                <c:pt idx="91">
                  <c:v>109</c:v>
                </c:pt>
                <c:pt idx="92">
                  <c:v>108.96332347734752</c:v>
                </c:pt>
                <c:pt idx="93">
                  <c:v>108.8533167088361</c:v>
                </c:pt>
                <c:pt idx="94">
                  <c:v>108.67004807863076</c:v>
                </c:pt>
                <c:pt idx="95">
                  <c:v>108.41363151310553</c:v>
                </c:pt>
                <c:pt idx="96">
                  <c:v>108.08422641002265</c:v>
                </c:pt>
                <c:pt idx="97">
                  <c:v>107.6820375394453</c:v>
                </c:pt>
                <c:pt idx="98">
                  <c:v>107.20731491644504</c:v>
                </c:pt>
                <c:pt idx="99">
                  <c:v>106.66035364568347</c:v>
                </c:pt>
                <c:pt idx="100">
                  <c:v>106.04149373796464</c:v>
                </c:pt>
                <c:pt idx="101">
                  <c:v>105.351119898872</c:v>
                </c:pt>
                <c:pt idx="102">
                  <c:v>104.58966128962159</c:v>
                </c:pt>
                <c:pt idx="103">
                  <c:v>103.75759126028008</c:v>
                </c:pt>
                <c:pt idx="104">
                  <c:v>102.85542705551322</c:v>
                </c:pt>
                <c:pt idx="105">
                  <c:v>101.88372949304798</c:v>
                </c:pt>
                <c:pt idx="106">
                  <c:v>100.84310261504811</c:v>
                </c:pt>
                <c:pt idx="107">
                  <c:v>99.734193312619794</c:v>
                </c:pt>
                <c:pt idx="108">
                  <c:v>98.557690923680809</c:v>
                </c:pt>
                <c:pt idx="109">
                  <c:v>97.314326804443354</c:v>
                </c:pt>
                <c:pt idx="110">
                  <c:v>96.004873874776649</c:v>
                </c:pt>
                <c:pt idx="111">
                  <c:v>94.630146137732154</c:v>
                </c:pt>
                <c:pt idx="112">
                  <c:v>93.190998173530048</c:v>
                </c:pt>
                <c:pt idx="113">
                  <c:v>91.688324608321324</c:v>
                </c:pt>
                <c:pt idx="114">
                  <c:v>90.123059558056042</c:v>
                </c:pt>
                <c:pt idx="115">
                  <c:v>88.496176047803246</c:v>
                </c:pt>
                <c:pt idx="116">
                  <c:v>86.808685406883541</c:v>
                </c:pt>
                <c:pt idx="117">
                  <c:v>85.061636640190457</c:v>
                </c:pt>
                <c:pt idx="118">
                  <c:v>83.256115776091235</c:v>
                </c:pt>
                <c:pt idx="119">
                  <c:v>81.393245191312488</c:v>
                </c:pt>
                <c:pt idx="120">
                  <c:v>79.474182913230521</c:v>
                </c:pt>
                <c:pt idx="121">
                  <c:v>77.500121899999812</c:v>
                </c:pt>
                <c:pt idx="122">
                  <c:v>75.472289298967283</c:v>
                </c:pt>
                <c:pt idx="123">
                  <c:v>73.391945683833413</c:v>
                </c:pt>
                <c:pt idx="124">
                  <c:v>71.260384271034184</c:v>
                </c:pt>
                <c:pt idx="125">
                  <c:v>69.078930115831355</c:v>
                </c:pt>
                <c:pt idx="126">
                  <c:v>66.84893928861031</c:v>
                </c:pt>
                <c:pt idx="127">
                  <c:v>64.571798031898012</c:v>
                </c:pt>
                <c:pt idx="128">
                  <c:v>62.248921898624673</c:v>
                </c:pt>
                <c:pt idx="129">
                  <c:v>59.881754872165274</c:v>
                </c:pt>
                <c:pt idx="130">
                  <c:v>57.471768468707353</c:v>
                </c:pt>
                <c:pt idx="131">
                  <c:v>55.020460822503807</c:v>
                </c:pt>
                <c:pt idx="132">
                  <c:v>52.529355754578582</c:v>
                </c:pt>
                <c:pt idx="133">
                  <c:v>50.000001825464786</c:v>
                </c:pt>
                <c:pt idx="134">
                  <c:v>47.433971372563768</c:v>
                </c:pt>
                <c:pt idx="135">
                  <c:v>44.832859532723496</c:v>
                </c:pt>
                <c:pt idx="136">
                  <c:v>42.198283250644259</c:v>
                </c:pt>
                <c:pt idx="137">
                  <c:v>39.531880273727573</c:v>
                </c:pt>
                <c:pt idx="138">
                  <c:v>36.835308133993479</c:v>
                </c:pt>
                <c:pt idx="139">
                  <c:v>34.110243117699014</c:v>
                </c:pt>
                <c:pt idx="140">
                  <c:v>31.358379223298492</c:v>
                </c:pt>
                <c:pt idx="141">
                  <c:v>28.581427108392873</c:v>
                </c:pt>
                <c:pt idx="142">
                  <c:v>25.781113026323638</c:v>
                </c:pt>
                <c:pt idx="143">
                  <c:v>22.959177753071529</c:v>
                </c:pt>
                <c:pt idx="144">
                  <c:v>20.117375505127672</c:v>
                </c:pt>
                <c:pt idx="145">
                  <c:v>17.257472849009325</c:v>
                </c:pt>
                <c:pt idx="146">
                  <c:v>14.381247603098693</c:v>
                </c:pt>
                <c:pt idx="147">
                  <c:v>11.4904877324871</c:v>
                </c:pt>
                <c:pt idx="148">
                  <c:v>8.5869902375114009</c:v>
                </c:pt>
                <c:pt idx="149">
                  <c:v>5.6725600366741151</c:v>
                </c:pt>
                <c:pt idx="150">
                  <c:v>2.7490088446409864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1.9499106062863438</c:v>
                </c:pt>
                <c:pt idx="156">
                  <c:v>0.4353759783197173</c:v>
                </c:pt>
                <c:pt idx="157">
                  <c:v>-1.8969752270526943</c:v>
                </c:pt>
                <c:pt idx="158">
                  <c:v>-4.3589076120530557</c:v>
                </c:pt>
                <c:pt idx="159">
                  <c:v>-6.8839803504483132</c:v>
                </c:pt>
                <c:pt idx="160">
                  <c:v>-9.445701924974987</c:v>
                </c:pt>
                <c:pt idx="161">
                  <c:v>-12.029847191518842</c:v>
                </c:pt>
                <c:pt idx="162">
                  <c:v>-14.627414945166993</c:v>
                </c:pt>
                <c:pt idx="163">
                  <c:v>-17.232056846141056</c:v>
                </c:pt>
                <c:pt idx="164">
                  <c:v>-19.838932677723623</c:v>
                </c:pt>
                <c:pt idx="165">
                  <c:v>-22.444130304605075</c:v>
                </c:pt>
                <c:pt idx="166">
                  <c:v>-25.044343452319694</c:v>
                </c:pt>
                <c:pt idx="167">
                  <c:v>-27.636679898033758</c:v>
                </c:pt>
                <c:pt idx="168">
                  <c:v>-30.218540957437643</c:v>
                </c:pt>
                <c:pt idx="169">
                  <c:v>-32.78754241013354</c:v>
                </c:pt>
                <c:pt idx="170">
                  <c:v>-35.341460734846422</c:v>
                </c:pt>
                <c:pt idx="171">
                  <c:v>-37.87819545249797</c:v>
                </c:pt>
                <c:pt idx="172">
                  <c:v>-40.395742083457577</c:v>
                </c:pt>
                <c:pt idx="173">
                  <c:v>-42.892172311294814</c:v>
                </c:pt>
                <c:pt idx="174">
                  <c:v>-45.365619169152751</c:v>
                </c:pt>
                <c:pt idx="175">
                  <c:v>-47.814265809250514</c:v>
                </c:pt>
                <c:pt idx="176">
                  <c:v>-50.2363368832779</c:v>
                </c:pt>
                <c:pt idx="177">
                  <c:v>-52.630091862955695</c:v>
                </c:pt>
                <c:pt idx="178">
                  <c:v>-54.993819829410697</c:v>
                </c:pt>
                <c:pt idx="179">
                  <c:v>-57.325835394749546</c:v>
                </c:pt>
                <c:pt idx="180">
                  <c:v>-59.624475512051248</c:v>
                </c:pt>
                <c:pt idx="181">
                  <c:v>-61.888096995078456</c:v>
                </c:pt>
                <c:pt idx="182">
                  <c:v>-64.115074615332276</c:v>
                </c:pt>
                <c:pt idx="183">
                  <c:v>-66.30379967749289</c:v>
                </c:pt>
                <c:pt idx="184">
                  <c:v>-68.452678998667324</c:v>
                </c:pt>
                <c:pt idx="185">
                  <c:v>-70.560134234811926</c:v>
                </c:pt>
                <c:pt idx="186">
                  <c:v>-72.62460151099414</c:v>
                </c:pt>
                <c:pt idx="187">
                  <c:v>-74.644531322041644</c:v>
                </c:pt>
                <c:pt idx="188">
                  <c:v>-76.618388677470904</c:v>
                </c:pt>
                <c:pt idx="189">
                  <c:v>-78.544653470010275</c:v>
                </c:pt>
                <c:pt idx="190">
                  <c:v>-80.421821050989195</c:v>
                </c:pt>
                <c:pt idx="191">
                  <c:v>-82.248402998682764</c:v>
                </c:pt>
                <c:pt idx="192">
                  <c:v>-84.022928067629167</c:v>
                </c:pt>
                <c:pt idx="193">
                  <c:v>-85.743943308162585</c:v>
                </c:pt>
                <c:pt idx="194">
                  <c:v>-87.410015346074147</c:v>
                </c:pt>
                <c:pt idx="195">
                  <c:v>-89.019731812542062</c:v>
                </c:pt>
                <c:pt idx="196">
                  <c:v>-90.571702914357161</c:v>
                </c:pt>
                <c:pt idx="197">
                  <c:v>-92.064563134086512</c:v>
                </c:pt>
                <c:pt idx="198">
                  <c:v>-93.496973049239003</c:v>
                </c:pt>
                <c:pt idx="199">
                  <c:v>-94.867621258778129</c:v>
                </c:pt>
                <c:pt idx="200">
                  <c:v>-96.175226404524849</c:v>
                </c:pt>
                <c:pt idx="201">
                  <c:v>-97.418539274155421</c:v>
                </c:pt>
                <c:pt idx="202">
                  <c:v>-98.596344971669311</c:v>
                </c:pt>
                <c:pt idx="203">
                  <c:v>-99.707465140420894</c:v>
                </c:pt>
                <c:pt idx="204">
                  <c:v>-100.75076022311241</c:v>
                </c:pt>
                <c:pt idx="205">
                  <c:v>-101.72513174256733</c:v>
                </c:pt>
                <c:pt idx="206">
                  <c:v>-102.62952458666661</c:v>
                </c:pt>
                <c:pt idx="207">
                  <c:v>-103.46292928056559</c:v>
                </c:pt>
                <c:pt idx="208">
                  <c:v>-104.22438422922602</c:v>
                </c:pt>
                <c:pt idx="209">
                  <c:v>-104.91297791341526</c:v>
                </c:pt>
                <c:pt idx="210">
                  <c:v>-105.527851022645</c:v>
                </c:pt>
                <c:pt idx="211">
                  <c:v>-106.06819850905003</c:v>
                </c:pt>
                <c:pt idx="212">
                  <c:v>-106.53327154693659</c:v>
                </c:pt>
                <c:pt idx="213">
                  <c:v>-106.92237938365012</c:v>
                </c:pt>
                <c:pt idx="214">
                  <c:v>-107.23489106851224</c:v>
                </c:pt>
                <c:pt idx="215">
                  <c:v>-107.47023704783025</c:v>
                </c:pt>
                <c:pt idx="216">
                  <c:v>-107.62791061537467</c:v>
                </c:pt>
                <c:pt idx="217">
                  <c:v>-107.70746920921601</c:v>
                </c:pt>
                <c:pt idx="218">
                  <c:v>-107.70853554738908</c:v>
                </c:pt>
              </c:numCache>
            </c:numRef>
          </c:xVal>
          <c:yVal>
            <c:numRef>
              <c:f>'5LeverTailRectangle (2)'!$BI$6:$BI$224</c:f>
              <c:numCache>
                <c:formatCode>General</c:formatCode>
                <c:ptCount val="219"/>
              </c:numCache>
            </c:numRef>
          </c:yVal>
          <c:smooth val="0"/>
        </c:ser>
        <c:ser>
          <c:idx val="10"/>
          <c:order val="10"/>
          <c:tx>
            <c:strRef>
              <c:f>'5LeverTailRectangle (2)'!$BJ$5</c:f>
              <c:strCache>
                <c:ptCount val="1"/>
                <c:pt idx="0">
                  <c:v>R9</c:v>
                </c:pt>
              </c:strCache>
            </c:strRef>
          </c:tx>
          <c:xVal>
            <c:numRef>
              <c:f>'5LeverTailRectangle (2)'!$AY$6:$AY$224</c:f>
              <c:numCache>
                <c:formatCode>General</c:formatCode>
                <c:ptCount val="219"/>
                <c:pt idx="0">
                  <c:v>25.831728158814009</c:v>
                </c:pt>
                <c:pt idx="1">
                  <c:v>6.2470713789350008</c:v>
                </c:pt>
                <c:pt idx="2">
                  <c:v>-10.476366362152248</c:v>
                </c:pt>
                <c:pt idx="3">
                  <c:v>-25.334503129260767</c:v>
                </c:pt>
                <c:pt idx="4">
                  <c:v>-38.852682394788737</c:v>
                </c:pt>
                <c:pt idx="13">
                  <c:v>-28</c:v>
                </c:pt>
                <c:pt idx="14">
                  <c:v>-20.21679081077513</c:v>
                </c:pt>
                <c:pt idx="15">
                  <c:v>25.831728158814009</c:v>
                </c:pt>
                <c:pt idx="16">
                  <c:v>51.513994255268372</c:v>
                </c:pt>
                <c:pt idx="17">
                  <c:v>28</c:v>
                </c:pt>
                <c:pt idx="18">
                  <c:v>-28</c:v>
                </c:pt>
                <c:pt idx="19">
                  <c:v>-39.008519624966944</c:v>
                </c:pt>
                <c:pt idx="20">
                  <c:v>6.2470713789350008</c:v>
                </c:pt>
                <c:pt idx="21">
                  <c:v>46.114448516120859</c:v>
                </c:pt>
                <c:pt idx="22">
                  <c:v>28</c:v>
                </c:pt>
                <c:pt idx="23">
                  <c:v>-28</c:v>
                </c:pt>
                <c:pt idx="24">
                  <c:v>-49.476702144482829</c:v>
                </c:pt>
                <c:pt idx="25">
                  <c:v>-10.476366362152248</c:v>
                </c:pt>
                <c:pt idx="26">
                  <c:v>37.740003922390386</c:v>
                </c:pt>
                <c:pt idx="27">
                  <c:v>28</c:v>
                </c:pt>
                <c:pt idx="28">
                  <c:v>-28</c:v>
                </c:pt>
                <c:pt idx="29">
                  <c:v>-54.518554557879654</c:v>
                </c:pt>
                <c:pt idx="30">
                  <c:v>-25.334503129260767</c:v>
                </c:pt>
                <c:pt idx="31">
                  <c:v>26.074345174939772</c:v>
                </c:pt>
                <c:pt idx="32">
                  <c:v>28</c:v>
                </c:pt>
                <c:pt idx="33">
                  <c:v>-28</c:v>
                </c:pt>
                <c:pt idx="34">
                  <c:v>-55.662348784867049</c:v>
                </c:pt>
                <c:pt idx="35">
                  <c:v>-38.852682394788737</c:v>
                </c:pt>
                <c:pt idx="80">
                  <c:v>-11.286006599795854</c:v>
                </c:pt>
                <c:pt idx="81">
                  <c:v>70</c:v>
                </c:pt>
                <c:pt idx="82">
                  <c:v>50.151091411687077</c:v>
                </c:pt>
                <c:pt idx="83">
                  <c:v>39.083477722548608</c:v>
                </c:pt>
                <c:pt idx="84">
                  <c:v>9</c:v>
                </c:pt>
                <c:pt idx="85">
                  <c:v>-9</c:v>
                </c:pt>
                <c:pt idx="86">
                  <c:v>-35.05373744672503</c:v>
                </c:pt>
                <c:pt idx="87">
                  <c:v>-70</c:v>
                </c:pt>
                <c:pt idx="88">
                  <c:v>-61.466610306763862</c:v>
                </c:pt>
                <c:pt idx="89">
                  <c:v>2.8488307653754443</c:v>
                </c:pt>
                <c:pt idx="90">
                  <c:v>9</c:v>
                </c:pt>
                <c:pt idx="91">
                  <c:v>109</c:v>
                </c:pt>
                <c:pt idx="92">
                  <c:v>108.96332347734752</c:v>
                </c:pt>
                <c:pt idx="93">
                  <c:v>108.8533167088361</c:v>
                </c:pt>
                <c:pt idx="94">
                  <c:v>108.67004807863076</c:v>
                </c:pt>
                <c:pt idx="95">
                  <c:v>108.41363151310553</c:v>
                </c:pt>
                <c:pt idx="96">
                  <c:v>108.08422641002265</c:v>
                </c:pt>
                <c:pt idx="97">
                  <c:v>107.6820375394453</c:v>
                </c:pt>
                <c:pt idx="98">
                  <c:v>107.20731491644504</c:v>
                </c:pt>
                <c:pt idx="99">
                  <c:v>106.66035364568347</c:v>
                </c:pt>
                <c:pt idx="100">
                  <c:v>106.04149373796464</c:v>
                </c:pt>
                <c:pt idx="101">
                  <c:v>105.351119898872</c:v>
                </c:pt>
                <c:pt idx="102">
                  <c:v>104.58966128962159</c:v>
                </c:pt>
                <c:pt idx="103">
                  <c:v>103.75759126028008</c:v>
                </c:pt>
                <c:pt idx="104">
                  <c:v>102.85542705551322</c:v>
                </c:pt>
                <c:pt idx="105">
                  <c:v>101.88372949304798</c:v>
                </c:pt>
                <c:pt idx="106">
                  <c:v>100.84310261504811</c:v>
                </c:pt>
                <c:pt idx="107">
                  <c:v>99.734193312619794</c:v>
                </c:pt>
                <c:pt idx="108">
                  <c:v>98.557690923680809</c:v>
                </c:pt>
                <c:pt idx="109">
                  <c:v>97.314326804443354</c:v>
                </c:pt>
                <c:pt idx="110">
                  <c:v>96.004873874776649</c:v>
                </c:pt>
                <c:pt idx="111">
                  <c:v>94.630146137732154</c:v>
                </c:pt>
                <c:pt idx="112">
                  <c:v>93.190998173530048</c:v>
                </c:pt>
                <c:pt idx="113">
                  <c:v>91.688324608321324</c:v>
                </c:pt>
                <c:pt idx="114">
                  <c:v>90.123059558056042</c:v>
                </c:pt>
                <c:pt idx="115">
                  <c:v>88.496176047803246</c:v>
                </c:pt>
                <c:pt idx="116">
                  <c:v>86.808685406883541</c:v>
                </c:pt>
                <c:pt idx="117">
                  <c:v>85.061636640190457</c:v>
                </c:pt>
                <c:pt idx="118">
                  <c:v>83.256115776091235</c:v>
                </c:pt>
                <c:pt idx="119">
                  <c:v>81.393245191312488</c:v>
                </c:pt>
                <c:pt idx="120">
                  <c:v>79.474182913230521</c:v>
                </c:pt>
                <c:pt idx="121">
                  <c:v>77.500121899999812</c:v>
                </c:pt>
                <c:pt idx="122">
                  <c:v>75.472289298967283</c:v>
                </c:pt>
                <c:pt idx="123">
                  <c:v>73.391945683833413</c:v>
                </c:pt>
                <c:pt idx="124">
                  <c:v>71.260384271034184</c:v>
                </c:pt>
                <c:pt idx="125">
                  <c:v>69.078930115831355</c:v>
                </c:pt>
                <c:pt idx="126">
                  <c:v>66.84893928861031</c:v>
                </c:pt>
                <c:pt idx="127">
                  <c:v>64.571798031898012</c:v>
                </c:pt>
                <c:pt idx="128">
                  <c:v>62.248921898624673</c:v>
                </c:pt>
                <c:pt idx="129">
                  <c:v>59.881754872165274</c:v>
                </c:pt>
                <c:pt idx="130">
                  <c:v>57.471768468707353</c:v>
                </c:pt>
                <c:pt idx="131">
                  <c:v>55.020460822503807</c:v>
                </c:pt>
                <c:pt idx="132">
                  <c:v>52.529355754578582</c:v>
                </c:pt>
                <c:pt idx="133">
                  <c:v>50.000001825464786</c:v>
                </c:pt>
                <c:pt idx="134">
                  <c:v>47.433971372563768</c:v>
                </c:pt>
                <c:pt idx="135">
                  <c:v>44.832859532723496</c:v>
                </c:pt>
                <c:pt idx="136">
                  <c:v>42.198283250644259</c:v>
                </c:pt>
                <c:pt idx="137">
                  <c:v>39.531880273727573</c:v>
                </c:pt>
                <c:pt idx="138">
                  <c:v>36.835308133993479</c:v>
                </c:pt>
                <c:pt idx="139">
                  <c:v>34.110243117699014</c:v>
                </c:pt>
                <c:pt idx="140">
                  <c:v>31.358379223298492</c:v>
                </c:pt>
                <c:pt idx="141">
                  <c:v>28.581427108392873</c:v>
                </c:pt>
                <c:pt idx="142">
                  <c:v>25.781113026323638</c:v>
                </c:pt>
                <c:pt idx="143">
                  <c:v>22.959177753071529</c:v>
                </c:pt>
                <c:pt idx="144">
                  <c:v>20.117375505127672</c:v>
                </c:pt>
                <c:pt idx="145">
                  <c:v>17.257472849009325</c:v>
                </c:pt>
                <c:pt idx="146">
                  <c:v>14.381247603098693</c:v>
                </c:pt>
                <c:pt idx="147">
                  <c:v>11.4904877324871</c:v>
                </c:pt>
                <c:pt idx="148">
                  <c:v>8.5869902375114009</c:v>
                </c:pt>
                <c:pt idx="149">
                  <c:v>5.6725600366741151</c:v>
                </c:pt>
                <c:pt idx="150">
                  <c:v>2.7490088446409864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1.9499106062863438</c:v>
                </c:pt>
                <c:pt idx="156">
                  <c:v>0.4353759783197173</c:v>
                </c:pt>
                <c:pt idx="157">
                  <c:v>-1.8969752270526943</c:v>
                </c:pt>
                <c:pt idx="158">
                  <c:v>-4.3589076120530557</c:v>
                </c:pt>
                <c:pt idx="159">
                  <c:v>-6.8839803504483132</c:v>
                </c:pt>
                <c:pt idx="160">
                  <c:v>-9.445701924974987</c:v>
                </c:pt>
                <c:pt idx="161">
                  <c:v>-12.029847191518842</c:v>
                </c:pt>
                <c:pt idx="162">
                  <c:v>-14.627414945166993</c:v>
                </c:pt>
                <c:pt idx="163">
                  <c:v>-17.232056846141056</c:v>
                </c:pt>
                <c:pt idx="164">
                  <c:v>-19.838932677723623</c:v>
                </c:pt>
                <c:pt idx="165">
                  <c:v>-22.444130304605075</c:v>
                </c:pt>
                <c:pt idx="166">
                  <c:v>-25.044343452319694</c:v>
                </c:pt>
                <c:pt idx="167">
                  <c:v>-27.636679898033758</c:v>
                </c:pt>
                <c:pt idx="168">
                  <c:v>-30.218540957437643</c:v>
                </c:pt>
                <c:pt idx="169">
                  <c:v>-32.78754241013354</c:v>
                </c:pt>
                <c:pt idx="170">
                  <c:v>-35.341460734846422</c:v>
                </c:pt>
                <c:pt idx="171">
                  <c:v>-37.87819545249797</c:v>
                </c:pt>
                <c:pt idx="172">
                  <c:v>-40.395742083457577</c:v>
                </c:pt>
                <c:pt idx="173">
                  <c:v>-42.892172311294814</c:v>
                </c:pt>
                <c:pt idx="174">
                  <c:v>-45.365619169152751</c:v>
                </c:pt>
                <c:pt idx="175">
                  <c:v>-47.814265809250514</c:v>
                </c:pt>
                <c:pt idx="176">
                  <c:v>-50.2363368832779</c:v>
                </c:pt>
                <c:pt idx="177">
                  <c:v>-52.630091862955695</c:v>
                </c:pt>
                <c:pt idx="178">
                  <c:v>-54.993819829410697</c:v>
                </c:pt>
                <c:pt idx="179">
                  <c:v>-57.325835394749546</c:v>
                </c:pt>
                <c:pt idx="180">
                  <c:v>-59.624475512051248</c:v>
                </c:pt>
                <c:pt idx="181">
                  <c:v>-61.888096995078456</c:v>
                </c:pt>
                <c:pt idx="182">
                  <c:v>-64.115074615332276</c:v>
                </c:pt>
                <c:pt idx="183">
                  <c:v>-66.30379967749289</c:v>
                </c:pt>
                <c:pt idx="184">
                  <c:v>-68.452678998667324</c:v>
                </c:pt>
                <c:pt idx="185">
                  <c:v>-70.560134234811926</c:v>
                </c:pt>
                <c:pt idx="186">
                  <c:v>-72.62460151099414</c:v>
                </c:pt>
                <c:pt idx="187">
                  <c:v>-74.644531322041644</c:v>
                </c:pt>
                <c:pt idx="188">
                  <c:v>-76.618388677470904</c:v>
                </c:pt>
                <c:pt idx="189">
                  <c:v>-78.544653470010275</c:v>
                </c:pt>
                <c:pt idx="190">
                  <c:v>-80.421821050989195</c:v>
                </c:pt>
                <c:pt idx="191">
                  <c:v>-82.248402998682764</c:v>
                </c:pt>
                <c:pt idx="192">
                  <c:v>-84.022928067629167</c:v>
                </c:pt>
                <c:pt idx="193">
                  <c:v>-85.743943308162585</c:v>
                </c:pt>
                <c:pt idx="194">
                  <c:v>-87.410015346074147</c:v>
                </c:pt>
                <c:pt idx="195">
                  <c:v>-89.019731812542062</c:v>
                </c:pt>
                <c:pt idx="196">
                  <c:v>-90.571702914357161</c:v>
                </c:pt>
                <c:pt idx="197">
                  <c:v>-92.064563134086512</c:v>
                </c:pt>
                <c:pt idx="198">
                  <c:v>-93.496973049239003</c:v>
                </c:pt>
                <c:pt idx="199">
                  <c:v>-94.867621258778129</c:v>
                </c:pt>
                <c:pt idx="200">
                  <c:v>-96.175226404524849</c:v>
                </c:pt>
                <c:pt idx="201">
                  <c:v>-97.418539274155421</c:v>
                </c:pt>
                <c:pt idx="202">
                  <c:v>-98.596344971669311</c:v>
                </c:pt>
                <c:pt idx="203">
                  <c:v>-99.707465140420894</c:v>
                </c:pt>
                <c:pt idx="204">
                  <c:v>-100.75076022311241</c:v>
                </c:pt>
                <c:pt idx="205">
                  <c:v>-101.72513174256733</c:v>
                </c:pt>
                <c:pt idx="206">
                  <c:v>-102.62952458666661</c:v>
                </c:pt>
                <c:pt idx="207">
                  <c:v>-103.46292928056559</c:v>
                </c:pt>
                <c:pt idx="208">
                  <c:v>-104.22438422922602</c:v>
                </c:pt>
                <c:pt idx="209">
                  <c:v>-104.91297791341526</c:v>
                </c:pt>
                <c:pt idx="210">
                  <c:v>-105.527851022645</c:v>
                </c:pt>
                <c:pt idx="211">
                  <c:v>-106.06819850905003</c:v>
                </c:pt>
                <c:pt idx="212">
                  <c:v>-106.53327154693659</c:v>
                </c:pt>
                <c:pt idx="213">
                  <c:v>-106.92237938365012</c:v>
                </c:pt>
                <c:pt idx="214">
                  <c:v>-107.23489106851224</c:v>
                </c:pt>
                <c:pt idx="215">
                  <c:v>-107.47023704783025</c:v>
                </c:pt>
                <c:pt idx="216">
                  <c:v>-107.62791061537467</c:v>
                </c:pt>
                <c:pt idx="217">
                  <c:v>-107.70746920921601</c:v>
                </c:pt>
                <c:pt idx="218">
                  <c:v>-107.70853554738908</c:v>
                </c:pt>
              </c:numCache>
            </c:numRef>
          </c:xVal>
          <c:yVal>
            <c:numRef>
              <c:f>'5LeverTailRectangle (2)'!$BJ$6:$BJ$224</c:f>
              <c:numCache>
                <c:formatCode>General</c:formatCode>
                <c:ptCount val="219"/>
              </c:numCache>
            </c:numRef>
          </c:yVal>
          <c:smooth val="0"/>
        </c:ser>
        <c:ser>
          <c:idx val="11"/>
          <c:order val="11"/>
          <c:tx>
            <c:strRef>
              <c:f>'5LeverTailRectangle (2)'!$BK$5</c:f>
              <c:strCache>
                <c:ptCount val="1"/>
                <c:pt idx="0">
                  <c:v>R10</c:v>
                </c:pt>
              </c:strCache>
            </c:strRef>
          </c:tx>
          <c:xVal>
            <c:numRef>
              <c:f>'5LeverTailRectangle (2)'!$AY$6:$AY$224</c:f>
              <c:numCache>
                <c:formatCode>General</c:formatCode>
                <c:ptCount val="219"/>
                <c:pt idx="0">
                  <c:v>25.831728158814009</c:v>
                </c:pt>
                <c:pt idx="1">
                  <c:v>6.2470713789350008</c:v>
                </c:pt>
                <c:pt idx="2">
                  <c:v>-10.476366362152248</c:v>
                </c:pt>
                <c:pt idx="3">
                  <c:v>-25.334503129260767</c:v>
                </c:pt>
                <c:pt idx="4">
                  <c:v>-38.852682394788737</c:v>
                </c:pt>
                <c:pt idx="13">
                  <c:v>-28</c:v>
                </c:pt>
                <c:pt idx="14">
                  <c:v>-20.21679081077513</c:v>
                </c:pt>
                <c:pt idx="15">
                  <c:v>25.831728158814009</c:v>
                </c:pt>
                <c:pt idx="16">
                  <c:v>51.513994255268372</c:v>
                </c:pt>
                <c:pt idx="17">
                  <c:v>28</c:v>
                </c:pt>
                <c:pt idx="18">
                  <c:v>-28</c:v>
                </c:pt>
                <c:pt idx="19">
                  <c:v>-39.008519624966944</c:v>
                </c:pt>
                <c:pt idx="20">
                  <c:v>6.2470713789350008</c:v>
                </c:pt>
                <c:pt idx="21">
                  <c:v>46.114448516120859</c:v>
                </c:pt>
                <c:pt idx="22">
                  <c:v>28</c:v>
                </c:pt>
                <c:pt idx="23">
                  <c:v>-28</c:v>
                </c:pt>
                <c:pt idx="24">
                  <c:v>-49.476702144482829</c:v>
                </c:pt>
                <c:pt idx="25">
                  <c:v>-10.476366362152248</c:v>
                </c:pt>
                <c:pt idx="26">
                  <c:v>37.740003922390386</c:v>
                </c:pt>
                <c:pt idx="27">
                  <c:v>28</c:v>
                </c:pt>
                <c:pt idx="28">
                  <c:v>-28</c:v>
                </c:pt>
                <c:pt idx="29">
                  <c:v>-54.518554557879654</c:v>
                </c:pt>
                <c:pt idx="30">
                  <c:v>-25.334503129260767</c:v>
                </c:pt>
                <c:pt idx="31">
                  <c:v>26.074345174939772</c:v>
                </c:pt>
                <c:pt idx="32">
                  <c:v>28</c:v>
                </c:pt>
                <c:pt idx="33">
                  <c:v>-28</c:v>
                </c:pt>
                <c:pt idx="34">
                  <c:v>-55.662348784867049</c:v>
                </c:pt>
                <c:pt idx="35">
                  <c:v>-38.852682394788737</c:v>
                </c:pt>
                <c:pt idx="80">
                  <c:v>-11.286006599795854</c:v>
                </c:pt>
                <c:pt idx="81">
                  <c:v>70</c:v>
                </c:pt>
                <c:pt idx="82">
                  <c:v>50.151091411687077</c:v>
                </c:pt>
                <c:pt idx="83">
                  <c:v>39.083477722548608</c:v>
                </c:pt>
                <c:pt idx="84">
                  <c:v>9</c:v>
                </c:pt>
                <c:pt idx="85">
                  <c:v>-9</c:v>
                </c:pt>
                <c:pt idx="86">
                  <c:v>-35.05373744672503</c:v>
                </c:pt>
                <c:pt idx="87">
                  <c:v>-70</c:v>
                </c:pt>
                <c:pt idx="88">
                  <c:v>-61.466610306763862</c:v>
                </c:pt>
                <c:pt idx="89">
                  <c:v>2.8488307653754443</c:v>
                </c:pt>
                <c:pt idx="90">
                  <c:v>9</c:v>
                </c:pt>
                <c:pt idx="91">
                  <c:v>109</c:v>
                </c:pt>
                <c:pt idx="92">
                  <c:v>108.96332347734752</c:v>
                </c:pt>
                <c:pt idx="93">
                  <c:v>108.8533167088361</c:v>
                </c:pt>
                <c:pt idx="94">
                  <c:v>108.67004807863076</c:v>
                </c:pt>
                <c:pt idx="95">
                  <c:v>108.41363151310553</c:v>
                </c:pt>
                <c:pt idx="96">
                  <c:v>108.08422641002265</c:v>
                </c:pt>
                <c:pt idx="97">
                  <c:v>107.6820375394453</c:v>
                </c:pt>
                <c:pt idx="98">
                  <c:v>107.20731491644504</c:v>
                </c:pt>
                <c:pt idx="99">
                  <c:v>106.66035364568347</c:v>
                </c:pt>
                <c:pt idx="100">
                  <c:v>106.04149373796464</c:v>
                </c:pt>
                <c:pt idx="101">
                  <c:v>105.351119898872</c:v>
                </c:pt>
                <c:pt idx="102">
                  <c:v>104.58966128962159</c:v>
                </c:pt>
                <c:pt idx="103">
                  <c:v>103.75759126028008</c:v>
                </c:pt>
                <c:pt idx="104">
                  <c:v>102.85542705551322</c:v>
                </c:pt>
                <c:pt idx="105">
                  <c:v>101.88372949304798</c:v>
                </c:pt>
                <c:pt idx="106">
                  <c:v>100.84310261504811</c:v>
                </c:pt>
                <c:pt idx="107">
                  <c:v>99.734193312619794</c:v>
                </c:pt>
                <c:pt idx="108">
                  <c:v>98.557690923680809</c:v>
                </c:pt>
                <c:pt idx="109">
                  <c:v>97.314326804443354</c:v>
                </c:pt>
                <c:pt idx="110">
                  <c:v>96.004873874776649</c:v>
                </c:pt>
                <c:pt idx="111">
                  <c:v>94.630146137732154</c:v>
                </c:pt>
                <c:pt idx="112">
                  <c:v>93.190998173530048</c:v>
                </c:pt>
                <c:pt idx="113">
                  <c:v>91.688324608321324</c:v>
                </c:pt>
                <c:pt idx="114">
                  <c:v>90.123059558056042</c:v>
                </c:pt>
                <c:pt idx="115">
                  <c:v>88.496176047803246</c:v>
                </c:pt>
                <c:pt idx="116">
                  <c:v>86.808685406883541</c:v>
                </c:pt>
                <c:pt idx="117">
                  <c:v>85.061636640190457</c:v>
                </c:pt>
                <c:pt idx="118">
                  <c:v>83.256115776091235</c:v>
                </c:pt>
                <c:pt idx="119">
                  <c:v>81.393245191312488</c:v>
                </c:pt>
                <c:pt idx="120">
                  <c:v>79.474182913230521</c:v>
                </c:pt>
                <c:pt idx="121">
                  <c:v>77.500121899999812</c:v>
                </c:pt>
                <c:pt idx="122">
                  <c:v>75.472289298967283</c:v>
                </c:pt>
                <c:pt idx="123">
                  <c:v>73.391945683833413</c:v>
                </c:pt>
                <c:pt idx="124">
                  <c:v>71.260384271034184</c:v>
                </c:pt>
                <c:pt idx="125">
                  <c:v>69.078930115831355</c:v>
                </c:pt>
                <c:pt idx="126">
                  <c:v>66.84893928861031</c:v>
                </c:pt>
                <c:pt idx="127">
                  <c:v>64.571798031898012</c:v>
                </c:pt>
                <c:pt idx="128">
                  <c:v>62.248921898624673</c:v>
                </c:pt>
                <c:pt idx="129">
                  <c:v>59.881754872165274</c:v>
                </c:pt>
                <c:pt idx="130">
                  <c:v>57.471768468707353</c:v>
                </c:pt>
                <c:pt idx="131">
                  <c:v>55.020460822503807</c:v>
                </c:pt>
                <c:pt idx="132">
                  <c:v>52.529355754578582</c:v>
                </c:pt>
                <c:pt idx="133">
                  <c:v>50.000001825464786</c:v>
                </c:pt>
                <c:pt idx="134">
                  <c:v>47.433971372563768</c:v>
                </c:pt>
                <c:pt idx="135">
                  <c:v>44.832859532723496</c:v>
                </c:pt>
                <c:pt idx="136">
                  <c:v>42.198283250644259</c:v>
                </c:pt>
                <c:pt idx="137">
                  <c:v>39.531880273727573</c:v>
                </c:pt>
                <c:pt idx="138">
                  <c:v>36.835308133993479</c:v>
                </c:pt>
                <c:pt idx="139">
                  <c:v>34.110243117699014</c:v>
                </c:pt>
                <c:pt idx="140">
                  <c:v>31.358379223298492</c:v>
                </c:pt>
                <c:pt idx="141">
                  <c:v>28.581427108392873</c:v>
                </c:pt>
                <c:pt idx="142">
                  <c:v>25.781113026323638</c:v>
                </c:pt>
                <c:pt idx="143">
                  <c:v>22.959177753071529</c:v>
                </c:pt>
                <c:pt idx="144">
                  <c:v>20.117375505127672</c:v>
                </c:pt>
                <c:pt idx="145">
                  <c:v>17.257472849009325</c:v>
                </c:pt>
                <c:pt idx="146">
                  <c:v>14.381247603098693</c:v>
                </c:pt>
                <c:pt idx="147">
                  <c:v>11.4904877324871</c:v>
                </c:pt>
                <c:pt idx="148">
                  <c:v>8.5869902375114009</c:v>
                </c:pt>
                <c:pt idx="149">
                  <c:v>5.6725600366741151</c:v>
                </c:pt>
                <c:pt idx="150">
                  <c:v>2.7490088446409864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1.9499106062863438</c:v>
                </c:pt>
                <c:pt idx="156">
                  <c:v>0.4353759783197173</c:v>
                </c:pt>
                <c:pt idx="157">
                  <c:v>-1.8969752270526943</c:v>
                </c:pt>
                <c:pt idx="158">
                  <c:v>-4.3589076120530557</c:v>
                </c:pt>
                <c:pt idx="159">
                  <c:v>-6.8839803504483132</c:v>
                </c:pt>
                <c:pt idx="160">
                  <c:v>-9.445701924974987</c:v>
                </c:pt>
                <c:pt idx="161">
                  <c:v>-12.029847191518842</c:v>
                </c:pt>
                <c:pt idx="162">
                  <c:v>-14.627414945166993</c:v>
                </c:pt>
                <c:pt idx="163">
                  <c:v>-17.232056846141056</c:v>
                </c:pt>
                <c:pt idx="164">
                  <c:v>-19.838932677723623</c:v>
                </c:pt>
                <c:pt idx="165">
                  <c:v>-22.444130304605075</c:v>
                </c:pt>
                <c:pt idx="166">
                  <c:v>-25.044343452319694</c:v>
                </c:pt>
                <c:pt idx="167">
                  <c:v>-27.636679898033758</c:v>
                </c:pt>
                <c:pt idx="168">
                  <c:v>-30.218540957437643</c:v>
                </c:pt>
                <c:pt idx="169">
                  <c:v>-32.78754241013354</c:v>
                </c:pt>
                <c:pt idx="170">
                  <c:v>-35.341460734846422</c:v>
                </c:pt>
                <c:pt idx="171">
                  <c:v>-37.87819545249797</c:v>
                </c:pt>
                <c:pt idx="172">
                  <c:v>-40.395742083457577</c:v>
                </c:pt>
                <c:pt idx="173">
                  <c:v>-42.892172311294814</c:v>
                </c:pt>
                <c:pt idx="174">
                  <c:v>-45.365619169152751</c:v>
                </c:pt>
                <c:pt idx="175">
                  <c:v>-47.814265809250514</c:v>
                </c:pt>
                <c:pt idx="176">
                  <c:v>-50.2363368832779</c:v>
                </c:pt>
                <c:pt idx="177">
                  <c:v>-52.630091862955695</c:v>
                </c:pt>
                <c:pt idx="178">
                  <c:v>-54.993819829410697</c:v>
                </c:pt>
                <c:pt idx="179">
                  <c:v>-57.325835394749546</c:v>
                </c:pt>
                <c:pt idx="180">
                  <c:v>-59.624475512051248</c:v>
                </c:pt>
                <c:pt idx="181">
                  <c:v>-61.888096995078456</c:v>
                </c:pt>
                <c:pt idx="182">
                  <c:v>-64.115074615332276</c:v>
                </c:pt>
                <c:pt idx="183">
                  <c:v>-66.30379967749289</c:v>
                </c:pt>
                <c:pt idx="184">
                  <c:v>-68.452678998667324</c:v>
                </c:pt>
                <c:pt idx="185">
                  <c:v>-70.560134234811926</c:v>
                </c:pt>
                <c:pt idx="186">
                  <c:v>-72.62460151099414</c:v>
                </c:pt>
                <c:pt idx="187">
                  <c:v>-74.644531322041644</c:v>
                </c:pt>
                <c:pt idx="188">
                  <c:v>-76.618388677470904</c:v>
                </c:pt>
                <c:pt idx="189">
                  <c:v>-78.544653470010275</c:v>
                </c:pt>
                <c:pt idx="190">
                  <c:v>-80.421821050989195</c:v>
                </c:pt>
                <c:pt idx="191">
                  <c:v>-82.248402998682764</c:v>
                </c:pt>
                <c:pt idx="192">
                  <c:v>-84.022928067629167</c:v>
                </c:pt>
                <c:pt idx="193">
                  <c:v>-85.743943308162585</c:v>
                </c:pt>
                <c:pt idx="194">
                  <c:v>-87.410015346074147</c:v>
                </c:pt>
                <c:pt idx="195">
                  <c:v>-89.019731812542062</c:v>
                </c:pt>
                <c:pt idx="196">
                  <c:v>-90.571702914357161</c:v>
                </c:pt>
                <c:pt idx="197">
                  <c:v>-92.064563134086512</c:v>
                </c:pt>
                <c:pt idx="198">
                  <c:v>-93.496973049239003</c:v>
                </c:pt>
                <c:pt idx="199">
                  <c:v>-94.867621258778129</c:v>
                </c:pt>
                <c:pt idx="200">
                  <c:v>-96.175226404524849</c:v>
                </c:pt>
                <c:pt idx="201">
                  <c:v>-97.418539274155421</c:v>
                </c:pt>
                <c:pt idx="202">
                  <c:v>-98.596344971669311</c:v>
                </c:pt>
                <c:pt idx="203">
                  <c:v>-99.707465140420894</c:v>
                </c:pt>
                <c:pt idx="204">
                  <c:v>-100.75076022311241</c:v>
                </c:pt>
                <c:pt idx="205">
                  <c:v>-101.72513174256733</c:v>
                </c:pt>
                <c:pt idx="206">
                  <c:v>-102.62952458666661</c:v>
                </c:pt>
                <c:pt idx="207">
                  <c:v>-103.46292928056559</c:v>
                </c:pt>
                <c:pt idx="208">
                  <c:v>-104.22438422922602</c:v>
                </c:pt>
                <c:pt idx="209">
                  <c:v>-104.91297791341526</c:v>
                </c:pt>
                <c:pt idx="210">
                  <c:v>-105.527851022645</c:v>
                </c:pt>
                <c:pt idx="211">
                  <c:v>-106.06819850905003</c:v>
                </c:pt>
                <c:pt idx="212">
                  <c:v>-106.53327154693659</c:v>
                </c:pt>
                <c:pt idx="213">
                  <c:v>-106.92237938365012</c:v>
                </c:pt>
                <c:pt idx="214">
                  <c:v>-107.23489106851224</c:v>
                </c:pt>
                <c:pt idx="215">
                  <c:v>-107.47023704783025</c:v>
                </c:pt>
                <c:pt idx="216">
                  <c:v>-107.62791061537467</c:v>
                </c:pt>
                <c:pt idx="217">
                  <c:v>-107.70746920921601</c:v>
                </c:pt>
                <c:pt idx="218">
                  <c:v>-107.70853554738908</c:v>
                </c:pt>
              </c:numCache>
            </c:numRef>
          </c:xVal>
          <c:yVal>
            <c:numRef>
              <c:f>'5LeverTailRectangle (2)'!$BK$6:$BK$224</c:f>
              <c:numCache>
                <c:formatCode>General</c:formatCode>
                <c:ptCount val="219"/>
              </c:numCache>
            </c:numRef>
          </c:yVal>
          <c:smooth val="0"/>
        </c:ser>
        <c:ser>
          <c:idx val="12"/>
          <c:order val="12"/>
          <c:tx>
            <c:strRef>
              <c:f>'5LeverTailRectangle (2)'!$BL$5</c:f>
              <c:strCache>
                <c:ptCount val="1"/>
                <c:pt idx="0">
                  <c:v>R11</c:v>
                </c:pt>
              </c:strCache>
            </c:strRef>
          </c:tx>
          <c:xVal>
            <c:numRef>
              <c:f>'5LeverTailRectangle (2)'!$AY$6:$AY$224</c:f>
              <c:numCache>
                <c:formatCode>General</c:formatCode>
                <c:ptCount val="219"/>
                <c:pt idx="0">
                  <c:v>25.831728158814009</c:v>
                </c:pt>
                <c:pt idx="1">
                  <c:v>6.2470713789350008</c:v>
                </c:pt>
                <c:pt idx="2">
                  <c:v>-10.476366362152248</c:v>
                </c:pt>
                <c:pt idx="3">
                  <c:v>-25.334503129260767</c:v>
                </c:pt>
                <c:pt idx="4">
                  <c:v>-38.852682394788737</c:v>
                </c:pt>
                <c:pt idx="13">
                  <c:v>-28</c:v>
                </c:pt>
                <c:pt idx="14">
                  <c:v>-20.21679081077513</c:v>
                </c:pt>
                <c:pt idx="15">
                  <c:v>25.831728158814009</c:v>
                </c:pt>
                <c:pt idx="16">
                  <c:v>51.513994255268372</c:v>
                </c:pt>
                <c:pt idx="17">
                  <c:v>28</c:v>
                </c:pt>
                <c:pt idx="18">
                  <c:v>-28</c:v>
                </c:pt>
                <c:pt idx="19">
                  <c:v>-39.008519624966944</c:v>
                </c:pt>
                <c:pt idx="20">
                  <c:v>6.2470713789350008</c:v>
                </c:pt>
                <c:pt idx="21">
                  <c:v>46.114448516120859</c:v>
                </c:pt>
                <c:pt idx="22">
                  <c:v>28</c:v>
                </c:pt>
                <c:pt idx="23">
                  <c:v>-28</c:v>
                </c:pt>
                <c:pt idx="24">
                  <c:v>-49.476702144482829</c:v>
                </c:pt>
                <c:pt idx="25">
                  <c:v>-10.476366362152248</c:v>
                </c:pt>
                <c:pt idx="26">
                  <c:v>37.740003922390386</c:v>
                </c:pt>
                <c:pt idx="27">
                  <c:v>28</c:v>
                </c:pt>
                <c:pt idx="28">
                  <c:v>-28</c:v>
                </c:pt>
                <c:pt idx="29">
                  <c:v>-54.518554557879654</c:v>
                </c:pt>
                <c:pt idx="30">
                  <c:v>-25.334503129260767</c:v>
                </c:pt>
                <c:pt idx="31">
                  <c:v>26.074345174939772</c:v>
                </c:pt>
                <c:pt idx="32">
                  <c:v>28</c:v>
                </c:pt>
                <c:pt idx="33">
                  <c:v>-28</c:v>
                </c:pt>
                <c:pt idx="34">
                  <c:v>-55.662348784867049</c:v>
                </c:pt>
                <c:pt idx="35">
                  <c:v>-38.852682394788737</c:v>
                </c:pt>
                <c:pt idx="80">
                  <c:v>-11.286006599795854</c:v>
                </c:pt>
                <c:pt idx="81">
                  <c:v>70</c:v>
                </c:pt>
                <c:pt idx="82">
                  <c:v>50.151091411687077</c:v>
                </c:pt>
                <c:pt idx="83">
                  <c:v>39.083477722548608</c:v>
                </c:pt>
                <c:pt idx="84">
                  <c:v>9</c:v>
                </c:pt>
                <c:pt idx="85">
                  <c:v>-9</c:v>
                </c:pt>
                <c:pt idx="86">
                  <c:v>-35.05373744672503</c:v>
                </c:pt>
                <c:pt idx="87">
                  <c:v>-70</c:v>
                </c:pt>
                <c:pt idx="88">
                  <c:v>-61.466610306763862</c:v>
                </c:pt>
                <c:pt idx="89">
                  <c:v>2.8488307653754443</c:v>
                </c:pt>
                <c:pt idx="90">
                  <c:v>9</c:v>
                </c:pt>
                <c:pt idx="91">
                  <c:v>109</c:v>
                </c:pt>
                <c:pt idx="92">
                  <c:v>108.96332347734752</c:v>
                </c:pt>
                <c:pt idx="93">
                  <c:v>108.8533167088361</c:v>
                </c:pt>
                <c:pt idx="94">
                  <c:v>108.67004807863076</c:v>
                </c:pt>
                <c:pt idx="95">
                  <c:v>108.41363151310553</c:v>
                </c:pt>
                <c:pt idx="96">
                  <c:v>108.08422641002265</c:v>
                </c:pt>
                <c:pt idx="97">
                  <c:v>107.6820375394453</c:v>
                </c:pt>
                <c:pt idx="98">
                  <c:v>107.20731491644504</c:v>
                </c:pt>
                <c:pt idx="99">
                  <c:v>106.66035364568347</c:v>
                </c:pt>
                <c:pt idx="100">
                  <c:v>106.04149373796464</c:v>
                </c:pt>
                <c:pt idx="101">
                  <c:v>105.351119898872</c:v>
                </c:pt>
                <c:pt idx="102">
                  <c:v>104.58966128962159</c:v>
                </c:pt>
                <c:pt idx="103">
                  <c:v>103.75759126028008</c:v>
                </c:pt>
                <c:pt idx="104">
                  <c:v>102.85542705551322</c:v>
                </c:pt>
                <c:pt idx="105">
                  <c:v>101.88372949304798</c:v>
                </c:pt>
                <c:pt idx="106">
                  <c:v>100.84310261504811</c:v>
                </c:pt>
                <c:pt idx="107">
                  <c:v>99.734193312619794</c:v>
                </c:pt>
                <c:pt idx="108">
                  <c:v>98.557690923680809</c:v>
                </c:pt>
                <c:pt idx="109">
                  <c:v>97.314326804443354</c:v>
                </c:pt>
                <c:pt idx="110">
                  <c:v>96.004873874776649</c:v>
                </c:pt>
                <c:pt idx="111">
                  <c:v>94.630146137732154</c:v>
                </c:pt>
                <c:pt idx="112">
                  <c:v>93.190998173530048</c:v>
                </c:pt>
                <c:pt idx="113">
                  <c:v>91.688324608321324</c:v>
                </c:pt>
                <c:pt idx="114">
                  <c:v>90.123059558056042</c:v>
                </c:pt>
                <c:pt idx="115">
                  <c:v>88.496176047803246</c:v>
                </c:pt>
                <c:pt idx="116">
                  <c:v>86.808685406883541</c:v>
                </c:pt>
                <c:pt idx="117">
                  <c:v>85.061636640190457</c:v>
                </c:pt>
                <c:pt idx="118">
                  <c:v>83.256115776091235</c:v>
                </c:pt>
                <c:pt idx="119">
                  <c:v>81.393245191312488</c:v>
                </c:pt>
                <c:pt idx="120">
                  <c:v>79.474182913230521</c:v>
                </c:pt>
                <c:pt idx="121">
                  <c:v>77.500121899999812</c:v>
                </c:pt>
                <c:pt idx="122">
                  <c:v>75.472289298967283</c:v>
                </c:pt>
                <c:pt idx="123">
                  <c:v>73.391945683833413</c:v>
                </c:pt>
                <c:pt idx="124">
                  <c:v>71.260384271034184</c:v>
                </c:pt>
                <c:pt idx="125">
                  <c:v>69.078930115831355</c:v>
                </c:pt>
                <c:pt idx="126">
                  <c:v>66.84893928861031</c:v>
                </c:pt>
                <c:pt idx="127">
                  <c:v>64.571798031898012</c:v>
                </c:pt>
                <c:pt idx="128">
                  <c:v>62.248921898624673</c:v>
                </c:pt>
                <c:pt idx="129">
                  <c:v>59.881754872165274</c:v>
                </c:pt>
                <c:pt idx="130">
                  <c:v>57.471768468707353</c:v>
                </c:pt>
                <c:pt idx="131">
                  <c:v>55.020460822503807</c:v>
                </c:pt>
                <c:pt idx="132">
                  <c:v>52.529355754578582</c:v>
                </c:pt>
                <c:pt idx="133">
                  <c:v>50.000001825464786</c:v>
                </c:pt>
                <c:pt idx="134">
                  <c:v>47.433971372563768</c:v>
                </c:pt>
                <c:pt idx="135">
                  <c:v>44.832859532723496</c:v>
                </c:pt>
                <c:pt idx="136">
                  <c:v>42.198283250644259</c:v>
                </c:pt>
                <c:pt idx="137">
                  <c:v>39.531880273727573</c:v>
                </c:pt>
                <c:pt idx="138">
                  <c:v>36.835308133993479</c:v>
                </c:pt>
                <c:pt idx="139">
                  <c:v>34.110243117699014</c:v>
                </c:pt>
                <c:pt idx="140">
                  <c:v>31.358379223298492</c:v>
                </c:pt>
                <c:pt idx="141">
                  <c:v>28.581427108392873</c:v>
                </c:pt>
                <c:pt idx="142">
                  <c:v>25.781113026323638</c:v>
                </c:pt>
                <c:pt idx="143">
                  <c:v>22.959177753071529</c:v>
                </c:pt>
                <c:pt idx="144">
                  <c:v>20.117375505127672</c:v>
                </c:pt>
                <c:pt idx="145">
                  <c:v>17.257472849009325</c:v>
                </c:pt>
                <c:pt idx="146">
                  <c:v>14.381247603098693</c:v>
                </c:pt>
                <c:pt idx="147">
                  <c:v>11.4904877324871</c:v>
                </c:pt>
                <c:pt idx="148">
                  <c:v>8.5869902375114009</c:v>
                </c:pt>
                <c:pt idx="149">
                  <c:v>5.6725600366741151</c:v>
                </c:pt>
                <c:pt idx="150">
                  <c:v>2.7490088446409864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1.9499106062863438</c:v>
                </c:pt>
                <c:pt idx="156">
                  <c:v>0.4353759783197173</c:v>
                </c:pt>
                <c:pt idx="157">
                  <c:v>-1.8969752270526943</c:v>
                </c:pt>
                <c:pt idx="158">
                  <c:v>-4.3589076120530557</c:v>
                </c:pt>
                <c:pt idx="159">
                  <c:v>-6.8839803504483132</c:v>
                </c:pt>
                <c:pt idx="160">
                  <c:v>-9.445701924974987</c:v>
                </c:pt>
                <c:pt idx="161">
                  <c:v>-12.029847191518842</c:v>
                </c:pt>
                <c:pt idx="162">
                  <c:v>-14.627414945166993</c:v>
                </c:pt>
                <c:pt idx="163">
                  <c:v>-17.232056846141056</c:v>
                </c:pt>
                <c:pt idx="164">
                  <c:v>-19.838932677723623</c:v>
                </c:pt>
                <c:pt idx="165">
                  <c:v>-22.444130304605075</c:v>
                </c:pt>
                <c:pt idx="166">
                  <c:v>-25.044343452319694</c:v>
                </c:pt>
                <c:pt idx="167">
                  <c:v>-27.636679898033758</c:v>
                </c:pt>
                <c:pt idx="168">
                  <c:v>-30.218540957437643</c:v>
                </c:pt>
                <c:pt idx="169">
                  <c:v>-32.78754241013354</c:v>
                </c:pt>
                <c:pt idx="170">
                  <c:v>-35.341460734846422</c:v>
                </c:pt>
                <c:pt idx="171">
                  <c:v>-37.87819545249797</c:v>
                </c:pt>
                <c:pt idx="172">
                  <c:v>-40.395742083457577</c:v>
                </c:pt>
                <c:pt idx="173">
                  <c:v>-42.892172311294814</c:v>
                </c:pt>
                <c:pt idx="174">
                  <c:v>-45.365619169152751</c:v>
                </c:pt>
                <c:pt idx="175">
                  <c:v>-47.814265809250514</c:v>
                </c:pt>
                <c:pt idx="176">
                  <c:v>-50.2363368832779</c:v>
                </c:pt>
                <c:pt idx="177">
                  <c:v>-52.630091862955695</c:v>
                </c:pt>
                <c:pt idx="178">
                  <c:v>-54.993819829410697</c:v>
                </c:pt>
                <c:pt idx="179">
                  <c:v>-57.325835394749546</c:v>
                </c:pt>
                <c:pt idx="180">
                  <c:v>-59.624475512051248</c:v>
                </c:pt>
                <c:pt idx="181">
                  <c:v>-61.888096995078456</c:v>
                </c:pt>
                <c:pt idx="182">
                  <c:v>-64.115074615332276</c:v>
                </c:pt>
                <c:pt idx="183">
                  <c:v>-66.30379967749289</c:v>
                </c:pt>
                <c:pt idx="184">
                  <c:v>-68.452678998667324</c:v>
                </c:pt>
                <c:pt idx="185">
                  <c:v>-70.560134234811926</c:v>
                </c:pt>
                <c:pt idx="186">
                  <c:v>-72.62460151099414</c:v>
                </c:pt>
                <c:pt idx="187">
                  <c:v>-74.644531322041644</c:v>
                </c:pt>
                <c:pt idx="188">
                  <c:v>-76.618388677470904</c:v>
                </c:pt>
                <c:pt idx="189">
                  <c:v>-78.544653470010275</c:v>
                </c:pt>
                <c:pt idx="190">
                  <c:v>-80.421821050989195</c:v>
                </c:pt>
                <c:pt idx="191">
                  <c:v>-82.248402998682764</c:v>
                </c:pt>
                <c:pt idx="192">
                  <c:v>-84.022928067629167</c:v>
                </c:pt>
                <c:pt idx="193">
                  <c:v>-85.743943308162585</c:v>
                </c:pt>
                <c:pt idx="194">
                  <c:v>-87.410015346074147</c:v>
                </c:pt>
                <c:pt idx="195">
                  <c:v>-89.019731812542062</c:v>
                </c:pt>
                <c:pt idx="196">
                  <c:v>-90.571702914357161</c:v>
                </c:pt>
                <c:pt idx="197">
                  <c:v>-92.064563134086512</c:v>
                </c:pt>
                <c:pt idx="198">
                  <c:v>-93.496973049239003</c:v>
                </c:pt>
                <c:pt idx="199">
                  <c:v>-94.867621258778129</c:v>
                </c:pt>
                <c:pt idx="200">
                  <c:v>-96.175226404524849</c:v>
                </c:pt>
                <c:pt idx="201">
                  <c:v>-97.418539274155421</c:v>
                </c:pt>
                <c:pt idx="202">
                  <c:v>-98.596344971669311</c:v>
                </c:pt>
                <c:pt idx="203">
                  <c:v>-99.707465140420894</c:v>
                </c:pt>
                <c:pt idx="204">
                  <c:v>-100.75076022311241</c:v>
                </c:pt>
                <c:pt idx="205">
                  <c:v>-101.72513174256733</c:v>
                </c:pt>
                <c:pt idx="206">
                  <c:v>-102.62952458666661</c:v>
                </c:pt>
                <c:pt idx="207">
                  <c:v>-103.46292928056559</c:v>
                </c:pt>
                <c:pt idx="208">
                  <c:v>-104.22438422922602</c:v>
                </c:pt>
                <c:pt idx="209">
                  <c:v>-104.91297791341526</c:v>
                </c:pt>
                <c:pt idx="210">
                  <c:v>-105.527851022645</c:v>
                </c:pt>
                <c:pt idx="211">
                  <c:v>-106.06819850905003</c:v>
                </c:pt>
                <c:pt idx="212">
                  <c:v>-106.53327154693659</c:v>
                </c:pt>
                <c:pt idx="213">
                  <c:v>-106.92237938365012</c:v>
                </c:pt>
                <c:pt idx="214">
                  <c:v>-107.23489106851224</c:v>
                </c:pt>
                <c:pt idx="215">
                  <c:v>-107.47023704783025</c:v>
                </c:pt>
                <c:pt idx="216">
                  <c:v>-107.62791061537467</c:v>
                </c:pt>
                <c:pt idx="217">
                  <c:v>-107.70746920921601</c:v>
                </c:pt>
                <c:pt idx="218">
                  <c:v>-107.70853554738908</c:v>
                </c:pt>
              </c:numCache>
            </c:numRef>
          </c:xVal>
          <c:yVal>
            <c:numRef>
              <c:f>'5LeverTailRectangle (2)'!$BL$6:$BL$224</c:f>
              <c:numCache>
                <c:formatCode>General</c:formatCode>
                <c:ptCount val="219"/>
                <c:pt idx="80">
                  <c:v>-31.918242022794601</c:v>
                </c:pt>
                <c:pt idx="81">
                  <c:v>-60</c:v>
                </c:pt>
                <c:pt idx="82">
                  <c:v>-53.1428265404505</c:v>
                </c:pt>
                <c:pt idx="83">
                  <c:v>10.907995604918501</c:v>
                </c:pt>
                <c:pt idx="84">
                  <c:v>0</c:v>
                </c:pt>
              </c:numCache>
            </c:numRef>
          </c:yVal>
          <c:smooth val="0"/>
        </c:ser>
        <c:ser>
          <c:idx val="13"/>
          <c:order val="13"/>
          <c:tx>
            <c:strRef>
              <c:f>'5LeverTailRectangle (2)'!$BM$5</c:f>
              <c:strCache>
                <c:ptCount val="1"/>
                <c:pt idx="0">
                  <c:v>R12</c:v>
                </c:pt>
              </c:strCache>
            </c:strRef>
          </c:tx>
          <c:xVal>
            <c:numRef>
              <c:f>'5LeverTailRectangle (2)'!$AY$6:$AY$224</c:f>
              <c:numCache>
                <c:formatCode>General</c:formatCode>
                <c:ptCount val="219"/>
                <c:pt idx="0">
                  <c:v>25.831728158814009</c:v>
                </c:pt>
                <c:pt idx="1">
                  <c:v>6.2470713789350008</c:v>
                </c:pt>
                <c:pt idx="2">
                  <c:v>-10.476366362152248</c:v>
                </c:pt>
                <c:pt idx="3">
                  <c:v>-25.334503129260767</c:v>
                </c:pt>
                <c:pt idx="4">
                  <c:v>-38.852682394788737</c:v>
                </c:pt>
                <c:pt idx="13">
                  <c:v>-28</c:v>
                </c:pt>
                <c:pt idx="14">
                  <c:v>-20.21679081077513</c:v>
                </c:pt>
                <c:pt idx="15">
                  <c:v>25.831728158814009</c:v>
                </c:pt>
                <c:pt idx="16">
                  <c:v>51.513994255268372</c:v>
                </c:pt>
                <c:pt idx="17">
                  <c:v>28</c:v>
                </c:pt>
                <c:pt idx="18">
                  <c:v>-28</c:v>
                </c:pt>
                <c:pt idx="19">
                  <c:v>-39.008519624966944</c:v>
                </c:pt>
                <c:pt idx="20">
                  <c:v>6.2470713789350008</c:v>
                </c:pt>
                <c:pt idx="21">
                  <c:v>46.114448516120859</c:v>
                </c:pt>
                <c:pt idx="22">
                  <c:v>28</c:v>
                </c:pt>
                <c:pt idx="23">
                  <c:v>-28</c:v>
                </c:pt>
                <c:pt idx="24">
                  <c:v>-49.476702144482829</c:v>
                </c:pt>
                <c:pt idx="25">
                  <c:v>-10.476366362152248</c:v>
                </c:pt>
                <c:pt idx="26">
                  <c:v>37.740003922390386</c:v>
                </c:pt>
                <c:pt idx="27">
                  <c:v>28</c:v>
                </c:pt>
                <c:pt idx="28">
                  <c:v>-28</c:v>
                </c:pt>
                <c:pt idx="29">
                  <c:v>-54.518554557879654</c:v>
                </c:pt>
                <c:pt idx="30">
                  <c:v>-25.334503129260767</c:v>
                </c:pt>
                <c:pt idx="31">
                  <c:v>26.074345174939772</c:v>
                </c:pt>
                <c:pt idx="32">
                  <c:v>28</c:v>
                </c:pt>
                <c:pt idx="33">
                  <c:v>-28</c:v>
                </c:pt>
                <c:pt idx="34">
                  <c:v>-55.662348784867049</c:v>
                </c:pt>
                <c:pt idx="35">
                  <c:v>-38.852682394788737</c:v>
                </c:pt>
                <c:pt idx="80">
                  <c:v>-11.286006599795854</c:v>
                </c:pt>
                <c:pt idx="81">
                  <c:v>70</c:v>
                </c:pt>
                <c:pt idx="82">
                  <c:v>50.151091411687077</c:v>
                </c:pt>
                <c:pt idx="83">
                  <c:v>39.083477722548608</c:v>
                </c:pt>
                <c:pt idx="84">
                  <c:v>9</c:v>
                </c:pt>
                <c:pt idx="85">
                  <c:v>-9</c:v>
                </c:pt>
                <c:pt idx="86">
                  <c:v>-35.05373744672503</c:v>
                </c:pt>
                <c:pt idx="87">
                  <c:v>-70</c:v>
                </c:pt>
                <c:pt idx="88">
                  <c:v>-61.466610306763862</c:v>
                </c:pt>
                <c:pt idx="89">
                  <c:v>2.8488307653754443</c:v>
                </c:pt>
                <c:pt idx="90">
                  <c:v>9</c:v>
                </c:pt>
                <c:pt idx="91">
                  <c:v>109</c:v>
                </c:pt>
                <c:pt idx="92">
                  <c:v>108.96332347734752</c:v>
                </c:pt>
                <c:pt idx="93">
                  <c:v>108.8533167088361</c:v>
                </c:pt>
                <c:pt idx="94">
                  <c:v>108.67004807863076</c:v>
                </c:pt>
                <c:pt idx="95">
                  <c:v>108.41363151310553</c:v>
                </c:pt>
                <c:pt idx="96">
                  <c:v>108.08422641002265</c:v>
                </c:pt>
                <c:pt idx="97">
                  <c:v>107.6820375394453</c:v>
                </c:pt>
                <c:pt idx="98">
                  <c:v>107.20731491644504</c:v>
                </c:pt>
                <c:pt idx="99">
                  <c:v>106.66035364568347</c:v>
                </c:pt>
                <c:pt idx="100">
                  <c:v>106.04149373796464</c:v>
                </c:pt>
                <c:pt idx="101">
                  <c:v>105.351119898872</c:v>
                </c:pt>
                <c:pt idx="102">
                  <c:v>104.58966128962159</c:v>
                </c:pt>
                <c:pt idx="103">
                  <c:v>103.75759126028008</c:v>
                </c:pt>
                <c:pt idx="104">
                  <c:v>102.85542705551322</c:v>
                </c:pt>
                <c:pt idx="105">
                  <c:v>101.88372949304798</c:v>
                </c:pt>
                <c:pt idx="106">
                  <c:v>100.84310261504811</c:v>
                </c:pt>
                <c:pt idx="107">
                  <c:v>99.734193312619794</c:v>
                </c:pt>
                <c:pt idx="108">
                  <c:v>98.557690923680809</c:v>
                </c:pt>
                <c:pt idx="109">
                  <c:v>97.314326804443354</c:v>
                </c:pt>
                <c:pt idx="110">
                  <c:v>96.004873874776649</c:v>
                </c:pt>
                <c:pt idx="111">
                  <c:v>94.630146137732154</c:v>
                </c:pt>
                <c:pt idx="112">
                  <c:v>93.190998173530048</c:v>
                </c:pt>
                <c:pt idx="113">
                  <c:v>91.688324608321324</c:v>
                </c:pt>
                <c:pt idx="114">
                  <c:v>90.123059558056042</c:v>
                </c:pt>
                <c:pt idx="115">
                  <c:v>88.496176047803246</c:v>
                </c:pt>
                <c:pt idx="116">
                  <c:v>86.808685406883541</c:v>
                </c:pt>
                <c:pt idx="117">
                  <c:v>85.061636640190457</c:v>
                </c:pt>
                <c:pt idx="118">
                  <c:v>83.256115776091235</c:v>
                </c:pt>
                <c:pt idx="119">
                  <c:v>81.393245191312488</c:v>
                </c:pt>
                <c:pt idx="120">
                  <c:v>79.474182913230521</c:v>
                </c:pt>
                <c:pt idx="121">
                  <c:v>77.500121899999812</c:v>
                </c:pt>
                <c:pt idx="122">
                  <c:v>75.472289298967283</c:v>
                </c:pt>
                <c:pt idx="123">
                  <c:v>73.391945683833413</c:v>
                </c:pt>
                <c:pt idx="124">
                  <c:v>71.260384271034184</c:v>
                </c:pt>
                <c:pt idx="125">
                  <c:v>69.078930115831355</c:v>
                </c:pt>
                <c:pt idx="126">
                  <c:v>66.84893928861031</c:v>
                </c:pt>
                <c:pt idx="127">
                  <c:v>64.571798031898012</c:v>
                </c:pt>
                <c:pt idx="128">
                  <c:v>62.248921898624673</c:v>
                </c:pt>
                <c:pt idx="129">
                  <c:v>59.881754872165274</c:v>
                </c:pt>
                <c:pt idx="130">
                  <c:v>57.471768468707353</c:v>
                </c:pt>
                <c:pt idx="131">
                  <c:v>55.020460822503807</c:v>
                </c:pt>
                <c:pt idx="132">
                  <c:v>52.529355754578582</c:v>
                </c:pt>
                <c:pt idx="133">
                  <c:v>50.000001825464786</c:v>
                </c:pt>
                <c:pt idx="134">
                  <c:v>47.433971372563768</c:v>
                </c:pt>
                <c:pt idx="135">
                  <c:v>44.832859532723496</c:v>
                </c:pt>
                <c:pt idx="136">
                  <c:v>42.198283250644259</c:v>
                </c:pt>
                <c:pt idx="137">
                  <c:v>39.531880273727573</c:v>
                </c:pt>
                <c:pt idx="138">
                  <c:v>36.835308133993479</c:v>
                </c:pt>
                <c:pt idx="139">
                  <c:v>34.110243117699014</c:v>
                </c:pt>
                <c:pt idx="140">
                  <c:v>31.358379223298492</c:v>
                </c:pt>
                <c:pt idx="141">
                  <c:v>28.581427108392873</c:v>
                </c:pt>
                <c:pt idx="142">
                  <c:v>25.781113026323638</c:v>
                </c:pt>
                <c:pt idx="143">
                  <c:v>22.959177753071529</c:v>
                </c:pt>
                <c:pt idx="144">
                  <c:v>20.117375505127672</c:v>
                </c:pt>
                <c:pt idx="145">
                  <c:v>17.257472849009325</c:v>
                </c:pt>
                <c:pt idx="146">
                  <c:v>14.381247603098693</c:v>
                </c:pt>
                <c:pt idx="147">
                  <c:v>11.4904877324871</c:v>
                </c:pt>
                <c:pt idx="148">
                  <c:v>8.5869902375114009</c:v>
                </c:pt>
                <c:pt idx="149">
                  <c:v>5.6725600366741151</c:v>
                </c:pt>
                <c:pt idx="150">
                  <c:v>2.7490088446409864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1.9499106062863438</c:v>
                </c:pt>
                <c:pt idx="156">
                  <c:v>0.4353759783197173</c:v>
                </c:pt>
                <c:pt idx="157">
                  <c:v>-1.8969752270526943</c:v>
                </c:pt>
                <c:pt idx="158">
                  <c:v>-4.3589076120530557</c:v>
                </c:pt>
                <c:pt idx="159">
                  <c:v>-6.8839803504483132</c:v>
                </c:pt>
                <c:pt idx="160">
                  <c:v>-9.445701924974987</c:v>
                </c:pt>
                <c:pt idx="161">
                  <c:v>-12.029847191518842</c:v>
                </c:pt>
                <c:pt idx="162">
                  <c:v>-14.627414945166993</c:v>
                </c:pt>
                <c:pt idx="163">
                  <c:v>-17.232056846141056</c:v>
                </c:pt>
                <c:pt idx="164">
                  <c:v>-19.838932677723623</c:v>
                </c:pt>
                <c:pt idx="165">
                  <c:v>-22.444130304605075</c:v>
                </c:pt>
                <c:pt idx="166">
                  <c:v>-25.044343452319694</c:v>
                </c:pt>
                <c:pt idx="167">
                  <c:v>-27.636679898033758</c:v>
                </c:pt>
                <c:pt idx="168">
                  <c:v>-30.218540957437643</c:v>
                </c:pt>
                <c:pt idx="169">
                  <c:v>-32.78754241013354</c:v>
                </c:pt>
                <c:pt idx="170">
                  <c:v>-35.341460734846422</c:v>
                </c:pt>
                <c:pt idx="171">
                  <c:v>-37.87819545249797</c:v>
                </c:pt>
                <c:pt idx="172">
                  <c:v>-40.395742083457577</c:v>
                </c:pt>
                <c:pt idx="173">
                  <c:v>-42.892172311294814</c:v>
                </c:pt>
                <c:pt idx="174">
                  <c:v>-45.365619169152751</c:v>
                </c:pt>
                <c:pt idx="175">
                  <c:v>-47.814265809250514</c:v>
                </c:pt>
                <c:pt idx="176">
                  <c:v>-50.2363368832779</c:v>
                </c:pt>
                <c:pt idx="177">
                  <c:v>-52.630091862955695</c:v>
                </c:pt>
                <c:pt idx="178">
                  <c:v>-54.993819829410697</c:v>
                </c:pt>
                <c:pt idx="179">
                  <c:v>-57.325835394749546</c:v>
                </c:pt>
                <c:pt idx="180">
                  <c:v>-59.624475512051248</c:v>
                </c:pt>
                <c:pt idx="181">
                  <c:v>-61.888096995078456</c:v>
                </c:pt>
                <c:pt idx="182">
                  <c:v>-64.115074615332276</c:v>
                </c:pt>
                <c:pt idx="183">
                  <c:v>-66.30379967749289</c:v>
                </c:pt>
                <c:pt idx="184">
                  <c:v>-68.452678998667324</c:v>
                </c:pt>
                <c:pt idx="185">
                  <c:v>-70.560134234811926</c:v>
                </c:pt>
                <c:pt idx="186">
                  <c:v>-72.62460151099414</c:v>
                </c:pt>
                <c:pt idx="187">
                  <c:v>-74.644531322041644</c:v>
                </c:pt>
                <c:pt idx="188">
                  <c:v>-76.618388677470904</c:v>
                </c:pt>
                <c:pt idx="189">
                  <c:v>-78.544653470010275</c:v>
                </c:pt>
                <c:pt idx="190">
                  <c:v>-80.421821050989195</c:v>
                </c:pt>
                <c:pt idx="191">
                  <c:v>-82.248402998682764</c:v>
                </c:pt>
                <c:pt idx="192">
                  <c:v>-84.022928067629167</c:v>
                </c:pt>
                <c:pt idx="193">
                  <c:v>-85.743943308162585</c:v>
                </c:pt>
                <c:pt idx="194">
                  <c:v>-87.410015346074147</c:v>
                </c:pt>
                <c:pt idx="195">
                  <c:v>-89.019731812542062</c:v>
                </c:pt>
                <c:pt idx="196">
                  <c:v>-90.571702914357161</c:v>
                </c:pt>
                <c:pt idx="197">
                  <c:v>-92.064563134086512</c:v>
                </c:pt>
                <c:pt idx="198">
                  <c:v>-93.496973049239003</c:v>
                </c:pt>
                <c:pt idx="199">
                  <c:v>-94.867621258778129</c:v>
                </c:pt>
                <c:pt idx="200">
                  <c:v>-96.175226404524849</c:v>
                </c:pt>
                <c:pt idx="201">
                  <c:v>-97.418539274155421</c:v>
                </c:pt>
                <c:pt idx="202">
                  <c:v>-98.596344971669311</c:v>
                </c:pt>
                <c:pt idx="203">
                  <c:v>-99.707465140420894</c:v>
                </c:pt>
                <c:pt idx="204">
                  <c:v>-100.75076022311241</c:v>
                </c:pt>
                <c:pt idx="205">
                  <c:v>-101.72513174256733</c:v>
                </c:pt>
                <c:pt idx="206">
                  <c:v>-102.62952458666661</c:v>
                </c:pt>
                <c:pt idx="207">
                  <c:v>-103.46292928056559</c:v>
                </c:pt>
                <c:pt idx="208">
                  <c:v>-104.22438422922602</c:v>
                </c:pt>
                <c:pt idx="209">
                  <c:v>-104.91297791341526</c:v>
                </c:pt>
                <c:pt idx="210">
                  <c:v>-105.527851022645</c:v>
                </c:pt>
                <c:pt idx="211">
                  <c:v>-106.06819850905003</c:v>
                </c:pt>
                <c:pt idx="212">
                  <c:v>-106.53327154693659</c:v>
                </c:pt>
                <c:pt idx="213">
                  <c:v>-106.92237938365012</c:v>
                </c:pt>
                <c:pt idx="214">
                  <c:v>-107.23489106851224</c:v>
                </c:pt>
                <c:pt idx="215">
                  <c:v>-107.47023704783025</c:v>
                </c:pt>
                <c:pt idx="216">
                  <c:v>-107.62791061537467</c:v>
                </c:pt>
                <c:pt idx="217">
                  <c:v>-107.70746920921601</c:v>
                </c:pt>
                <c:pt idx="218">
                  <c:v>-107.70853554738908</c:v>
                </c:pt>
              </c:numCache>
            </c:numRef>
          </c:xVal>
          <c:yVal>
            <c:numRef>
              <c:f>'5LeverTailRectangle (2)'!$BM$6:$BM$224</c:f>
              <c:numCache>
                <c:formatCode>General</c:formatCode>
                <c:ptCount val="219"/>
                <c:pt idx="85">
                  <c:v>0</c:v>
                </c:pt>
                <c:pt idx="86">
                  <c:v>18.579633071110901</c:v>
                </c:pt>
                <c:pt idx="87">
                  <c:v>-60</c:v>
                </c:pt>
                <c:pt idx="88">
                  <c:v>-40.811950064038697</c:v>
                </c:pt>
                <c:pt idx="89">
                  <c:v>-31.403234181322901</c:v>
                </c:pt>
                <c:pt idx="90">
                  <c:v>0</c:v>
                </c:pt>
              </c:numCache>
            </c:numRef>
          </c:yVal>
          <c:smooth val="0"/>
        </c:ser>
        <c:ser>
          <c:idx val="14"/>
          <c:order val="14"/>
          <c:tx>
            <c:strRef>
              <c:f>'5LeverTailRectangle (2)'!$BN$5</c:f>
              <c:strCache>
                <c:ptCount val="1"/>
                <c:pt idx="0">
                  <c:v>RL</c:v>
                </c:pt>
              </c:strCache>
            </c:strRef>
          </c:tx>
          <c:spPr>
            <a:ln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'5LeverTailRectangle (2)'!$AY$6:$AY$224</c:f>
              <c:numCache>
                <c:formatCode>General</c:formatCode>
                <c:ptCount val="219"/>
                <c:pt idx="0">
                  <c:v>25.831728158814009</c:v>
                </c:pt>
                <c:pt idx="1">
                  <c:v>6.2470713789350008</c:v>
                </c:pt>
                <c:pt idx="2">
                  <c:v>-10.476366362152248</c:v>
                </c:pt>
                <c:pt idx="3">
                  <c:v>-25.334503129260767</c:v>
                </c:pt>
                <c:pt idx="4">
                  <c:v>-38.852682394788737</c:v>
                </c:pt>
                <c:pt idx="13">
                  <c:v>-28</c:v>
                </c:pt>
                <c:pt idx="14">
                  <c:v>-20.21679081077513</c:v>
                </c:pt>
                <c:pt idx="15">
                  <c:v>25.831728158814009</c:v>
                </c:pt>
                <c:pt idx="16">
                  <c:v>51.513994255268372</c:v>
                </c:pt>
                <c:pt idx="17">
                  <c:v>28</c:v>
                </c:pt>
                <c:pt idx="18">
                  <c:v>-28</c:v>
                </c:pt>
                <c:pt idx="19">
                  <c:v>-39.008519624966944</c:v>
                </c:pt>
                <c:pt idx="20">
                  <c:v>6.2470713789350008</c:v>
                </c:pt>
                <c:pt idx="21">
                  <c:v>46.114448516120859</c:v>
                </c:pt>
                <c:pt idx="22">
                  <c:v>28</c:v>
                </c:pt>
                <c:pt idx="23">
                  <c:v>-28</c:v>
                </c:pt>
                <c:pt idx="24">
                  <c:v>-49.476702144482829</c:v>
                </c:pt>
                <c:pt idx="25">
                  <c:v>-10.476366362152248</c:v>
                </c:pt>
                <c:pt idx="26">
                  <c:v>37.740003922390386</c:v>
                </c:pt>
                <c:pt idx="27">
                  <c:v>28</c:v>
                </c:pt>
                <c:pt idx="28">
                  <c:v>-28</c:v>
                </c:pt>
                <c:pt idx="29">
                  <c:v>-54.518554557879654</c:v>
                </c:pt>
                <c:pt idx="30">
                  <c:v>-25.334503129260767</c:v>
                </c:pt>
                <c:pt idx="31">
                  <c:v>26.074345174939772</c:v>
                </c:pt>
                <c:pt idx="32">
                  <c:v>28</c:v>
                </c:pt>
                <c:pt idx="33">
                  <c:v>-28</c:v>
                </c:pt>
                <c:pt idx="34">
                  <c:v>-55.662348784867049</c:v>
                </c:pt>
                <c:pt idx="35">
                  <c:v>-38.852682394788737</c:v>
                </c:pt>
                <c:pt idx="80">
                  <c:v>-11.286006599795854</c:v>
                </c:pt>
                <c:pt idx="81">
                  <c:v>70</c:v>
                </c:pt>
                <c:pt idx="82">
                  <c:v>50.151091411687077</c:v>
                </c:pt>
                <c:pt idx="83">
                  <c:v>39.083477722548608</c:v>
                </c:pt>
                <c:pt idx="84">
                  <c:v>9</c:v>
                </c:pt>
                <c:pt idx="85">
                  <c:v>-9</c:v>
                </c:pt>
                <c:pt idx="86">
                  <c:v>-35.05373744672503</c:v>
                </c:pt>
                <c:pt idx="87">
                  <c:v>-70</c:v>
                </c:pt>
                <c:pt idx="88">
                  <c:v>-61.466610306763862</c:v>
                </c:pt>
                <c:pt idx="89">
                  <c:v>2.8488307653754443</c:v>
                </c:pt>
                <c:pt idx="90">
                  <c:v>9</c:v>
                </c:pt>
                <c:pt idx="91">
                  <c:v>109</c:v>
                </c:pt>
                <c:pt idx="92">
                  <c:v>108.96332347734752</c:v>
                </c:pt>
                <c:pt idx="93">
                  <c:v>108.8533167088361</c:v>
                </c:pt>
                <c:pt idx="94">
                  <c:v>108.67004807863076</c:v>
                </c:pt>
                <c:pt idx="95">
                  <c:v>108.41363151310553</c:v>
                </c:pt>
                <c:pt idx="96">
                  <c:v>108.08422641002265</c:v>
                </c:pt>
                <c:pt idx="97">
                  <c:v>107.6820375394453</c:v>
                </c:pt>
                <c:pt idx="98">
                  <c:v>107.20731491644504</c:v>
                </c:pt>
                <c:pt idx="99">
                  <c:v>106.66035364568347</c:v>
                </c:pt>
                <c:pt idx="100">
                  <c:v>106.04149373796464</c:v>
                </c:pt>
                <c:pt idx="101">
                  <c:v>105.351119898872</c:v>
                </c:pt>
                <c:pt idx="102">
                  <c:v>104.58966128962159</c:v>
                </c:pt>
                <c:pt idx="103">
                  <c:v>103.75759126028008</c:v>
                </c:pt>
                <c:pt idx="104">
                  <c:v>102.85542705551322</c:v>
                </c:pt>
                <c:pt idx="105">
                  <c:v>101.88372949304798</c:v>
                </c:pt>
                <c:pt idx="106">
                  <c:v>100.84310261504811</c:v>
                </c:pt>
                <c:pt idx="107">
                  <c:v>99.734193312619794</c:v>
                </c:pt>
                <c:pt idx="108">
                  <c:v>98.557690923680809</c:v>
                </c:pt>
                <c:pt idx="109">
                  <c:v>97.314326804443354</c:v>
                </c:pt>
                <c:pt idx="110">
                  <c:v>96.004873874776649</c:v>
                </c:pt>
                <c:pt idx="111">
                  <c:v>94.630146137732154</c:v>
                </c:pt>
                <c:pt idx="112">
                  <c:v>93.190998173530048</c:v>
                </c:pt>
                <c:pt idx="113">
                  <c:v>91.688324608321324</c:v>
                </c:pt>
                <c:pt idx="114">
                  <c:v>90.123059558056042</c:v>
                </c:pt>
                <c:pt idx="115">
                  <c:v>88.496176047803246</c:v>
                </c:pt>
                <c:pt idx="116">
                  <c:v>86.808685406883541</c:v>
                </c:pt>
                <c:pt idx="117">
                  <c:v>85.061636640190457</c:v>
                </c:pt>
                <c:pt idx="118">
                  <c:v>83.256115776091235</c:v>
                </c:pt>
                <c:pt idx="119">
                  <c:v>81.393245191312488</c:v>
                </c:pt>
                <c:pt idx="120">
                  <c:v>79.474182913230521</c:v>
                </c:pt>
                <c:pt idx="121">
                  <c:v>77.500121899999812</c:v>
                </c:pt>
                <c:pt idx="122">
                  <c:v>75.472289298967283</c:v>
                </c:pt>
                <c:pt idx="123">
                  <c:v>73.391945683833413</c:v>
                </c:pt>
                <c:pt idx="124">
                  <c:v>71.260384271034184</c:v>
                </c:pt>
                <c:pt idx="125">
                  <c:v>69.078930115831355</c:v>
                </c:pt>
                <c:pt idx="126">
                  <c:v>66.84893928861031</c:v>
                </c:pt>
                <c:pt idx="127">
                  <c:v>64.571798031898012</c:v>
                </c:pt>
                <c:pt idx="128">
                  <c:v>62.248921898624673</c:v>
                </c:pt>
                <c:pt idx="129">
                  <c:v>59.881754872165274</c:v>
                </c:pt>
                <c:pt idx="130">
                  <c:v>57.471768468707353</c:v>
                </c:pt>
                <c:pt idx="131">
                  <c:v>55.020460822503807</c:v>
                </c:pt>
                <c:pt idx="132">
                  <c:v>52.529355754578582</c:v>
                </c:pt>
                <c:pt idx="133">
                  <c:v>50.000001825464786</c:v>
                </c:pt>
                <c:pt idx="134">
                  <c:v>47.433971372563768</c:v>
                </c:pt>
                <c:pt idx="135">
                  <c:v>44.832859532723496</c:v>
                </c:pt>
                <c:pt idx="136">
                  <c:v>42.198283250644259</c:v>
                </c:pt>
                <c:pt idx="137">
                  <c:v>39.531880273727573</c:v>
                </c:pt>
                <c:pt idx="138">
                  <c:v>36.835308133993479</c:v>
                </c:pt>
                <c:pt idx="139">
                  <c:v>34.110243117699014</c:v>
                </c:pt>
                <c:pt idx="140">
                  <c:v>31.358379223298492</c:v>
                </c:pt>
                <c:pt idx="141">
                  <c:v>28.581427108392873</c:v>
                </c:pt>
                <c:pt idx="142">
                  <c:v>25.781113026323638</c:v>
                </c:pt>
                <c:pt idx="143">
                  <c:v>22.959177753071529</c:v>
                </c:pt>
                <c:pt idx="144">
                  <c:v>20.117375505127672</c:v>
                </c:pt>
                <c:pt idx="145">
                  <c:v>17.257472849009325</c:v>
                </c:pt>
                <c:pt idx="146">
                  <c:v>14.381247603098693</c:v>
                </c:pt>
                <c:pt idx="147">
                  <c:v>11.4904877324871</c:v>
                </c:pt>
                <c:pt idx="148">
                  <c:v>8.5869902375114009</c:v>
                </c:pt>
                <c:pt idx="149">
                  <c:v>5.6725600366741151</c:v>
                </c:pt>
                <c:pt idx="150">
                  <c:v>2.7490088446409864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1.9499106062863438</c:v>
                </c:pt>
                <c:pt idx="156">
                  <c:v>0.4353759783197173</c:v>
                </c:pt>
                <c:pt idx="157">
                  <c:v>-1.8969752270526943</c:v>
                </c:pt>
                <c:pt idx="158">
                  <c:v>-4.3589076120530557</c:v>
                </c:pt>
                <c:pt idx="159">
                  <c:v>-6.8839803504483132</c:v>
                </c:pt>
                <c:pt idx="160">
                  <c:v>-9.445701924974987</c:v>
                </c:pt>
                <c:pt idx="161">
                  <c:v>-12.029847191518842</c:v>
                </c:pt>
                <c:pt idx="162">
                  <c:v>-14.627414945166993</c:v>
                </c:pt>
                <c:pt idx="163">
                  <c:v>-17.232056846141056</c:v>
                </c:pt>
                <c:pt idx="164">
                  <c:v>-19.838932677723623</c:v>
                </c:pt>
                <c:pt idx="165">
                  <c:v>-22.444130304605075</c:v>
                </c:pt>
                <c:pt idx="166">
                  <c:v>-25.044343452319694</c:v>
                </c:pt>
                <c:pt idx="167">
                  <c:v>-27.636679898033758</c:v>
                </c:pt>
                <c:pt idx="168">
                  <c:v>-30.218540957437643</c:v>
                </c:pt>
                <c:pt idx="169">
                  <c:v>-32.78754241013354</c:v>
                </c:pt>
                <c:pt idx="170">
                  <c:v>-35.341460734846422</c:v>
                </c:pt>
                <c:pt idx="171">
                  <c:v>-37.87819545249797</c:v>
                </c:pt>
                <c:pt idx="172">
                  <c:v>-40.395742083457577</c:v>
                </c:pt>
                <c:pt idx="173">
                  <c:v>-42.892172311294814</c:v>
                </c:pt>
                <c:pt idx="174">
                  <c:v>-45.365619169152751</c:v>
                </c:pt>
                <c:pt idx="175">
                  <c:v>-47.814265809250514</c:v>
                </c:pt>
                <c:pt idx="176">
                  <c:v>-50.2363368832779</c:v>
                </c:pt>
                <c:pt idx="177">
                  <c:v>-52.630091862955695</c:v>
                </c:pt>
                <c:pt idx="178">
                  <c:v>-54.993819829410697</c:v>
                </c:pt>
                <c:pt idx="179">
                  <c:v>-57.325835394749546</c:v>
                </c:pt>
                <c:pt idx="180">
                  <c:v>-59.624475512051248</c:v>
                </c:pt>
                <c:pt idx="181">
                  <c:v>-61.888096995078456</c:v>
                </c:pt>
                <c:pt idx="182">
                  <c:v>-64.115074615332276</c:v>
                </c:pt>
                <c:pt idx="183">
                  <c:v>-66.30379967749289</c:v>
                </c:pt>
                <c:pt idx="184">
                  <c:v>-68.452678998667324</c:v>
                </c:pt>
                <c:pt idx="185">
                  <c:v>-70.560134234811926</c:v>
                </c:pt>
                <c:pt idx="186">
                  <c:v>-72.62460151099414</c:v>
                </c:pt>
                <c:pt idx="187">
                  <c:v>-74.644531322041644</c:v>
                </c:pt>
                <c:pt idx="188">
                  <c:v>-76.618388677470904</c:v>
                </c:pt>
                <c:pt idx="189">
                  <c:v>-78.544653470010275</c:v>
                </c:pt>
                <c:pt idx="190">
                  <c:v>-80.421821050989195</c:v>
                </c:pt>
                <c:pt idx="191">
                  <c:v>-82.248402998682764</c:v>
                </c:pt>
                <c:pt idx="192">
                  <c:v>-84.022928067629167</c:v>
                </c:pt>
                <c:pt idx="193">
                  <c:v>-85.743943308162585</c:v>
                </c:pt>
                <c:pt idx="194">
                  <c:v>-87.410015346074147</c:v>
                </c:pt>
                <c:pt idx="195">
                  <c:v>-89.019731812542062</c:v>
                </c:pt>
                <c:pt idx="196">
                  <c:v>-90.571702914357161</c:v>
                </c:pt>
                <c:pt idx="197">
                  <c:v>-92.064563134086512</c:v>
                </c:pt>
                <c:pt idx="198">
                  <c:v>-93.496973049239003</c:v>
                </c:pt>
                <c:pt idx="199">
                  <c:v>-94.867621258778129</c:v>
                </c:pt>
                <c:pt idx="200">
                  <c:v>-96.175226404524849</c:v>
                </c:pt>
                <c:pt idx="201">
                  <c:v>-97.418539274155421</c:v>
                </c:pt>
                <c:pt idx="202">
                  <c:v>-98.596344971669311</c:v>
                </c:pt>
                <c:pt idx="203">
                  <c:v>-99.707465140420894</c:v>
                </c:pt>
                <c:pt idx="204">
                  <c:v>-100.75076022311241</c:v>
                </c:pt>
                <c:pt idx="205">
                  <c:v>-101.72513174256733</c:v>
                </c:pt>
                <c:pt idx="206">
                  <c:v>-102.62952458666661</c:v>
                </c:pt>
                <c:pt idx="207">
                  <c:v>-103.46292928056559</c:v>
                </c:pt>
                <c:pt idx="208">
                  <c:v>-104.22438422922602</c:v>
                </c:pt>
                <c:pt idx="209">
                  <c:v>-104.91297791341526</c:v>
                </c:pt>
                <c:pt idx="210">
                  <c:v>-105.527851022645</c:v>
                </c:pt>
                <c:pt idx="211">
                  <c:v>-106.06819850905003</c:v>
                </c:pt>
                <c:pt idx="212">
                  <c:v>-106.53327154693659</c:v>
                </c:pt>
                <c:pt idx="213">
                  <c:v>-106.92237938365012</c:v>
                </c:pt>
                <c:pt idx="214">
                  <c:v>-107.23489106851224</c:v>
                </c:pt>
                <c:pt idx="215">
                  <c:v>-107.47023704783025</c:v>
                </c:pt>
                <c:pt idx="216">
                  <c:v>-107.62791061537467</c:v>
                </c:pt>
                <c:pt idx="217">
                  <c:v>-107.70746920921601</c:v>
                </c:pt>
                <c:pt idx="218">
                  <c:v>-107.70853554738908</c:v>
                </c:pt>
              </c:numCache>
            </c:numRef>
          </c:xVal>
          <c:yVal>
            <c:numRef>
              <c:f>'5LeverTailRectangle (2)'!$BN$6:$BN$224</c:f>
              <c:numCache>
                <c:formatCode>General</c:formatCode>
                <c:ptCount val="219"/>
                <c:pt idx="91">
                  <c:v>0</c:v>
                </c:pt>
                <c:pt idx="92">
                  <c:v>-2.94182157492093</c:v>
                </c:pt>
                <c:pt idx="93">
                  <c:v>-5.8818144077124996</c:v>
                </c:pt>
                <c:pt idx="94">
                  <c:v>-8.8181508930572594</c:v>
                </c:pt>
                <c:pt idx="95">
                  <c:v>-11.7490056985549</c:v>
                </c:pt>
                <c:pt idx="96">
                  <c:v>-14.672556899414399</c:v>
                </c:pt>
                <c:pt idx="97">
                  <c:v>-17.5869871110283</c:v>
                </c:pt>
                <c:pt idx="98">
                  <c:v>-20.4904846187241</c:v>
                </c:pt>
                <c:pt idx="99">
                  <c:v>-23.3812445039915</c:v>
                </c:pt>
                <c:pt idx="100">
                  <c:v>-26.257469766484402</c:v>
                </c:pt>
                <c:pt idx="101">
                  <c:v>-29.1173724411012</c:v>
                </c:pt>
                <c:pt idx="102">
                  <c:v>-31.959174709448298</c:v>
                </c:pt>
                <c:pt idx="103">
                  <c:v>-34.781110004995703</c:v>
                </c:pt>
                <c:pt idx="104">
                  <c:v>-37.581424111238299</c:v>
                </c:pt>
                <c:pt idx="105">
                  <c:v>-40.358376252180449</c:v>
                </c:pt>
                <c:pt idx="106">
                  <c:v>-43.110240174464472</c:v>
                </c:pt>
                <c:pt idx="107">
                  <c:v>-45.835305220472016</c:v>
                </c:pt>
                <c:pt idx="108">
                  <c:v>-48.531877391730376</c:v>
                </c:pt>
                <c:pt idx="109">
                  <c:v>-51.19828040196289</c:v>
                </c:pt>
                <c:pt idx="110">
                  <c:v>-53.832856719128792</c:v>
                </c:pt>
                <c:pt idx="111">
                  <c:v>-56.433968595804735</c:v>
                </c:pt>
                <c:pt idx="112">
                  <c:v>-58.999999087267597</c:v>
                </c:pt>
                <c:pt idx="113">
                  <c:v>-61.529353056645363</c:v>
                </c:pt>
                <c:pt idx="114">
                  <c:v>-64.020458166511702</c:v>
                </c:pt>
                <c:pt idx="115">
                  <c:v>-66.471765856307442</c:v>
                </c:pt>
                <c:pt idx="116">
                  <c:v>-68.881752304981475</c:v>
                </c:pt>
                <c:pt idx="117">
                  <c:v>-71.248919378252879</c:v>
                </c:pt>
                <c:pt idx="118">
                  <c:v>-73.571795559904942</c:v>
                </c:pt>
                <c:pt idx="119">
                  <c:v>-75.848936866532682</c:v>
                </c:pt>
                <c:pt idx="120">
                  <c:v>-78.078927745174795</c:v>
                </c:pt>
                <c:pt idx="121">
                  <c:v>-80.260381953272386</c:v>
                </c:pt>
                <c:pt idx="122">
                  <c:v>-82.391943420407173</c:v>
                </c:pt>
                <c:pt idx="123">
                  <c:v>-84.472287091283647</c:v>
                </c:pt>
                <c:pt idx="124">
                  <c:v>-86.50011974943115</c:v>
                </c:pt>
                <c:pt idx="125">
                  <c:v>-88.474180821113691</c:v>
                </c:pt>
                <c:pt idx="126">
                  <c:v>-90.393243158948039</c:v>
                </c:pt>
                <c:pt idx="127">
                  <c:v>-92.25611380474254</c:v>
                </c:pt>
                <c:pt idx="128">
                  <c:v>-94.061634731083004</c:v>
                </c:pt>
                <c:pt idx="129">
                  <c:v>-95.808683561204077</c:v>
                </c:pt>
                <c:pt idx="130">
                  <c:v>-97.496174266699114</c:v>
                </c:pt>
                <c:pt idx="131">
                  <c:v>-99.123057842634452</c:v>
                </c:pt>
                <c:pt idx="132">
                  <c:v>-100.68832295964864</c:v>
                </c:pt>
                <c:pt idx="133">
                  <c:v>-102.19099659263115</c:v>
                </c:pt>
                <c:pt idx="134">
                  <c:v>-103.63014462558976</c:v>
                </c:pt>
                <c:pt idx="135">
                  <c:v>-105.00487243233079</c:v>
                </c:pt>
                <c:pt idx="136">
                  <c:v>-106.31432543259069</c:v>
                </c:pt>
                <c:pt idx="137">
                  <c:v>-107.55768962327413</c:v>
                </c:pt>
                <c:pt idx="138">
                  <c:v>-108.73419208446748</c:v>
                </c:pt>
                <c:pt idx="139">
                  <c:v>-109.84310145991365</c:v>
                </c:pt>
                <c:pt idx="140">
                  <c:v>-110.88372841164941</c:v>
                </c:pt>
                <c:pt idx="141">
                  <c:v>-111.8554260485228</c:v>
                </c:pt>
                <c:pt idx="142">
                  <c:v>-112.7575903283238</c:v>
                </c:pt>
                <c:pt idx="143">
                  <c:v>-113.58966043327878</c:v>
                </c:pt>
                <c:pt idx="144">
                  <c:v>-114.35111911867497</c:v>
                </c:pt>
                <c:pt idx="145">
                  <c:v>-115.0414930343984</c:v>
                </c:pt>
                <c:pt idx="146">
                  <c:v>-115.66035301918541</c:v>
                </c:pt>
                <c:pt idx="147">
                  <c:v>-116.20731436740459</c:v>
                </c:pt>
                <c:pt idx="148">
                  <c:v>-116.68203706820377</c:v>
                </c:pt>
                <c:pt idx="149">
                  <c:v>-117.08422601687298</c:v>
                </c:pt>
                <c:pt idx="150">
                  <c:v>-117.41363119829208</c:v>
                </c:pt>
                <c:pt idx="151">
                  <c:v>-117.65627905046122</c:v>
                </c:pt>
                <c:pt idx="152">
                  <c:v>-117.65627905046122</c:v>
                </c:pt>
                <c:pt idx="153">
                  <c:v>-117.65627905046122</c:v>
                </c:pt>
                <c:pt idx="154">
                  <c:v>-117.65627905046122</c:v>
                </c:pt>
              </c:numCache>
            </c:numRef>
          </c:yVal>
          <c:smooth val="0"/>
        </c:ser>
        <c:ser>
          <c:idx val="15"/>
          <c:order val="15"/>
          <c:tx>
            <c:strRef>
              <c:f>'5LeverTailRectangle (2)'!$BO$5</c:f>
              <c:strCache>
                <c:ptCount val="1"/>
                <c:pt idx="0">
                  <c:v>RR</c:v>
                </c:pt>
              </c:strCache>
            </c:strRef>
          </c:tx>
          <c:spPr>
            <a:ln w="285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'5LeverTailRectangle (2)'!$AY$6:$AY$224</c:f>
              <c:numCache>
                <c:formatCode>General</c:formatCode>
                <c:ptCount val="219"/>
                <c:pt idx="0">
                  <c:v>25.831728158814009</c:v>
                </c:pt>
                <c:pt idx="1">
                  <c:v>6.2470713789350008</c:v>
                </c:pt>
                <c:pt idx="2">
                  <c:v>-10.476366362152248</c:v>
                </c:pt>
                <c:pt idx="3">
                  <c:v>-25.334503129260767</c:v>
                </c:pt>
                <c:pt idx="4">
                  <c:v>-38.852682394788737</c:v>
                </c:pt>
                <c:pt idx="13">
                  <c:v>-28</c:v>
                </c:pt>
                <c:pt idx="14">
                  <c:v>-20.21679081077513</c:v>
                </c:pt>
                <c:pt idx="15">
                  <c:v>25.831728158814009</c:v>
                </c:pt>
                <c:pt idx="16">
                  <c:v>51.513994255268372</c:v>
                </c:pt>
                <c:pt idx="17">
                  <c:v>28</c:v>
                </c:pt>
                <c:pt idx="18">
                  <c:v>-28</c:v>
                </c:pt>
                <c:pt idx="19">
                  <c:v>-39.008519624966944</c:v>
                </c:pt>
                <c:pt idx="20">
                  <c:v>6.2470713789350008</c:v>
                </c:pt>
                <c:pt idx="21">
                  <c:v>46.114448516120859</c:v>
                </c:pt>
                <c:pt idx="22">
                  <c:v>28</c:v>
                </c:pt>
                <c:pt idx="23">
                  <c:v>-28</c:v>
                </c:pt>
                <c:pt idx="24">
                  <c:v>-49.476702144482829</c:v>
                </c:pt>
                <c:pt idx="25">
                  <c:v>-10.476366362152248</c:v>
                </c:pt>
                <c:pt idx="26">
                  <c:v>37.740003922390386</c:v>
                </c:pt>
                <c:pt idx="27">
                  <c:v>28</c:v>
                </c:pt>
                <c:pt idx="28">
                  <c:v>-28</c:v>
                </c:pt>
                <c:pt idx="29">
                  <c:v>-54.518554557879654</c:v>
                </c:pt>
                <c:pt idx="30">
                  <c:v>-25.334503129260767</c:v>
                </c:pt>
                <c:pt idx="31">
                  <c:v>26.074345174939772</c:v>
                </c:pt>
                <c:pt idx="32">
                  <c:v>28</c:v>
                </c:pt>
                <c:pt idx="33">
                  <c:v>-28</c:v>
                </c:pt>
                <c:pt idx="34">
                  <c:v>-55.662348784867049</c:v>
                </c:pt>
                <c:pt idx="35">
                  <c:v>-38.852682394788737</c:v>
                </c:pt>
                <c:pt idx="80">
                  <c:v>-11.286006599795854</c:v>
                </c:pt>
                <c:pt idx="81">
                  <c:v>70</c:v>
                </c:pt>
                <c:pt idx="82">
                  <c:v>50.151091411687077</c:v>
                </c:pt>
                <c:pt idx="83">
                  <c:v>39.083477722548608</c:v>
                </c:pt>
                <c:pt idx="84">
                  <c:v>9</c:v>
                </c:pt>
                <c:pt idx="85">
                  <c:v>-9</c:v>
                </c:pt>
                <c:pt idx="86">
                  <c:v>-35.05373744672503</c:v>
                </c:pt>
                <c:pt idx="87">
                  <c:v>-70</c:v>
                </c:pt>
                <c:pt idx="88">
                  <c:v>-61.466610306763862</c:v>
                </c:pt>
                <c:pt idx="89">
                  <c:v>2.8488307653754443</c:v>
                </c:pt>
                <c:pt idx="90">
                  <c:v>9</c:v>
                </c:pt>
                <c:pt idx="91">
                  <c:v>109</c:v>
                </c:pt>
                <c:pt idx="92">
                  <c:v>108.96332347734752</c:v>
                </c:pt>
                <c:pt idx="93">
                  <c:v>108.8533167088361</c:v>
                </c:pt>
                <c:pt idx="94">
                  <c:v>108.67004807863076</c:v>
                </c:pt>
                <c:pt idx="95">
                  <c:v>108.41363151310553</c:v>
                </c:pt>
                <c:pt idx="96">
                  <c:v>108.08422641002265</c:v>
                </c:pt>
                <c:pt idx="97">
                  <c:v>107.6820375394453</c:v>
                </c:pt>
                <c:pt idx="98">
                  <c:v>107.20731491644504</c:v>
                </c:pt>
                <c:pt idx="99">
                  <c:v>106.66035364568347</c:v>
                </c:pt>
                <c:pt idx="100">
                  <c:v>106.04149373796464</c:v>
                </c:pt>
                <c:pt idx="101">
                  <c:v>105.351119898872</c:v>
                </c:pt>
                <c:pt idx="102">
                  <c:v>104.58966128962159</c:v>
                </c:pt>
                <c:pt idx="103">
                  <c:v>103.75759126028008</c:v>
                </c:pt>
                <c:pt idx="104">
                  <c:v>102.85542705551322</c:v>
                </c:pt>
                <c:pt idx="105">
                  <c:v>101.88372949304798</c:v>
                </c:pt>
                <c:pt idx="106">
                  <c:v>100.84310261504811</c:v>
                </c:pt>
                <c:pt idx="107">
                  <c:v>99.734193312619794</c:v>
                </c:pt>
                <c:pt idx="108">
                  <c:v>98.557690923680809</c:v>
                </c:pt>
                <c:pt idx="109">
                  <c:v>97.314326804443354</c:v>
                </c:pt>
                <c:pt idx="110">
                  <c:v>96.004873874776649</c:v>
                </c:pt>
                <c:pt idx="111">
                  <c:v>94.630146137732154</c:v>
                </c:pt>
                <c:pt idx="112">
                  <c:v>93.190998173530048</c:v>
                </c:pt>
                <c:pt idx="113">
                  <c:v>91.688324608321324</c:v>
                </c:pt>
                <c:pt idx="114">
                  <c:v>90.123059558056042</c:v>
                </c:pt>
                <c:pt idx="115">
                  <c:v>88.496176047803246</c:v>
                </c:pt>
                <c:pt idx="116">
                  <c:v>86.808685406883541</c:v>
                </c:pt>
                <c:pt idx="117">
                  <c:v>85.061636640190457</c:v>
                </c:pt>
                <c:pt idx="118">
                  <c:v>83.256115776091235</c:v>
                </c:pt>
                <c:pt idx="119">
                  <c:v>81.393245191312488</c:v>
                </c:pt>
                <c:pt idx="120">
                  <c:v>79.474182913230521</c:v>
                </c:pt>
                <c:pt idx="121">
                  <c:v>77.500121899999812</c:v>
                </c:pt>
                <c:pt idx="122">
                  <c:v>75.472289298967283</c:v>
                </c:pt>
                <c:pt idx="123">
                  <c:v>73.391945683833413</c:v>
                </c:pt>
                <c:pt idx="124">
                  <c:v>71.260384271034184</c:v>
                </c:pt>
                <c:pt idx="125">
                  <c:v>69.078930115831355</c:v>
                </c:pt>
                <c:pt idx="126">
                  <c:v>66.84893928861031</c:v>
                </c:pt>
                <c:pt idx="127">
                  <c:v>64.571798031898012</c:v>
                </c:pt>
                <c:pt idx="128">
                  <c:v>62.248921898624673</c:v>
                </c:pt>
                <c:pt idx="129">
                  <c:v>59.881754872165274</c:v>
                </c:pt>
                <c:pt idx="130">
                  <c:v>57.471768468707353</c:v>
                </c:pt>
                <c:pt idx="131">
                  <c:v>55.020460822503807</c:v>
                </c:pt>
                <c:pt idx="132">
                  <c:v>52.529355754578582</c:v>
                </c:pt>
                <c:pt idx="133">
                  <c:v>50.000001825464786</c:v>
                </c:pt>
                <c:pt idx="134">
                  <c:v>47.433971372563768</c:v>
                </c:pt>
                <c:pt idx="135">
                  <c:v>44.832859532723496</c:v>
                </c:pt>
                <c:pt idx="136">
                  <c:v>42.198283250644259</c:v>
                </c:pt>
                <c:pt idx="137">
                  <c:v>39.531880273727573</c:v>
                </c:pt>
                <c:pt idx="138">
                  <c:v>36.835308133993479</c:v>
                </c:pt>
                <c:pt idx="139">
                  <c:v>34.110243117699014</c:v>
                </c:pt>
                <c:pt idx="140">
                  <c:v>31.358379223298492</c:v>
                </c:pt>
                <c:pt idx="141">
                  <c:v>28.581427108392873</c:v>
                </c:pt>
                <c:pt idx="142">
                  <c:v>25.781113026323638</c:v>
                </c:pt>
                <c:pt idx="143">
                  <c:v>22.959177753071529</c:v>
                </c:pt>
                <c:pt idx="144">
                  <c:v>20.117375505127672</c:v>
                </c:pt>
                <c:pt idx="145">
                  <c:v>17.257472849009325</c:v>
                </c:pt>
                <c:pt idx="146">
                  <c:v>14.381247603098693</c:v>
                </c:pt>
                <c:pt idx="147">
                  <c:v>11.4904877324871</c:v>
                </c:pt>
                <c:pt idx="148">
                  <c:v>8.5869902375114009</c:v>
                </c:pt>
                <c:pt idx="149">
                  <c:v>5.6725600366741151</c:v>
                </c:pt>
                <c:pt idx="150">
                  <c:v>2.7490088446409864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1.9499106062863438</c:v>
                </c:pt>
                <c:pt idx="156">
                  <c:v>0.4353759783197173</c:v>
                </c:pt>
                <c:pt idx="157">
                  <c:v>-1.8969752270526943</c:v>
                </c:pt>
                <c:pt idx="158">
                  <c:v>-4.3589076120530557</c:v>
                </c:pt>
                <c:pt idx="159">
                  <c:v>-6.8839803504483132</c:v>
                </c:pt>
                <c:pt idx="160">
                  <c:v>-9.445701924974987</c:v>
                </c:pt>
                <c:pt idx="161">
                  <c:v>-12.029847191518842</c:v>
                </c:pt>
                <c:pt idx="162">
                  <c:v>-14.627414945166993</c:v>
                </c:pt>
                <c:pt idx="163">
                  <c:v>-17.232056846141056</c:v>
                </c:pt>
                <c:pt idx="164">
                  <c:v>-19.838932677723623</c:v>
                </c:pt>
                <c:pt idx="165">
                  <c:v>-22.444130304605075</c:v>
                </c:pt>
                <c:pt idx="166">
                  <c:v>-25.044343452319694</c:v>
                </c:pt>
                <c:pt idx="167">
                  <c:v>-27.636679898033758</c:v>
                </c:pt>
                <c:pt idx="168">
                  <c:v>-30.218540957437643</c:v>
                </c:pt>
                <c:pt idx="169">
                  <c:v>-32.78754241013354</c:v>
                </c:pt>
                <c:pt idx="170">
                  <c:v>-35.341460734846422</c:v>
                </c:pt>
                <c:pt idx="171">
                  <c:v>-37.87819545249797</c:v>
                </c:pt>
                <c:pt idx="172">
                  <c:v>-40.395742083457577</c:v>
                </c:pt>
                <c:pt idx="173">
                  <c:v>-42.892172311294814</c:v>
                </c:pt>
                <c:pt idx="174">
                  <c:v>-45.365619169152751</c:v>
                </c:pt>
                <c:pt idx="175">
                  <c:v>-47.814265809250514</c:v>
                </c:pt>
                <c:pt idx="176">
                  <c:v>-50.2363368832779</c:v>
                </c:pt>
                <c:pt idx="177">
                  <c:v>-52.630091862955695</c:v>
                </c:pt>
                <c:pt idx="178">
                  <c:v>-54.993819829410697</c:v>
                </c:pt>
                <c:pt idx="179">
                  <c:v>-57.325835394749546</c:v>
                </c:pt>
                <c:pt idx="180">
                  <c:v>-59.624475512051248</c:v>
                </c:pt>
                <c:pt idx="181">
                  <c:v>-61.888096995078456</c:v>
                </c:pt>
                <c:pt idx="182">
                  <c:v>-64.115074615332276</c:v>
                </c:pt>
                <c:pt idx="183">
                  <c:v>-66.30379967749289</c:v>
                </c:pt>
                <c:pt idx="184">
                  <c:v>-68.452678998667324</c:v>
                </c:pt>
                <c:pt idx="185">
                  <c:v>-70.560134234811926</c:v>
                </c:pt>
                <c:pt idx="186">
                  <c:v>-72.62460151099414</c:v>
                </c:pt>
                <c:pt idx="187">
                  <c:v>-74.644531322041644</c:v>
                </c:pt>
                <c:pt idx="188">
                  <c:v>-76.618388677470904</c:v>
                </c:pt>
                <c:pt idx="189">
                  <c:v>-78.544653470010275</c:v>
                </c:pt>
                <c:pt idx="190">
                  <c:v>-80.421821050989195</c:v>
                </c:pt>
                <c:pt idx="191">
                  <c:v>-82.248402998682764</c:v>
                </c:pt>
                <c:pt idx="192">
                  <c:v>-84.022928067629167</c:v>
                </c:pt>
                <c:pt idx="193">
                  <c:v>-85.743943308162585</c:v>
                </c:pt>
                <c:pt idx="194">
                  <c:v>-87.410015346074147</c:v>
                </c:pt>
                <c:pt idx="195">
                  <c:v>-89.019731812542062</c:v>
                </c:pt>
                <c:pt idx="196">
                  <c:v>-90.571702914357161</c:v>
                </c:pt>
                <c:pt idx="197">
                  <c:v>-92.064563134086512</c:v>
                </c:pt>
                <c:pt idx="198">
                  <c:v>-93.496973049239003</c:v>
                </c:pt>
                <c:pt idx="199">
                  <c:v>-94.867621258778129</c:v>
                </c:pt>
                <c:pt idx="200">
                  <c:v>-96.175226404524849</c:v>
                </c:pt>
                <c:pt idx="201">
                  <c:v>-97.418539274155421</c:v>
                </c:pt>
                <c:pt idx="202">
                  <c:v>-98.596344971669311</c:v>
                </c:pt>
                <c:pt idx="203">
                  <c:v>-99.707465140420894</c:v>
                </c:pt>
                <c:pt idx="204">
                  <c:v>-100.75076022311241</c:v>
                </c:pt>
                <c:pt idx="205">
                  <c:v>-101.72513174256733</c:v>
                </c:pt>
                <c:pt idx="206">
                  <c:v>-102.62952458666661</c:v>
                </c:pt>
                <c:pt idx="207">
                  <c:v>-103.46292928056559</c:v>
                </c:pt>
                <c:pt idx="208">
                  <c:v>-104.22438422922602</c:v>
                </c:pt>
                <c:pt idx="209">
                  <c:v>-104.91297791341526</c:v>
                </c:pt>
                <c:pt idx="210">
                  <c:v>-105.527851022645</c:v>
                </c:pt>
                <c:pt idx="211">
                  <c:v>-106.06819850905003</c:v>
                </c:pt>
                <c:pt idx="212">
                  <c:v>-106.53327154693659</c:v>
                </c:pt>
                <c:pt idx="213">
                  <c:v>-106.92237938365012</c:v>
                </c:pt>
                <c:pt idx="214">
                  <c:v>-107.23489106851224</c:v>
                </c:pt>
                <c:pt idx="215">
                  <c:v>-107.47023704783025</c:v>
                </c:pt>
                <c:pt idx="216">
                  <c:v>-107.62791061537467</c:v>
                </c:pt>
                <c:pt idx="217">
                  <c:v>-107.70746920921601</c:v>
                </c:pt>
                <c:pt idx="218">
                  <c:v>-107.70853554738908</c:v>
                </c:pt>
              </c:numCache>
            </c:numRef>
          </c:xVal>
          <c:yVal>
            <c:numRef>
              <c:f>'5LeverTailRectangle (2)'!$BO$6:$BO$224</c:f>
              <c:numCache>
                <c:formatCode>General</c:formatCode>
                <c:ptCount val="219"/>
                <c:pt idx="155">
                  <c:v>-117.49084787531784</c:v>
                </c:pt>
                <c:pt idx="156">
                  <c:v>-117.13419347523326</c:v>
                </c:pt>
                <c:pt idx="157">
                  <c:v>-116.81085587659453</c:v>
                </c:pt>
                <c:pt idx="158">
                  <c:v>-116.44690367677877</c:v>
                </c:pt>
                <c:pt idx="159">
                  <c:v>-116.03281914215236</c:v>
                </c:pt>
                <c:pt idx="160">
                  <c:v>-115.5643346317473</c:v>
                </c:pt>
                <c:pt idx="161">
                  <c:v>-115.03901748242652</c:v>
                </c:pt>
                <c:pt idx="162">
                  <c:v>-114.45531383405392</c:v>
                </c:pt>
                <c:pt idx="163">
                  <c:v>-113.81217009496635</c:v>
                </c:pt>
                <c:pt idx="164">
                  <c:v>-113.10885177766188</c:v>
                </c:pt>
                <c:pt idx="165">
                  <c:v>-112.3448454626571</c:v>
                </c:pt>
                <c:pt idx="166">
                  <c:v>-111.51980094694878</c:v>
                </c:pt>
                <c:pt idx="167">
                  <c:v>-110.63349483748591</c:v>
                </c:pt>
                <c:pt idx="168">
                  <c:v>-109.68580648053688</c:v>
                </c:pt>
                <c:pt idx="169">
                  <c:v>-108.67670141990781</c:v>
                </c:pt>
                <c:pt idx="170">
                  <c:v>-107.60621967720326</c:v>
                </c:pt>
                <c:pt idx="171">
                  <c:v>-106.47446724758071</c:v>
                </c:pt>
                <c:pt idx="172">
                  <c:v>-105.28160981496619</c:v>
                </c:pt>
                <c:pt idx="173">
                  <c:v>-104.02786804604477</c:v>
                </c:pt>
                <c:pt idx="174">
                  <c:v>-102.71351403767144</c:v>
                </c:pt>
                <c:pt idx="175">
                  <c:v>-101.33886862738464</c:v>
                </c:pt>
                <c:pt idx="176">
                  <c:v>-99.904299363914163</c:v>
                </c:pt>
                <c:pt idx="177">
                  <c:v>-98.410218992331124</c:v>
                </c:pt>
                <c:pt idx="178">
                  <c:v>-96.857084347569554</c:v>
                </c:pt>
                <c:pt idx="179">
                  <c:v>-95.245395576975156</c:v>
                </c:pt>
                <c:pt idx="180">
                  <c:v>-93.575695631364809</c:v>
                </c:pt>
                <c:pt idx="181">
                  <c:v>-91.848569977400587</c:v>
                </c:pt>
                <c:pt idx="182">
                  <c:v>-90.064646493583368</c:v>
                </c:pt>
                <c:pt idx="183">
                  <c:v>-88.224595518981275</c:v>
                </c:pt>
                <c:pt idx="184">
                  <c:v>-86.32913002869627</c:v>
                </c:pt>
                <c:pt idx="185">
                  <c:v>-84.379005913568776</c:v>
                </c:pt>
                <c:pt idx="186">
                  <c:v>-82.375022344105417</c:v>
                </c:pt>
                <c:pt idx="187">
                  <c:v>-80.318022200360048</c:v>
                </c:pt>
                <c:pt idx="188">
                  <c:v>-78.208892550703069</c:v>
                </c:pt>
                <c:pt idx="189">
                  <c:v>-76.048565163233263</c:v>
                </c:pt>
                <c:pt idx="190">
                  <c:v>-73.838017034132406</c:v>
                </c:pt>
                <c:pt idx="191">
                  <c:v>-71.578270917630903</c:v>
                </c:pt>
                <c:pt idx="192">
                  <c:v>-69.270395842512329</c:v>
                </c:pt>
                <c:pt idx="193">
                  <c:v>-66.915507600298938</c:v>
                </c:pt>
                <c:pt idx="194">
                  <c:v>-64.514769190474993</c:v>
                </c:pt>
                <c:pt idx="195">
                  <c:v>-62.069391208362894</c:v>
                </c:pt>
                <c:pt idx="196">
                  <c:v>-59.580632161598629</c:v>
                </c:pt>
                <c:pt idx="197">
                  <c:v>-57.049798701590817</c:v>
                </c:pt>
                <c:pt idx="198">
                  <c:v>-54.47824575690386</c:v>
                </c:pt>
                <c:pt idx="199">
                  <c:v>-51.867376556203979</c:v>
                </c:pt>
                <c:pt idx="200">
                  <c:v>-49.218642529253216</c:v>
                </c:pt>
                <c:pt idx="201">
                  <c:v>-46.533543075434004</c:v>
                </c:pt>
                <c:pt idx="202">
                  <c:v>-43.813625190438827</c:v>
                </c:pt>
                <c:pt idx="203">
                  <c:v>-41.060482943056698</c:v>
                </c:pt>
                <c:pt idx="204">
                  <c:v>-38.275756795420236</c:v>
                </c:pt>
                <c:pt idx="205">
                  <c:v>-35.461132761629614</c:v>
                </c:pt>
                <c:pt idx="206">
                  <c:v>-32.61834140132202</c:v>
                </c:pt>
                <c:pt idx="207">
                  <c:v>-29.749156646483328</c:v>
                </c:pt>
                <c:pt idx="208">
                  <c:v>-26.85539446157609</c:v>
                </c:pt>
                <c:pt idx="209">
                  <c:v>-23.938911338856585</c:v>
                </c:pt>
                <c:pt idx="210">
                  <c:v>-21.001602632541804</c:v>
                </c:pt>
                <c:pt idx="211">
                  <c:v>-18.04540073723404</c:v>
                </c:pt>
                <c:pt idx="212">
                  <c:v>-15.072273117684958</c:v>
                </c:pt>
                <c:pt idx="213">
                  <c:v>-12.084220198555332</c:v>
                </c:pt>
                <c:pt idx="214">
                  <c:v>-9.0832731242685902</c:v>
                </c:pt>
                <c:pt idx="215">
                  <c:v>-6.0714914003477425</c:v>
                </c:pt>
                <c:pt idx="216">
                  <c:v>-3.0509604287390886</c:v>
                </c:pt>
                <c:pt idx="217">
                  <c:v>-2.3788950550098775E-2</c:v>
                </c:pt>
                <c:pt idx="218">
                  <c:v>3.0078935896526602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016192"/>
        <c:axId val="129018112"/>
      </c:scatterChart>
      <c:valAx>
        <c:axId val="129016192"/>
        <c:scaling>
          <c:orientation val="minMax"/>
          <c:max val="110"/>
          <c:min val="-11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X, </a:t>
                </a:r>
                <a:r>
                  <a:rPr lang="ru-RU"/>
                  <a:t>мм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29018112"/>
        <c:crosses val="autoZero"/>
        <c:crossBetween val="midCat"/>
      </c:valAx>
      <c:valAx>
        <c:axId val="129018112"/>
        <c:scaling>
          <c:orientation val="minMax"/>
          <c:max val="20"/>
          <c:min val="-120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Y,</a:t>
                </a:r>
                <a:r>
                  <a:rPr lang="en-US" baseline="0"/>
                  <a:t> mm</a:t>
                </a:r>
                <a:endParaRPr lang="ru-RU" baseline="0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290161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25" r="0.25" t="0.75" header="0.3" footer="0.3"/>
    <c:pageSetup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'5LeverTailRectangle (2)'!$AY$183:$AY$211</c:f>
              <c:numCache>
                <c:formatCode>General</c:formatCode>
                <c:ptCount val="29"/>
                <c:pt idx="0">
                  <c:v>-52.630091862955695</c:v>
                </c:pt>
                <c:pt idx="1">
                  <c:v>-54.993819829410697</c:v>
                </c:pt>
                <c:pt idx="2">
                  <c:v>-57.325835394749546</c:v>
                </c:pt>
                <c:pt idx="3">
                  <c:v>-59.624475512051248</c:v>
                </c:pt>
                <c:pt idx="4">
                  <c:v>-61.888096995078456</c:v>
                </c:pt>
                <c:pt idx="5">
                  <c:v>-64.115074615332276</c:v>
                </c:pt>
                <c:pt idx="6">
                  <c:v>-66.30379967749289</c:v>
                </c:pt>
                <c:pt idx="7">
                  <c:v>-68.452678998667324</c:v>
                </c:pt>
                <c:pt idx="8">
                  <c:v>-70.560134234811926</c:v>
                </c:pt>
                <c:pt idx="9">
                  <c:v>-72.62460151099414</c:v>
                </c:pt>
                <c:pt idx="10">
                  <c:v>-74.644531322041644</c:v>
                </c:pt>
                <c:pt idx="11">
                  <c:v>-76.618388677470904</c:v>
                </c:pt>
                <c:pt idx="12">
                  <c:v>-78.544653470010275</c:v>
                </c:pt>
                <c:pt idx="13">
                  <c:v>-80.421821050989195</c:v>
                </c:pt>
                <c:pt idx="14">
                  <c:v>-82.248402998682764</c:v>
                </c:pt>
                <c:pt idx="15">
                  <c:v>-84.022928067629167</c:v>
                </c:pt>
                <c:pt idx="16">
                  <c:v>-85.743943308162585</c:v>
                </c:pt>
                <c:pt idx="17">
                  <c:v>-87.410015346074147</c:v>
                </c:pt>
                <c:pt idx="18">
                  <c:v>-89.019731812542062</c:v>
                </c:pt>
                <c:pt idx="19">
                  <c:v>-90.571702914357161</c:v>
                </c:pt>
                <c:pt idx="20">
                  <c:v>-92.064563134086512</c:v>
                </c:pt>
                <c:pt idx="21">
                  <c:v>-93.496973049239003</c:v>
                </c:pt>
                <c:pt idx="22">
                  <c:v>-94.867621258778129</c:v>
                </c:pt>
                <c:pt idx="23">
                  <c:v>-96.175226404524849</c:v>
                </c:pt>
                <c:pt idx="24">
                  <c:v>-97.418539274155421</c:v>
                </c:pt>
                <c:pt idx="25">
                  <c:v>-98.596344971669311</c:v>
                </c:pt>
                <c:pt idx="26">
                  <c:v>-99.707465140420894</c:v>
                </c:pt>
                <c:pt idx="27">
                  <c:v>-100.75076022311241</c:v>
                </c:pt>
                <c:pt idx="28">
                  <c:v>-101.72513174256733</c:v>
                </c:pt>
              </c:numCache>
            </c:numRef>
          </c:xVal>
          <c:yVal>
            <c:numRef>
              <c:f>'5LeverTailRectangle (2)'!$AZ$183:$AZ$211</c:f>
              <c:numCache>
                <c:formatCode>General</c:formatCode>
                <c:ptCount val="29"/>
              </c:numCache>
            </c:numRef>
          </c:yVal>
          <c:smooth val="0"/>
        </c:ser>
        <c:ser>
          <c:idx val="1"/>
          <c:order val="1"/>
          <c:spPr>
            <a:ln w="28575">
              <a:noFill/>
            </a:ln>
          </c:spPr>
          <c:xVal>
            <c:numRef>
              <c:f>'5LeverTailRectangle (2)'!$AY$183:$AY$211</c:f>
              <c:numCache>
                <c:formatCode>General</c:formatCode>
                <c:ptCount val="29"/>
                <c:pt idx="0">
                  <c:v>-52.630091862955695</c:v>
                </c:pt>
                <c:pt idx="1">
                  <c:v>-54.993819829410697</c:v>
                </c:pt>
                <c:pt idx="2">
                  <c:v>-57.325835394749546</c:v>
                </c:pt>
                <c:pt idx="3">
                  <c:v>-59.624475512051248</c:v>
                </c:pt>
                <c:pt idx="4">
                  <c:v>-61.888096995078456</c:v>
                </c:pt>
                <c:pt idx="5">
                  <c:v>-64.115074615332276</c:v>
                </c:pt>
                <c:pt idx="6">
                  <c:v>-66.30379967749289</c:v>
                </c:pt>
                <c:pt idx="7">
                  <c:v>-68.452678998667324</c:v>
                </c:pt>
                <c:pt idx="8">
                  <c:v>-70.560134234811926</c:v>
                </c:pt>
                <c:pt idx="9">
                  <c:v>-72.62460151099414</c:v>
                </c:pt>
                <c:pt idx="10">
                  <c:v>-74.644531322041644</c:v>
                </c:pt>
                <c:pt idx="11">
                  <c:v>-76.618388677470904</c:v>
                </c:pt>
                <c:pt idx="12">
                  <c:v>-78.544653470010275</c:v>
                </c:pt>
                <c:pt idx="13">
                  <c:v>-80.421821050989195</c:v>
                </c:pt>
                <c:pt idx="14">
                  <c:v>-82.248402998682764</c:v>
                </c:pt>
                <c:pt idx="15">
                  <c:v>-84.022928067629167</c:v>
                </c:pt>
                <c:pt idx="16">
                  <c:v>-85.743943308162585</c:v>
                </c:pt>
                <c:pt idx="17">
                  <c:v>-87.410015346074147</c:v>
                </c:pt>
                <c:pt idx="18">
                  <c:v>-89.019731812542062</c:v>
                </c:pt>
                <c:pt idx="19">
                  <c:v>-90.571702914357161</c:v>
                </c:pt>
                <c:pt idx="20">
                  <c:v>-92.064563134086512</c:v>
                </c:pt>
                <c:pt idx="21">
                  <c:v>-93.496973049239003</c:v>
                </c:pt>
                <c:pt idx="22">
                  <c:v>-94.867621258778129</c:v>
                </c:pt>
                <c:pt idx="23">
                  <c:v>-96.175226404524849</c:v>
                </c:pt>
                <c:pt idx="24">
                  <c:v>-97.418539274155421</c:v>
                </c:pt>
                <c:pt idx="25">
                  <c:v>-98.596344971669311</c:v>
                </c:pt>
                <c:pt idx="26">
                  <c:v>-99.707465140420894</c:v>
                </c:pt>
                <c:pt idx="27">
                  <c:v>-100.75076022311241</c:v>
                </c:pt>
                <c:pt idx="28">
                  <c:v>-101.72513174256733</c:v>
                </c:pt>
              </c:numCache>
            </c:numRef>
          </c:xVal>
          <c:yVal>
            <c:numRef>
              <c:f>'5LeverTailRectangle (2)'!$BA$183:$BA$211</c:f>
              <c:numCache>
                <c:formatCode>General</c:formatCode>
                <c:ptCount val="29"/>
              </c:numCache>
            </c:numRef>
          </c:yVal>
          <c:smooth val="0"/>
        </c:ser>
        <c:ser>
          <c:idx val="2"/>
          <c:order val="2"/>
          <c:spPr>
            <a:ln w="28575">
              <a:noFill/>
            </a:ln>
          </c:spPr>
          <c:xVal>
            <c:numRef>
              <c:f>'5LeverTailRectangle (2)'!$AY$183:$AY$211</c:f>
              <c:numCache>
                <c:formatCode>General</c:formatCode>
                <c:ptCount val="29"/>
                <c:pt idx="0">
                  <c:v>-52.630091862955695</c:v>
                </c:pt>
                <c:pt idx="1">
                  <c:v>-54.993819829410697</c:v>
                </c:pt>
                <c:pt idx="2">
                  <c:v>-57.325835394749546</c:v>
                </c:pt>
                <c:pt idx="3">
                  <c:v>-59.624475512051248</c:v>
                </c:pt>
                <c:pt idx="4">
                  <c:v>-61.888096995078456</c:v>
                </c:pt>
                <c:pt idx="5">
                  <c:v>-64.115074615332276</c:v>
                </c:pt>
                <c:pt idx="6">
                  <c:v>-66.30379967749289</c:v>
                </c:pt>
                <c:pt idx="7">
                  <c:v>-68.452678998667324</c:v>
                </c:pt>
                <c:pt idx="8">
                  <c:v>-70.560134234811926</c:v>
                </c:pt>
                <c:pt idx="9">
                  <c:v>-72.62460151099414</c:v>
                </c:pt>
                <c:pt idx="10">
                  <c:v>-74.644531322041644</c:v>
                </c:pt>
                <c:pt idx="11">
                  <c:v>-76.618388677470904</c:v>
                </c:pt>
                <c:pt idx="12">
                  <c:v>-78.544653470010275</c:v>
                </c:pt>
                <c:pt idx="13">
                  <c:v>-80.421821050989195</c:v>
                </c:pt>
                <c:pt idx="14">
                  <c:v>-82.248402998682764</c:v>
                </c:pt>
                <c:pt idx="15">
                  <c:v>-84.022928067629167</c:v>
                </c:pt>
                <c:pt idx="16">
                  <c:v>-85.743943308162585</c:v>
                </c:pt>
                <c:pt idx="17">
                  <c:v>-87.410015346074147</c:v>
                </c:pt>
                <c:pt idx="18">
                  <c:v>-89.019731812542062</c:v>
                </c:pt>
                <c:pt idx="19">
                  <c:v>-90.571702914357161</c:v>
                </c:pt>
                <c:pt idx="20">
                  <c:v>-92.064563134086512</c:v>
                </c:pt>
                <c:pt idx="21">
                  <c:v>-93.496973049239003</c:v>
                </c:pt>
                <c:pt idx="22">
                  <c:v>-94.867621258778129</c:v>
                </c:pt>
                <c:pt idx="23">
                  <c:v>-96.175226404524849</c:v>
                </c:pt>
                <c:pt idx="24">
                  <c:v>-97.418539274155421</c:v>
                </c:pt>
                <c:pt idx="25">
                  <c:v>-98.596344971669311</c:v>
                </c:pt>
                <c:pt idx="26">
                  <c:v>-99.707465140420894</c:v>
                </c:pt>
                <c:pt idx="27">
                  <c:v>-100.75076022311241</c:v>
                </c:pt>
                <c:pt idx="28">
                  <c:v>-101.72513174256733</c:v>
                </c:pt>
              </c:numCache>
            </c:numRef>
          </c:xVal>
          <c:yVal>
            <c:numRef>
              <c:f>'5LeverTailRectangle (2)'!$BB$183:$BB$211</c:f>
              <c:numCache>
                <c:formatCode>General</c:formatCode>
                <c:ptCount val="29"/>
              </c:numCache>
            </c:numRef>
          </c:yVal>
          <c:smooth val="0"/>
        </c:ser>
        <c:ser>
          <c:idx val="3"/>
          <c:order val="3"/>
          <c:spPr>
            <a:ln w="28575">
              <a:noFill/>
            </a:ln>
          </c:spPr>
          <c:xVal>
            <c:numRef>
              <c:f>'5LeverTailRectangle (2)'!$AY$183:$AY$211</c:f>
              <c:numCache>
                <c:formatCode>General</c:formatCode>
                <c:ptCount val="29"/>
                <c:pt idx="0">
                  <c:v>-52.630091862955695</c:v>
                </c:pt>
                <c:pt idx="1">
                  <c:v>-54.993819829410697</c:v>
                </c:pt>
                <c:pt idx="2">
                  <c:v>-57.325835394749546</c:v>
                </c:pt>
                <c:pt idx="3">
                  <c:v>-59.624475512051248</c:v>
                </c:pt>
                <c:pt idx="4">
                  <c:v>-61.888096995078456</c:v>
                </c:pt>
                <c:pt idx="5">
                  <c:v>-64.115074615332276</c:v>
                </c:pt>
                <c:pt idx="6">
                  <c:v>-66.30379967749289</c:v>
                </c:pt>
                <c:pt idx="7">
                  <c:v>-68.452678998667324</c:v>
                </c:pt>
                <c:pt idx="8">
                  <c:v>-70.560134234811926</c:v>
                </c:pt>
                <c:pt idx="9">
                  <c:v>-72.62460151099414</c:v>
                </c:pt>
                <c:pt idx="10">
                  <c:v>-74.644531322041644</c:v>
                </c:pt>
                <c:pt idx="11">
                  <c:v>-76.618388677470904</c:v>
                </c:pt>
                <c:pt idx="12">
                  <c:v>-78.544653470010275</c:v>
                </c:pt>
                <c:pt idx="13">
                  <c:v>-80.421821050989195</c:v>
                </c:pt>
                <c:pt idx="14">
                  <c:v>-82.248402998682764</c:v>
                </c:pt>
                <c:pt idx="15">
                  <c:v>-84.022928067629167</c:v>
                </c:pt>
                <c:pt idx="16">
                  <c:v>-85.743943308162585</c:v>
                </c:pt>
                <c:pt idx="17">
                  <c:v>-87.410015346074147</c:v>
                </c:pt>
                <c:pt idx="18">
                  <c:v>-89.019731812542062</c:v>
                </c:pt>
                <c:pt idx="19">
                  <c:v>-90.571702914357161</c:v>
                </c:pt>
                <c:pt idx="20">
                  <c:v>-92.064563134086512</c:v>
                </c:pt>
                <c:pt idx="21">
                  <c:v>-93.496973049239003</c:v>
                </c:pt>
                <c:pt idx="22">
                  <c:v>-94.867621258778129</c:v>
                </c:pt>
                <c:pt idx="23">
                  <c:v>-96.175226404524849</c:v>
                </c:pt>
                <c:pt idx="24">
                  <c:v>-97.418539274155421</c:v>
                </c:pt>
                <c:pt idx="25">
                  <c:v>-98.596344971669311</c:v>
                </c:pt>
                <c:pt idx="26">
                  <c:v>-99.707465140420894</c:v>
                </c:pt>
                <c:pt idx="27">
                  <c:v>-100.75076022311241</c:v>
                </c:pt>
                <c:pt idx="28">
                  <c:v>-101.72513174256733</c:v>
                </c:pt>
              </c:numCache>
            </c:numRef>
          </c:xVal>
          <c:yVal>
            <c:numRef>
              <c:f>'5LeverTailRectangle (2)'!$BC$183:$BC$211</c:f>
              <c:numCache>
                <c:formatCode>General</c:formatCode>
                <c:ptCount val="29"/>
              </c:numCache>
            </c:numRef>
          </c:yVal>
          <c:smooth val="0"/>
        </c:ser>
        <c:ser>
          <c:idx val="4"/>
          <c:order val="4"/>
          <c:spPr>
            <a:ln w="28575">
              <a:noFill/>
            </a:ln>
          </c:spPr>
          <c:xVal>
            <c:numRef>
              <c:f>'5LeverTailRectangle (2)'!$AY$183:$AY$211</c:f>
              <c:numCache>
                <c:formatCode>General</c:formatCode>
                <c:ptCount val="29"/>
                <c:pt idx="0">
                  <c:v>-52.630091862955695</c:v>
                </c:pt>
                <c:pt idx="1">
                  <c:v>-54.993819829410697</c:v>
                </c:pt>
                <c:pt idx="2">
                  <c:v>-57.325835394749546</c:v>
                </c:pt>
                <c:pt idx="3">
                  <c:v>-59.624475512051248</c:v>
                </c:pt>
                <c:pt idx="4">
                  <c:v>-61.888096995078456</c:v>
                </c:pt>
                <c:pt idx="5">
                  <c:v>-64.115074615332276</c:v>
                </c:pt>
                <c:pt idx="6">
                  <c:v>-66.30379967749289</c:v>
                </c:pt>
                <c:pt idx="7">
                  <c:v>-68.452678998667324</c:v>
                </c:pt>
                <c:pt idx="8">
                  <c:v>-70.560134234811926</c:v>
                </c:pt>
                <c:pt idx="9">
                  <c:v>-72.62460151099414</c:v>
                </c:pt>
                <c:pt idx="10">
                  <c:v>-74.644531322041644</c:v>
                </c:pt>
                <c:pt idx="11">
                  <c:v>-76.618388677470904</c:v>
                </c:pt>
                <c:pt idx="12">
                  <c:v>-78.544653470010275</c:v>
                </c:pt>
                <c:pt idx="13">
                  <c:v>-80.421821050989195</c:v>
                </c:pt>
                <c:pt idx="14">
                  <c:v>-82.248402998682764</c:v>
                </c:pt>
                <c:pt idx="15">
                  <c:v>-84.022928067629167</c:v>
                </c:pt>
                <c:pt idx="16">
                  <c:v>-85.743943308162585</c:v>
                </c:pt>
                <c:pt idx="17">
                  <c:v>-87.410015346074147</c:v>
                </c:pt>
                <c:pt idx="18">
                  <c:v>-89.019731812542062</c:v>
                </c:pt>
                <c:pt idx="19">
                  <c:v>-90.571702914357161</c:v>
                </c:pt>
                <c:pt idx="20">
                  <c:v>-92.064563134086512</c:v>
                </c:pt>
                <c:pt idx="21">
                  <c:v>-93.496973049239003</c:v>
                </c:pt>
                <c:pt idx="22">
                  <c:v>-94.867621258778129</c:v>
                </c:pt>
                <c:pt idx="23">
                  <c:v>-96.175226404524849</c:v>
                </c:pt>
                <c:pt idx="24">
                  <c:v>-97.418539274155421</c:v>
                </c:pt>
                <c:pt idx="25">
                  <c:v>-98.596344971669311</c:v>
                </c:pt>
                <c:pt idx="26">
                  <c:v>-99.707465140420894</c:v>
                </c:pt>
                <c:pt idx="27">
                  <c:v>-100.75076022311241</c:v>
                </c:pt>
                <c:pt idx="28">
                  <c:v>-101.72513174256733</c:v>
                </c:pt>
              </c:numCache>
            </c:numRef>
          </c:xVal>
          <c:yVal>
            <c:numRef>
              <c:f>'5LeverTailRectangle (2)'!$BD$183:$BD$211</c:f>
              <c:numCache>
                <c:formatCode>General</c:formatCode>
                <c:ptCount val="29"/>
              </c:numCache>
            </c:numRef>
          </c:yVal>
          <c:smooth val="0"/>
        </c:ser>
        <c:ser>
          <c:idx val="5"/>
          <c:order val="5"/>
          <c:spPr>
            <a:ln w="28575">
              <a:noFill/>
            </a:ln>
          </c:spPr>
          <c:xVal>
            <c:numRef>
              <c:f>'5LeverTailRectangle (2)'!$AY$183:$AY$211</c:f>
              <c:numCache>
                <c:formatCode>General</c:formatCode>
                <c:ptCount val="29"/>
                <c:pt idx="0">
                  <c:v>-52.630091862955695</c:v>
                </c:pt>
                <c:pt idx="1">
                  <c:v>-54.993819829410697</c:v>
                </c:pt>
                <c:pt idx="2">
                  <c:v>-57.325835394749546</c:v>
                </c:pt>
                <c:pt idx="3">
                  <c:v>-59.624475512051248</c:v>
                </c:pt>
                <c:pt idx="4">
                  <c:v>-61.888096995078456</c:v>
                </c:pt>
                <c:pt idx="5">
                  <c:v>-64.115074615332276</c:v>
                </c:pt>
                <c:pt idx="6">
                  <c:v>-66.30379967749289</c:v>
                </c:pt>
                <c:pt idx="7">
                  <c:v>-68.452678998667324</c:v>
                </c:pt>
                <c:pt idx="8">
                  <c:v>-70.560134234811926</c:v>
                </c:pt>
                <c:pt idx="9">
                  <c:v>-72.62460151099414</c:v>
                </c:pt>
                <c:pt idx="10">
                  <c:v>-74.644531322041644</c:v>
                </c:pt>
                <c:pt idx="11">
                  <c:v>-76.618388677470904</c:v>
                </c:pt>
                <c:pt idx="12">
                  <c:v>-78.544653470010275</c:v>
                </c:pt>
                <c:pt idx="13">
                  <c:v>-80.421821050989195</c:v>
                </c:pt>
                <c:pt idx="14">
                  <c:v>-82.248402998682764</c:v>
                </c:pt>
                <c:pt idx="15">
                  <c:v>-84.022928067629167</c:v>
                </c:pt>
                <c:pt idx="16">
                  <c:v>-85.743943308162585</c:v>
                </c:pt>
                <c:pt idx="17">
                  <c:v>-87.410015346074147</c:v>
                </c:pt>
                <c:pt idx="18">
                  <c:v>-89.019731812542062</c:v>
                </c:pt>
                <c:pt idx="19">
                  <c:v>-90.571702914357161</c:v>
                </c:pt>
                <c:pt idx="20">
                  <c:v>-92.064563134086512</c:v>
                </c:pt>
                <c:pt idx="21">
                  <c:v>-93.496973049239003</c:v>
                </c:pt>
                <c:pt idx="22">
                  <c:v>-94.867621258778129</c:v>
                </c:pt>
                <c:pt idx="23">
                  <c:v>-96.175226404524849</c:v>
                </c:pt>
                <c:pt idx="24">
                  <c:v>-97.418539274155421</c:v>
                </c:pt>
                <c:pt idx="25">
                  <c:v>-98.596344971669311</c:v>
                </c:pt>
                <c:pt idx="26">
                  <c:v>-99.707465140420894</c:v>
                </c:pt>
                <c:pt idx="27">
                  <c:v>-100.75076022311241</c:v>
                </c:pt>
                <c:pt idx="28">
                  <c:v>-101.72513174256733</c:v>
                </c:pt>
              </c:numCache>
            </c:numRef>
          </c:xVal>
          <c:yVal>
            <c:numRef>
              <c:f>'5LeverTailRectangle (2)'!$BE$183:$BE$211</c:f>
              <c:numCache>
                <c:formatCode>General</c:formatCode>
                <c:ptCount val="29"/>
              </c:numCache>
            </c:numRef>
          </c:yVal>
          <c:smooth val="0"/>
        </c:ser>
        <c:ser>
          <c:idx val="6"/>
          <c:order val="6"/>
          <c:spPr>
            <a:ln w="28575">
              <a:noFill/>
            </a:ln>
          </c:spPr>
          <c:xVal>
            <c:numRef>
              <c:f>'5LeverTailRectangle (2)'!$AY$183:$AY$211</c:f>
              <c:numCache>
                <c:formatCode>General</c:formatCode>
                <c:ptCount val="29"/>
                <c:pt idx="0">
                  <c:v>-52.630091862955695</c:v>
                </c:pt>
                <c:pt idx="1">
                  <c:v>-54.993819829410697</c:v>
                </c:pt>
                <c:pt idx="2">
                  <c:v>-57.325835394749546</c:v>
                </c:pt>
                <c:pt idx="3">
                  <c:v>-59.624475512051248</c:v>
                </c:pt>
                <c:pt idx="4">
                  <c:v>-61.888096995078456</c:v>
                </c:pt>
                <c:pt idx="5">
                  <c:v>-64.115074615332276</c:v>
                </c:pt>
                <c:pt idx="6">
                  <c:v>-66.30379967749289</c:v>
                </c:pt>
                <c:pt idx="7">
                  <c:v>-68.452678998667324</c:v>
                </c:pt>
                <c:pt idx="8">
                  <c:v>-70.560134234811926</c:v>
                </c:pt>
                <c:pt idx="9">
                  <c:v>-72.62460151099414</c:v>
                </c:pt>
                <c:pt idx="10">
                  <c:v>-74.644531322041644</c:v>
                </c:pt>
                <c:pt idx="11">
                  <c:v>-76.618388677470904</c:v>
                </c:pt>
                <c:pt idx="12">
                  <c:v>-78.544653470010275</c:v>
                </c:pt>
                <c:pt idx="13">
                  <c:v>-80.421821050989195</c:v>
                </c:pt>
                <c:pt idx="14">
                  <c:v>-82.248402998682764</c:v>
                </c:pt>
                <c:pt idx="15">
                  <c:v>-84.022928067629167</c:v>
                </c:pt>
                <c:pt idx="16">
                  <c:v>-85.743943308162585</c:v>
                </c:pt>
                <c:pt idx="17">
                  <c:v>-87.410015346074147</c:v>
                </c:pt>
                <c:pt idx="18">
                  <c:v>-89.019731812542062</c:v>
                </c:pt>
                <c:pt idx="19">
                  <c:v>-90.571702914357161</c:v>
                </c:pt>
                <c:pt idx="20">
                  <c:v>-92.064563134086512</c:v>
                </c:pt>
                <c:pt idx="21">
                  <c:v>-93.496973049239003</c:v>
                </c:pt>
                <c:pt idx="22">
                  <c:v>-94.867621258778129</c:v>
                </c:pt>
                <c:pt idx="23">
                  <c:v>-96.175226404524849</c:v>
                </c:pt>
                <c:pt idx="24">
                  <c:v>-97.418539274155421</c:v>
                </c:pt>
                <c:pt idx="25">
                  <c:v>-98.596344971669311</c:v>
                </c:pt>
                <c:pt idx="26">
                  <c:v>-99.707465140420894</c:v>
                </c:pt>
                <c:pt idx="27">
                  <c:v>-100.75076022311241</c:v>
                </c:pt>
                <c:pt idx="28">
                  <c:v>-101.72513174256733</c:v>
                </c:pt>
              </c:numCache>
            </c:numRef>
          </c:xVal>
          <c:yVal>
            <c:numRef>
              <c:f>'5LeverTailRectangle (2)'!$BF$183:$BF$211</c:f>
              <c:numCache>
                <c:formatCode>General</c:formatCode>
                <c:ptCount val="29"/>
              </c:numCache>
            </c:numRef>
          </c:yVal>
          <c:smooth val="0"/>
        </c:ser>
        <c:ser>
          <c:idx val="7"/>
          <c:order val="7"/>
          <c:spPr>
            <a:ln w="28575">
              <a:noFill/>
            </a:ln>
          </c:spPr>
          <c:xVal>
            <c:numRef>
              <c:f>'5LeverTailRectangle (2)'!$AY$183:$AY$211</c:f>
              <c:numCache>
                <c:formatCode>General</c:formatCode>
                <c:ptCount val="29"/>
                <c:pt idx="0">
                  <c:v>-52.630091862955695</c:v>
                </c:pt>
                <c:pt idx="1">
                  <c:v>-54.993819829410697</c:v>
                </c:pt>
                <c:pt idx="2">
                  <c:v>-57.325835394749546</c:v>
                </c:pt>
                <c:pt idx="3">
                  <c:v>-59.624475512051248</c:v>
                </c:pt>
                <c:pt idx="4">
                  <c:v>-61.888096995078456</c:v>
                </c:pt>
                <c:pt idx="5">
                  <c:v>-64.115074615332276</c:v>
                </c:pt>
                <c:pt idx="6">
                  <c:v>-66.30379967749289</c:v>
                </c:pt>
                <c:pt idx="7">
                  <c:v>-68.452678998667324</c:v>
                </c:pt>
                <c:pt idx="8">
                  <c:v>-70.560134234811926</c:v>
                </c:pt>
                <c:pt idx="9">
                  <c:v>-72.62460151099414</c:v>
                </c:pt>
                <c:pt idx="10">
                  <c:v>-74.644531322041644</c:v>
                </c:pt>
                <c:pt idx="11">
                  <c:v>-76.618388677470904</c:v>
                </c:pt>
                <c:pt idx="12">
                  <c:v>-78.544653470010275</c:v>
                </c:pt>
                <c:pt idx="13">
                  <c:v>-80.421821050989195</c:v>
                </c:pt>
                <c:pt idx="14">
                  <c:v>-82.248402998682764</c:v>
                </c:pt>
                <c:pt idx="15">
                  <c:v>-84.022928067629167</c:v>
                </c:pt>
                <c:pt idx="16">
                  <c:v>-85.743943308162585</c:v>
                </c:pt>
                <c:pt idx="17">
                  <c:v>-87.410015346074147</c:v>
                </c:pt>
                <c:pt idx="18">
                  <c:v>-89.019731812542062</c:v>
                </c:pt>
                <c:pt idx="19">
                  <c:v>-90.571702914357161</c:v>
                </c:pt>
                <c:pt idx="20">
                  <c:v>-92.064563134086512</c:v>
                </c:pt>
                <c:pt idx="21">
                  <c:v>-93.496973049239003</c:v>
                </c:pt>
                <c:pt idx="22">
                  <c:v>-94.867621258778129</c:v>
                </c:pt>
                <c:pt idx="23">
                  <c:v>-96.175226404524849</c:v>
                </c:pt>
                <c:pt idx="24">
                  <c:v>-97.418539274155421</c:v>
                </c:pt>
                <c:pt idx="25">
                  <c:v>-98.596344971669311</c:v>
                </c:pt>
                <c:pt idx="26">
                  <c:v>-99.707465140420894</c:v>
                </c:pt>
                <c:pt idx="27">
                  <c:v>-100.75076022311241</c:v>
                </c:pt>
                <c:pt idx="28">
                  <c:v>-101.72513174256733</c:v>
                </c:pt>
              </c:numCache>
            </c:numRef>
          </c:xVal>
          <c:yVal>
            <c:numRef>
              <c:f>'5LeverTailRectangle (2)'!$BG$183:$BG$211</c:f>
              <c:numCache>
                <c:formatCode>General</c:formatCode>
                <c:ptCount val="29"/>
              </c:numCache>
            </c:numRef>
          </c:yVal>
          <c:smooth val="0"/>
        </c:ser>
        <c:ser>
          <c:idx val="8"/>
          <c:order val="8"/>
          <c:spPr>
            <a:ln w="28575">
              <a:noFill/>
            </a:ln>
          </c:spPr>
          <c:xVal>
            <c:numRef>
              <c:f>'5LeverTailRectangle (2)'!$AY$183:$AY$211</c:f>
              <c:numCache>
                <c:formatCode>General</c:formatCode>
                <c:ptCount val="29"/>
                <c:pt idx="0">
                  <c:v>-52.630091862955695</c:v>
                </c:pt>
                <c:pt idx="1">
                  <c:v>-54.993819829410697</c:v>
                </c:pt>
                <c:pt idx="2">
                  <c:v>-57.325835394749546</c:v>
                </c:pt>
                <c:pt idx="3">
                  <c:v>-59.624475512051248</c:v>
                </c:pt>
                <c:pt idx="4">
                  <c:v>-61.888096995078456</c:v>
                </c:pt>
                <c:pt idx="5">
                  <c:v>-64.115074615332276</c:v>
                </c:pt>
                <c:pt idx="6">
                  <c:v>-66.30379967749289</c:v>
                </c:pt>
                <c:pt idx="7">
                  <c:v>-68.452678998667324</c:v>
                </c:pt>
                <c:pt idx="8">
                  <c:v>-70.560134234811926</c:v>
                </c:pt>
                <c:pt idx="9">
                  <c:v>-72.62460151099414</c:v>
                </c:pt>
                <c:pt idx="10">
                  <c:v>-74.644531322041644</c:v>
                </c:pt>
                <c:pt idx="11">
                  <c:v>-76.618388677470904</c:v>
                </c:pt>
                <c:pt idx="12">
                  <c:v>-78.544653470010275</c:v>
                </c:pt>
                <c:pt idx="13">
                  <c:v>-80.421821050989195</c:v>
                </c:pt>
                <c:pt idx="14">
                  <c:v>-82.248402998682764</c:v>
                </c:pt>
                <c:pt idx="15">
                  <c:v>-84.022928067629167</c:v>
                </c:pt>
                <c:pt idx="16">
                  <c:v>-85.743943308162585</c:v>
                </c:pt>
                <c:pt idx="17">
                  <c:v>-87.410015346074147</c:v>
                </c:pt>
                <c:pt idx="18">
                  <c:v>-89.019731812542062</c:v>
                </c:pt>
                <c:pt idx="19">
                  <c:v>-90.571702914357161</c:v>
                </c:pt>
                <c:pt idx="20">
                  <c:v>-92.064563134086512</c:v>
                </c:pt>
                <c:pt idx="21">
                  <c:v>-93.496973049239003</c:v>
                </c:pt>
                <c:pt idx="22">
                  <c:v>-94.867621258778129</c:v>
                </c:pt>
                <c:pt idx="23">
                  <c:v>-96.175226404524849</c:v>
                </c:pt>
                <c:pt idx="24">
                  <c:v>-97.418539274155421</c:v>
                </c:pt>
                <c:pt idx="25">
                  <c:v>-98.596344971669311</c:v>
                </c:pt>
                <c:pt idx="26">
                  <c:v>-99.707465140420894</c:v>
                </c:pt>
                <c:pt idx="27">
                  <c:v>-100.75076022311241</c:v>
                </c:pt>
                <c:pt idx="28">
                  <c:v>-101.72513174256733</c:v>
                </c:pt>
              </c:numCache>
            </c:numRef>
          </c:xVal>
          <c:yVal>
            <c:numRef>
              <c:f>'5LeverTailRectangle (2)'!$BH$183:$BH$211</c:f>
              <c:numCache>
                <c:formatCode>General</c:formatCode>
                <c:ptCount val="29"/>
              </c:numCache>
            </c:numRef>
          </c:yVal>
          <c:smooth val="0"/>
        </c:ser>
        <c:ser>
          <c:idx val="9"/>
          <c:order val="9"/>
          <c:spPr>
            <a:ln w="28575">
              <a:noFill/>
            </a:ln>
          </c:spPr>
          <c:xVal>
            <c:numRef>
              <c:f>'5LeverTailRectangle (2)'!$AY$183:$AY$211</c:f>
              <c:numCache>
                <c:formatCode>General</c:formatCode>
                <c:ptCount val="29"/>
                <c:pt idx="0">
                  <c:v>-52.630091862955695</c:v>
                </c:pt>
                <c:pt idx="1">
                  <c:v>-54.993819829410697</c:v>
                </c:pt>
                <c:pt idx="2">
                  <c:v>-57.325835394749546</c:v>
                </c:pt>
                <c:pt idx="3">
                  <c:v>-59.624475512051248</c:v>
                </c:pt>
                <c:pt idx="4">
                  <c:v>-61.888096995078456</c:v>
                </c:pt>
                <c:pt idx="5">
                  <c:v>-64.115074615332276</c:v>
                </c:pt>
                <c:pt idx="6">
                  <c:v>-66.30379967749289</c:v>
                </c:pt>
                <c:pt idx="7">
                  <c:v>-68.452678998667324</c:v>
                </c:pt>
                <c:pt idx="8">
                  <c:v>-70.560134234811926</c:v>
                </c:pt>
                <c:pt idx="9">
                  <c:v>-72.62460151099414</c:v>
                </c:pt>
                <c:pt idx="10">
                  <c:v>-74.644531322041644</c:v>
                </c:pt>
                <c:pt idx="11">
                  <c:v>-76.618388677470904</c:v>
                </c:pt>
                <c:pt idx="12">
                  <c:v>-78.544653470010275</c:v>
                </c:pt>
                <c:pt idx="13">
                  <c:v>-80.421821050989195</c:v>
                </c:pt>
                <c:pt idx="14">
                  <c:v>-82.248402998682764</c:v>
                </c:pt>
                <c:pt idx="15">
                  <c:v>-84.022928067629167</c:v>
                </c:pt>
                <c:pt idx="16">
                  <c:v>-85.743943308162585</c:v>
                </c:pt>
                <c:pt idx="17">
                  <c:v>-87.410015346074147</c:v>
                </c:pt>
                <c:pt idx="18">
                  <c:v>-89.019731812542062</c:v>
                </c:pt>
                <c:pt idx="19">
                  <c:v>-90.571702914357161</c:v>
                </c:pt>
                <c:pt idx="20">
                  <c:v>-92.064563134086512</c:v>
                </c:pt>
                <c:pt idx="21">
                  <c:v>-93.496973049239003</c:v>
                </c:pt>
                <c:pt idx="22">
                  <c:v>-94.867621258778129</c:v>
                </c:pt>
                <c:pt idx="23">
                  <c:v>-96.175226404524849</c:v>
                </c:pt>
                <c:pt idx="24">
                  <c:v>-97.418539274155421</c:v>
                </c:pt>
                <c:pt idx="25">
                  <c:v>-98.596344971669311</c:v>
                </c:pt>
                <c:pt idx="26">
                  <c:v>-99.707465140420894</c:v>
                </c:pt>
                <c:pt idx="27">
                  <c:v>-100.75076022311241</c:v>
                </c:pt>
                <c:pt idx="28">
                  <c:v>-101.72513174256733</c:v>
                </c:pt>
              </c:numCache>
            </c:numRef>
          </c:xVal>
          <c:yVal>
            <c:numRef>
              <c:f>'5LeverTailRectangle (2)'!$BI$183:$BI$211</c:f>
              <c:numCache>
                <c:formatCode>General</c:formatCode>
                <c:ptCount val="29"/>
              </c:numCache>
            </c:numRef>
          </c:yVal>
          <c:smooth val="0"/>
        </c:ser>
        <c:ser>
          <c:idx val="10"/>
          <c:order val="10"/>
          <c:spPr>
            <a:ln w="28575">
              <a:noFill/>
            </a:ln>
          </c:spPr>
          <c:xVal>
            <c:numRef>
              <c:f>'5LeverTailRectangle (2)'!$AY$183:$AY$211</c:f>
              <c:numCache>
                <c:formatCode>General</c:formatCode>
                <c:ptCount val="29"/>
                <c:pt idx="0">
                  <c:v>-52.630091862955695</c:v>
                </c:pt>
                <c:pt idx="1">
                  <c:v>-54.993819829410697</c:v>
                </c:pt>
                <c:pt idx="2">
                  <c:v>-57.325835394749546</c:v>
                </c:pt>
                <c:pt idx="3">
                  <c:v>-59.624475512051248</c:v>
                </c:pt>
                <c:pt idx="4">
                  <c:v>-61.888096995078456</c:v>
                </c:pt>
                <c:pt idx="5">
                  <c:v>-64.115074615332276</c:v>
                </c:pt>
                <c:pt idx="6">
                  <c:v>-66.30379967749289</c:v>
                </c:pt>
                <c:pt idx="7">
                  <c:v>-68.452678998667324</c:v>
                </c:pt>
                <c:pt idx="8">
                  <c:v>-70.560134234811926</c:v>
                </c:pt>
                <c:pt idx="9">
                  <c:v>-72.62460151099414</c:v>
                </c:pt>
                <c:pt idx="10">
                  <c:v>-74.644531322041644</c:v>
                </c:pt>
                <c:pt idx="11">
                  <c:v>-76.618388677470904</c:v>
                </c:pt>
                <c:pt idx="12">
                  <c:v>-78.544653470010275</c:v>
                </c:pt>
                <c:pt idx="13">
                  <c:v>-80.421821050989195</c:v>
                </c:pt>
                <c:pt idx="14">
                  <c:v>-82.248402998682764</c:v>
                </c:pt>
                <c:pt idx="15">
                  <c:v>-84.022928067629167</c:v>
                </c:pt>
                <c:pt idx="16">
                  <c:v>-85.743943308162585</c:v>
                </c:pt>
                <c:pt idx="17">
                  <c:v>-87.410015346074147</c:v>
                </c:pt>
                <c:pt idx="18">
                  <c:v>-89.019731812542062</c:v>
                </c:pt>
                <c:pt idx="19">
                  <c:v>-90.571702914357161</c:v>
                </c:pt>
                <c:pt idx="20">
                  <c:v>-92.064563134086512</c:v>
                </c:pt>
                <c:pt idx="21">
                  <c:v>-93.496973049239003</c:v>
                </c:pt>
                <c:pt idx="22">
                  <c:v>-94.867621258778129</c:v>
                </c:pt>
                <c:pt idx="23">
                  <c:v>-96.175226404524849</c:v>
                </c:pt>
                <c:pt idx="24">
                  <c:v>-97.418539274155421</c:v>
                </c:pt>
                <c:pt idx="25">
                  <c:v>-98.596344971669311</c:v>
                </c:pt>
                <c:pt idx="26">
                  <c:v>-99.707465140420894</c:v>
                </c:pt>
                <c:pt idx="27">
                  <c:v>-100.75076022311241</c:v>
                </c:pt>
                <c:pt idx="28">
                  <c:v>-101.72513174256733</c:v>
                </c:pt>
              </c:numCache>
            </c:numRef>
          </c:xVal>
          <c:yVal>
            <c:numRef>
              <c:f>'5LeverTailRectangle (2)'!$BJ$183:$BJ$211</c:f>
              <c:numCache>
                <c:formatCode>General</c:formatCode>
                <c:ptCount val="29"/>
              </c:numCache>
            </c:numRef>
          </c:yVal>
          <c:smooth val="0"/>
        </c:ser>
        <c:ser>
          <c:idx val="11"/>
          <c:order val="11"/>
          <c:spPr>
            <a:ln w="28575">
              <a:noFill/>
            </a:ln>
          </c:spPr>
          <c:xVal>
            <c:numRef>
              <c:f>'5LeverTailRectangle (2)'!$AY$183:$AY$211</c:f>
              <c:numCache>
                <c:formatCode>General</c:formatCode>
                <c:ptCount val="29"/>
                <c:pt idx="0">
                  <c:v>-52.630091862955695</c:v>
                </c:pt>
                <c:pt idx="1">
                  <c:v>-54.993819829410697</c:v>
                </c:pt>
                <c:pt idx="2">
                  <c:v>-57.325835394749546</c:v>
                </c:pt>
                <c:pt idx="3">
                  <c:v>-59.624475512051248</c:v>
                </c:pt>
                <c:pt idx="4">
                  <c:v>-61.888096995078456</c:v>
                </c:pt>
                <c:pt idx="5">
                  <c:v>-64.115074615332276</c:v>
                </c:pt>
                <c:pt idx="6">
                  <c:v>-66.30379967749289</c:v>
                </c:pt>
                <c:pt idx="7">
                  <c:v>-68.452678998667324</c:v>
                </c:pt>
                <c:pt idx="8">
                  <c:v>-70.560134234811926</c:v>
                </c:pt>
                <c:pt idx="9">
                  <c:v>-72.62460151099414</c:v>
                </c:pt>
                <c:pt idx="10">
                  <c:v>-74.644531322041644</c:v>
                </c:pt>
                <c:pt idx="11">
                  <c:v>-76.618388677470904</c:v>
                </c:pt>
                <c:pt idx="12">
                  <c:v>-78.544653470010275</c:v>
                </c:pt>
                <c:pt idx="13">
                  <c:v>-80.421821050989195</c:v>
                </c:pt>
                <c:pt idx="14">
                  <c:v>-82.248402998682764</c:v>
                </c:pt>
                <c:pt idx="15">
                  <c:v>-84.022928067629167</c:v>
                </c:pt>
                <c:pt idx="16">
                  <c:v>-85.743943308162585</c:v>
                </c:pt>
                <c:pt idx="17">
                  <c:v>-87.410015346074147</c:v>
                </c:pt>
                <c:pt idx="18">
                  <c:v>-89.019731812542062</c:v>
                </c:pt>
                <c:pt idx="19">
                  <c:v>-90.571702914357161</c:v>
                </c:pt>
                <c:pt idx="20">
                  <c:v>-92.064563134086512</c:v>
                </c:pt>
                <c:pt idx="21">
                  <c:v>-93.496973049239003</c:v>
                </c:pt>
                <c:pt idx="22">
                  <c:v>-94.867621258778129</c:v>
                </c:pt>
                <c:pt idx="23">
                  <c:v>-96.175226404524849</c:v>
                </c:pt>
                <c:pt idx="24">
                  <c:v>-97.418539274155421</c:v>
                </c:pt>
                <c:pt idx="25">
                  <c:v>-98.596344971669311</c:v>
                </c:pt>
                <c:pt idx="26">
                  <c:v>-99.707465140420894</c:v>
                </c:pt>
                <c:pt idx="27">
                  <c:v>-100.75076022311241</c:v>
                </c:pt>
                <c:pt idx="28">
                  <c:v>-101.72513174256733</c:v>
                </c:pt>
              </c:numCache>
            </c:numRef>
          </c:xVal>
          <c:yVal>
            <c:numRef>
              <c:f>'5LeverTailRectangle (2)'!$BK$183:$BK$211</c:f>
              <c:numCache>
                <c:formatCode>General</c:formatCode>
                <c:ptCount val="29"/>
              </c:numCache>
            </c:numRef>
          </c:yVal>
          <c:smooth val="0"/>
        </c:ser>
        <c:ser>
          <c:idx val="12"/>
          <c:order val="12"/>
          <c:spPr>
            <a:ln w="28575">
              <a:noFill/>
            </a:ln>
          </c:spPr>
          <c:xVal>
            <c:numRef>
              <c:f>'5LeverTailRectangle (2)'!$AY$183:$AY$211</c:f>
              <c:numCache>
                <c:formatCode>General</c:formatCode>
                <c:ptCount val="29"/>
                <c:pt idx="0">
                  <c:v>-52.630091862955695</c:v>
                </c:pt>
                <c:pt idx="1">
                  <c:v>-54.993819829410697</c:v>
                </c:pt>
                <c:pt idx="2">
                  <c:v>-57.325835394749546</c:v>
                </c:pt>
                <c:pt idx="3">
                  <c:v>-59.624475512051248</c:v>
                </c:pt>
                <c:pt idx="4">
                  <c:v>-61.888096995078456</c:v>
                </c:pt>
                <c:pt idx="5">
                  <c:v>-64.115074615332276</c:v>
                </c:pt>
                <c:pt idx="6">
                  <c:v>-66.30379967749289</c:v>
                </c:pt>
                <c:pt idx="7">
                  <c:v>-68.452678998667324</c:v>
                </c:pt>
                <c:pt idx="8">
                  <c:v>-70.560134234811926</c:v>
                </c:pt>
                <c:pt idx="9">
                  <c:v>-72.62460151099414</c:v>
                </c:pt>
                <c:pt idx="10">
                  <c:v>-74.644531322041644</c:v>
                </c:pt>
                <c:pt idx="11">
                  <c:v>-76.618388677470904</c:v>
                </c:pt>
                <c:pt idx="12">
                  <c:v>-78.544653470010275</c:v>
                </c:pt>
                <c:pt idx="13">
                  <c:v>-80.421821050989195</c:v>
                </c:pt>
                <c:pt idx="14">
                  <c:v>-82.248402998682764</c:v>
                </c:pt>
                <c:pt idx="15">
                  <c:v>-84.022928067629167</c:v>
                </c:pt>
                <c:pt idx="16">
                  <c:v>-85.743943308162585</c:v>
                </c:pt>
                <c:pt idx="17">
                  <c:v>-87.410015346074147</c:v>
                </c:pt>
                <c:pt idx="18">
                  <c:v>-89.019731812542062</c:v>
                </c:pt>
                <c:pt idx="19">
                  <c:v>-90.571702914357161</c:v>
                </c:pt>
                <c:pt idx="20">
                  <c:v>-92.064563134086512</c:v>
                </c:pt>
                <c:pt idx="21">
                  <c:v>-93.496973049239003</c:v>
                </c:pt>
                <c:pt idx="22">
                  <c:v>-94.867621258778129</c:v>
                </c:pt>
                <c:pt idx="23">
                  <c:v>-96.175226404524849</c:v>
                </c:pt>
                <c:pt idx="24">
                  <c:v>-97.418539274155421</c:v>
                </c:pt>
                <c:pt idx="25">
                  <c:v>-98.596344971669311</c:v>
                </c:pt>
                <c:pt idx="26">
                  <c:v>-99.707465140420894</c:v>
                </c:pt>
                <c:pt idx="27">
                  <c:v>-100.75076022311241</c:v>
                </c:pt>
                <c:pt idx="28">
                  <c:v>-101.72513174256733</c:v>
                </c:pt>
              </c:numCache>
            </c:numRef>
          </c:xVal>
          <c:yVal>
            <c:numRef>
              <c:f>'5LeverTailRectangle (2)'!$BL$183:$BL$211</c:f>
              <c:numCache>
                <c:formatCode>General</c:formatCode>
                <c:ptCount val="29"/>
              </c:numCache>
            </c:numRef>
          </c:yVal>
          <c:smooth val="0"/>
        </c:ser>
        <c:ser>
          <c:idx val="13"/>
          <c:order val="13"/>
          <c:spPr>
            <a:ln w="28575">
              <a:noFill/>
            </a:ln>
          </c:spPr>
          <c:xVal>
            <c:numRef>
              <c:f>'5LeverTailRectangle (2)'!$AY$183:$AY$211</c:f>
              <c:numCache>
                <c:formatCode>General</c:formatCode>
                <c:ptCount val="29"/>
                <c:pt idx="0">
                  <c:v>-52.630091862955695</c:v>
                </c:pt>
                <c:pt idx="1">
                  <c:v>-54.993819829410697</c:v>
                </c:pt>
                <c:pt idx="2">
                  <c:v>-57.325835394749546</c:v>
                </c:pt>
                <c:pt idx="3">
                  <c:v>-59.624475512051248</c:v>
                </c:pt>
                <c:pt idx="4">
                  <c:v>-61.888096995078456</c:v>
                </c:pt>
                <c:pt idx="5">
                  <c:v>-64.115074615332276</c:v>
                </c:pt>
                <c:pt idx="6">
                  <c:v>-66.30379967749289</c:v>
                </c:pt>
                <c:pt idx="7">
                  <c:v>-68.452678998667324</c:v>
                </c:pt>
                <c:pt idx="8">
                  <c:v>-70.560134234811926</c:v>
                </c:pt>
                <c:pt idx="9">
                  <c:v>-72.62460151099414</c:v>
                </c:pt>
                <c:pt idx="10">
                  <c:v>-74.644531322041644</c:v>
                </c:pt>
                <c:pt idx="11">
                  <c:v>-76.618388677470904</c:v>
                </c:pt>
                <c:pt idx="12">
                  <c:v>-78.544653470010275</c:v>
                </c:pt>
                <c:pt idx="13">
                  <c:v>-80.421821050989195</c:v>
                </c:pt>
                <c:pt idx="14">
                  <c:v>-82.248402998682764</c:v>
                </c:pt>
                <c:pt idx="15">
                  <c:v>-84.022928067629167</c:v>
                </c:pt>
                <c:pt idx="16">
                  <c:v>-85.743943308162585</c:v>
                </c:pt>
                <c:pt idx="17">
                  <c:v>-87.410015346074147</c:v>
                </c:pt>
                <c:pt idx="18">
                  <c:v>-89.019731812542062</c:v>
                </c:pt>
                <c:pt idx="19">
                  <c:v>-90.571702914357161</c:v>
                </c:pt>
                <c:pt idx="20">
                  <c:v>-92.064563134086512</c:v>
                </c:pt>
                <c:pt idx="21">
                  <c:v>-93.496973049239003</c:v>
                </c:pt>
                <c:pt idx="22">
                  <c:v>-94.867621258778129</c:v>
                </c:pt>
                <c:pt idx="23">
                  <c:v>-96.175226404524849</c:v>
                </c:pt>
                <c:pt idx="24">
                  <c:v>-97.418539274155421</c:v>
                </c:pt>
                <c:pt idx="25">
                  <c:v>-98.596344971669311</c:v>
                </c:pt>
                <c:pt idx="26">
                  <c:v>-99.707465140420894</c:v>
                </c:pt>
                <c:pt idx="27">
                  <c:v>-100.75076022311241</c:v>
                </c:pt>
                <c:pt idx="28">
                  <c:v>-101.72513174256733</c:v>
                </c:pt>
              </c:numCache>
            </c:numRef>
          </c:xVal>
          <c:yVal>
            <c:numRef>
              <c:f>'5LeverTailRectangle (2)'!$BM$183:$BM$211</c:f>
              <c:numCache>
                <c:formatCode>General</c:formatCode>
                <c:ptCount val="29"/>
              </c:numCache>
            </c:numRef>
          </c:yVal>
          <c:smooth val="0"/>
        </c:ser>
        <c:ser>
          <c:idx val="14"/>
          <c:order val="14"/>
          <c:spPr>
            <a:ln w="28575">
              <a:noFill/>
            </a:ln>
          </c:spPr>
          <c:xVal>
            <c:numRef>
              <c:f>'5LeverTailRectangle (2)'!$AY$183:$AY$211</c:f>
              <c:numCache>
                <c:formatCode>General</c:formatCode>
                <c:ptCount val="29"/>
                <c:pt idx="0">
                  <c:v>-52.630091862955695</c:v>
                </c:pt>
                <c:pt idx="1">
                  <c:v>-54.993819829410697</c:v>
                </c:pt>
                <c:pt idx="2">
                  <c:v>-57.325835394749546</c:v>
                </c:pt>
                <c:pt idx="3">
                  <c:v>-59.624475512051248</c:v>
                </c:pt>
                <c:pt idx="4">
                  <c:v>-61.888096995078456</c:v>
                </c:pt>
                <c:pt idx="5">
                  <c:v>-64.115074615332276</c:v>
                </c:pt>
                <c:pt idx="6">
                  <c:v>-66.30379967749289</c:v>
                </c:pt>
                <c:pt idx="7">
                  <c:v>-68.452678998667324</c:v>
                </c:pt>
                <c:pt idx="8">
                  <c:v>-70.560134234811926</c:v>
                </c:pt>
                <c:pt idx="9">
                  <c:v>-72.62460151099414</c:v>
                </c:pt>
                <c:pt idx="10">
                  <c:v>-74.644531322041644</c:v>
                </c:pt>
                <c:pt idx="11">
                  <c:v>-76.618388677470904</c:v>
                </c:pt>
                <c:pt idx="12">
                  <c:v>-78.544653470010275</c:v>
                </c:pt>
                <c:pt idx="13">
                  <c:v>-80.421821050989195</c:v>
                </c:pt>
                <c:pt idx="14">
                  <c:v>-82.248402998682764</c:v>
                </c:pt>
                <c:pt idx="15">
                  <c:v>-84.022928067629167</c:v>
                </c:pt>
                <c:pt idx="16">
                  <c:v>-85.743943308162585</c:v>
                </c:pt>
                <c:pt idx="17">
                  <c:v>-87.410015346074147</c:v>
                </c:pt>
                <c:pt idx="18">
                  <c:v>-89.019731812542062</c:v>
                </c:pt>
                <c:pt idx="19">
                  <c:v>-90.571702914357161</c:v>
                </c:pt>
                <c:pt idx="20">
                  <c:v>-92.064563134086512</c:v>
                </c:pt>
                <c:pt idx="21">
                  <c:v>-93.496973049239003</c:v>
                </c:pt>
                <c:pt idx="22">
                  <c:v>-94.867621258778129</c:v>
                </c:pt>
                <c:pt idx="23">
                  <c:v>-96.175226404524849</c:v>
                </c:pt>
                <c:pt idx="24">
                  <c:v>-97.418539274155421</c:v>
                </c:pt>
                <c:pt idx="25">
                  <c:v>-98.596344971669311</c:v>
                </c:pt>
                <c:pt idx="26">
                  <c:v>-99.707465140420894</c:v>
                </c:pt>
                <c:pt idx="27">
                  <c:v>-100.75076022311241</c:v>
                </c:pt>
                <c:pt idx="28">
                  <c:v>-101.72513174256733</c:v>
                </c:pt>
              </c:numCache>
            </c:numRef>
          </c:xVal>
          <c:yVal>
            <c:numRef>
              <c:f>'5LeverTailRectangle (2)'!$BN$183:$BN$211</c:f>
              <c:numCache>
                <c:formatCode>General</c:formatCode>
                <c:ptCount val="29"/>
              </c:numCache>
            </c:numRef>
          </c:yVal>
          <c:smooth val="0"/>
        </c:ser>
        <c:ser>
          <c:idx val="15"/>
          <c:order val="15"/>
          <c:spPr>
            <a:ln w="28575">
              <a:noFill/>
            </a:ln>
          </c:spPr>
          <c:xVal>
            <c:numRef>
              <c:f>'5LeverTailRectangle (2)'!$AY$183:$AY$211</c:f>
              <c:numCache>
                <c:formatCode>General</c:formatCode>
                <c:ptCount val="29"/>
                <c:pt idx="0">
                  <c:v>-52.630091862955695</c:v>
                </c:pt>
                <c:pt idx="1">
                  <c:v>-54.993819829410697</c:v>
                </c:pt>
                <c:pt idx="2">
                  <c:v>-57.325835394749546</c:v>
                </c:pt>
                <c:pt idx="3">
                  <c:v>-59.624475512051248</c:v>
                </c:pt>
                <c:pt idx="4">
                  <c:v>-61.888096995078456</c:v>
                </c:pt>
                <c:pt idx="5">
                  <c:v>-64.115074615332276</c:v>
                </c:pt>
                <c:pt idx="6">
                  <c:v>-66.30379967749289</c:v>
                </c:pt>
                <c:pt idx="7">
                  <c:v>-68.452678998667324</c:v>
                </c:pt>
                <c:pt idx="8">
                  <c:v>-70.560134234811926</c:v>
                </c:pt>
                <c:pt idx="9">
                  <c:v>-72.62460151099414</c:v>
                </c:pt>
                <c:pt idx="10">
                  <c:v>-74.644531322041644</c:v>
                </c:pt>
                <c:pt idx="11">
                  <c:v>-76.618388677470904</c:v>
                </c:pt>
                <c:pt idx="12">
                  <c:v>-78.544653470010275</c:v>
                </c:pt>
                <c:pt idx="13">
                  <c:v>-80.421821050989195</c:v>
                </c:pt>
                <c:pt idx="14">
                  <c:v>-82.248402998682764</c:v>
                </c:pt>
                <c:pt idx="15">
                  <c:v>-84.022928067629167</c:v>
                </c:pt>
                <c:pt idx="16">
                  <c:v>-85.743943308162585</c:v>
                </c:pt>
                <c:pt idx="17">
                  <c:v>-87.410015346074147</c:v>
                </c:pt>
                <c:pt idx="18">
                  <c:v>-89.019731812542062</c:v>
                </c:pt>
                <c:pt idx="19">
                  <c:v>-90.571702914357161</c:v>
                </c:pt>
                <c:pt idx="20">
                  <c:v>-92.064563134086512</c:v>
                </c:pt>
                <c:pt idx="21">
                  <c:v>-93.496973049239003</c:v>
                </c:pt>
                <c:pt idx="22">
                  <c:v>-94.867621258778129</c:v>
                </c:pt>
                <c:pt idx="23">
                  <c:v>-96.175226404524849</c:v>
                </c:pt>
                <c:pt idx="24">
                  <c:v>-97.418539274155421</c:v>
                </c:pt>
                <c:pt idx="25">
                  <c:v>-98.596344971669311</c:v>
                </c:pt>
                <c:pt idx="26">
                  <c:v>-99.707465140420894</c:v>
                </c:pt>
                <c:pt idx="27">
                  <c:v>-100.75076022311241</c:v>
                </c:pt>
                <c:pt idx="28">
                  <c:v>-101.72513174256733</c:v>
                </c:pt>
              </c:numCache>
            </c:numRef>
          </c:xVal>
          <c:yVal>
            <c:numRef>
              <c:f>'5LeverTailRectangle (2)'!$BO$183:$BO$211</c:f>
              <c:numCache>
                <c:formatCode>General</c:formatCode>
                <c:ptCount val="29"/>
                <c:pt idx="0">
                  <c:v>-98.410218992331124</c:v>
                </c:pt>
                <c:pt idx="1">
                  <c:v>-96.857084347569554</c:v>
                </c:pt>
                <c:pt idx="2">
                  <c:v>-95.245395576975156</c:v>
                </c:pt>
                <c:pt idx="3">
                  <c:v>-93.575695631364809</c:v>
                </c:pt>
                <c:pt idx="4">
                  <c:v>-91.848569977400587</c:v>
                </c:pt>
                <c:pt idx="5">
                  <c:v>-90.064646493583368</c:v>
                </c:pt>
                <c:pt idx="6">
                  <c:v>-88.224595518981275</c:v>
                </c:pt>
                <c:pt idx="7">
                  <c:v>-86.32913002869627</c:v>
                </c:pt>
                <c:pt idx="8">
                  <c:v>-84.379005913568776</c:v>
                </c:pt>
                <c:pt idx="9">
                  <c:v>-82.375022344105417</c:v>
                </c:pt>
                <c:pt idx="10">
                  <c:v>-80.318022200360048</c:v>
                </c:pt>
                <c:pt idx="11">
                  <c:v>-78.208892550703069</c:v>
                </c:pt>
                <c:pt idx="12">
                  <c:v>-76.048565163233263</c:v>
                </c:pt>
                <c:pt idx="13">
                  <c:v>-73.838017034132406</c:v>
                </c:pt>
                <c:pt idx="14">
                  <c:v>-71.578270917630903</c:v>
                </c:pt>
                <c:pt idx="15">
                  <c:v>-69.270395842512329</c:v>
                </c:pt>
                <c:pt idx="16">
                  <c:v>-66.915507600298938</c:v>
                </c:pt>
                <c:pt idx="17">
                  <c:v>-64.514769190474993</c:v>
                </c:pt>
                <c:pt idx="18">
                  <c:v>-62.069391208362894</c:v>
                </c:pt>
                <c:pt idx="19">
                  <c:v>-59.580632161598629</c:v>
                </c:pt>
                <c:pt idx="20">
                  <c:v>-57.049798701590817</c:v>
                </c:pt>
                <c:pt idx="21">
                  <c:v>-54.47824575690386</c:v>
                </c:pt>
                <c:pt idx="22">
                  <c:v>-51.867376556203979</c:v>
                </c:pt>
                <c:pt idx="23">
                  <c:v>-49.218642529253216</c:v>
                </c:pt>
                <c:pt idx="24">
                  <c:v>-46.533543075434004</c:v>
                </c:pt>
                <c:pt idx="25">
                  <c:v>-43.813625190438827</c:v>
                </c:pt>
                <c:pt idx="26">
                  <c:v>-41.060482943056698</c:v>
                </c:pt>
                <c:pt idx="27">
                  <c:v>-38.275756795420236</c:v>
                </c:pt>
                <c:pt idx="28">
                  <c:v>-35.461132761629614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952960"/>
        <c:axId val="128971136"/>
      </c:scatterChart>
      <c:valAx>
        <c:axId val="1289529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8971136"/>
        <c:crosses val="autoZero"/>
        <c:crossBetween val="midCat"/>
      </c:valAx>
      <c:valAx>
        <c:axId val="1289711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895296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Лист3!$R$39</c:f>
              <c:strCache>
                <c:ptCount val="1"/>
                <c:pt idx="0">
                  <c:v>Xleft</c:v>
                </c:pt>
              </c:strCache>
            </c:strRef>
          </c:tx>
          <c:marker>
            <c:symbol val="none"/>
          </c:marker>
          <c:xVal>
            <c:numRef>
              <c:f>Лист3!$Q$40:$Q$101</c:f>
              <c:numCache>
                <c:formatCode>General</c:formatCode>
                <c:ptCount val="62"/>
                <c:pt idx="0">
                  <c:v>34</c:v>
                </c:pt>
                <c:pt idx="1">
                  <c:v>35</c:v>
                </c:pt>
                <c:pt idx="2">
                  <c:v>36</c:v>
                </c:pt>
                <c:pt idx="3">
                  <c:v>37</c:v>
                </c:pt>
                <c:pt idx="4">
                  <c:v>38</c:v>
                </c:pt>
                <c:pt idx="5">
                  <c:v>39</c:v>
                </c:pt>
                <c:pt idx="6">
                  <c:v>40</c:v>
                </c:pt>
                <c:pt idx="7">
                  <c:v>41</c:v>
                </c:pt>
                <c:pt idx="8">
                  <c:v>42</c:v>
                </c:pt>
                <c:pt idx="9">
                  <c:v>43</c:v>
                </c:pt>
                <c:pt idx="10">
                  <c:v>44</c:v>
                </c:pt>
                <c:pt idx="11">
                  <c:v>45</c:v>
                </c:pt>
                <c:pt idx="12">
                  <c:v>46</c:v>
                </c:pt>
                <c:pt idx="13">
                  <c:v>47</c:v>
                </c:pt>
                <c:pt idx="14">
                  <c:v>48</c:v>
                </c:pt>
                <c:pt idx="15">
                  <c:v>49</c:v>
                </c:pt>
                <c:pt idx="16">
                  <c:v>50</c:v>
                </c:pt>
                <c:pt idx="17">
                  <c:v>51</c:v>
                </c:pt>
                <c:pt idx="18">
                  <c:v>52</c:v>
                </c:pt>
                <c:pt idx="19">
                  <c:v>53</c:v>
                </c:pt>
                <c:pt idx="20">
                  <c:v>54</c:v>
                </c:pt>
                <c:pt idx="21">
                  <c:v>55</c:v>
                </c:pt>
                <c:pt idx="22">
                  <c:v>56</c:v>
                </c:pt>
                <c:pt idx="23">
                  <c:v>57</c:v>
                </c:pt>
                <c:pt idx="24">
                  <c:v>58</c:v>
                </c:pt>
                <c:pt idx="25">
                  <c:v>59</c:v>
                </c:pt>
                <c:pt idx="26">
                  <c:v>60</c:v>
                </c:pt>
                <c:pt idx="27">
                  <c:v>61</c:v>
                </c:pt>
                <c:pt idx="28">
                  <c:v>62</c:v>
                </c:pt>
                <c:pt idx="29">
                  <c:v>63</c:v>
                </c:pt>
                <c:pt idx="30">
                  <c:v>64</c:v>
                </c:pt>
                <c:pt idx="31">
                  <c:v>65</c:v>
                </c:pt>
                <c:pt idx="32">
                  <c:v>66</c:v>
                </c:pt>
                <c:pt idx="33">
                  <c:v>67</c:v>
                </c:pt>
                <c:pt idx="34">
                  <c:v>68</c:v>
                </c:pt>
                <c:pt idx="35">
                  <c:v>69</c:v>
                </c:pt>
                <c:pt idx="36">
                  <c:v>70</c:v>
                </c:pt>
                <c:pt idx="37">
                  <c:v>71</c:v>
                </c:pt>
                <c:pt idx="38">
                  <c:v>72</c:v>
                </c:pt>
                <c:pt idx="39">
                  <c:v>73</c:v>
                </c:pt>
                <c:pt idx="40">
                  <c:v>74</c:v>
                </c:pt>
                <c:pt idx="41">
                  <c:v>75</c:v>
                </c:pt>
                <c:pt idx="42">
                  <c:v>76</c:v>
                </c:pt>
                <c:pt idx="43">
                  <c:v>77</c:v>
                </c:pt>
                <c:pt idx="44">
                  <c:v>78</c:v>
                </c:pt>
                <c:pt idx="45">
                  <c:v>79</c:v>
                </c:pt>
                <c:pt idx="46">
                  <c:v>80</c:v>
                </c:pt>
                <c:pt idx="47">
                  <c:v>81</c:v>
                </c:pt>
                <c:pt idx="48">
                  <c:v>82</c:v>
                </c:pt>
                <c:pt idx="49">
                  <c:v>83</c:v>
                </c:pt>
                <c:pt idx="50">
                  <c:v>84</c:v>
                </c:pt>
                <c:pt idx="51">
                  <c:v>85</c:v>
                </c:pt>
                <c:pt idx="52">
                  <c:v>86</c:v>
                </c:pt>
                <c:pt idx="53">
                  <c:v>87</c:v>
                </c:pt>
                <c:pt idx="54">
                  <c:v>88</c:v>
                </c:pt>
                <c:pt idx="55">
                  <c:v>89</c:v>
                </c:pt>
                <c:pt idx="56">
                  <c:v>90</c:v>
                </c:pt>
                <c:pt idx="57">
                  <c:v>91</c:v>
                </c:pt>
                <c:pt idx="58">
                  <c:v>92</c:v>
                </c:pt>
                <c:pt idx="59">
                  <c:v>93</c:v>
                </c:pt>
                <c:pt idx="60">
                  <c:v>94</c:v>
                </c:pt>
                <c:pt idx="61">
                  <c:v>95</c:v>
                </c:pt>
              </c:numCache>
            </c:numRef>
          </c:xVal>
          <c:yVal>
            <c:numRef>
              <c:f>Лист3!$R$40:$R$101</c:f>
              <c:numCache>
                <c:formatCode>General</c:formatCode>
                <c:ptCount val="62"/>
                <c:pt idx="0">
                  <c:v>-1</c:v>
                </c:pt>
                <c:pt idx="1">
                  <c:v>-2</c:v>
                </c:pt>
                <c:pt idx="2">
                  <c:v>-4</c:v>
                </c:pt>
                <c:pt idx="3">
                  <c:v>-7</c:v>
                </c:pt>
                <c:pt idx="4">
                  <c:v>-9</c:v>
                </c:pt>
                <c:pt idx="5">
                  <c:v>-12</c:v>
                </c:pt>
                <c:pt idx="6">
                  <c:v>-16</c:v>
                </c:pt>
                <c:pt idx="7">
                  <c:v>-20</c:v>
                </c:pt>
                <c:pt idx="8">
                  <c:v>-69</c:v>
                </c:pt>
                <c:pt idx="9">
                  <c:v>-68</c:v>
                </c:pt>
                <c:pt idx="10">
                  <c:v>-68</c:v>
                </c:pt>
                <c:pt idx="11">
                  <c:v>-68</c:v>
                </c:pt>
                <c:pt idx="12">
                  <c:v>-68</c:v>
                </c:pt>
                <c:pt idx="13">
                  <c:v>-67</c:v>
                </c:pt>
                <c:pt idx="14">
                  <c:v>-67</c:v>
                </c:pt>
                <c:pt idx="15">
                  <c:v>-67</c:v>
                </c:pt>
                <c:pt idx="16">
                  <c:v>-66</c:v>
                </c:pt>
                <c:pt idx="17">
                  <c:v>-66</c:v>
                </c:pt>
                <c:pt idx="18">
                  <c:v>-65</c:v>
                </c:pt>
                <c:pt idx="19">
                  <c:v>-65</c:v>
                </c:pt>
                <c:pt idx="20">
                  <c:v>-65</c:v>
                </c:pt>
                <c:pt idx="21">
                  <c:v>-64</c:v>
                </c:pt>
                <c:pt idx="22">
                  <c:v>-64</c:v>
                </c:pt>
                <c:pt idx="23">
                  <c:v>-63</c:v>
                </c:pt>
                <c:pt idx="24">
                  <c:v>-63</c:v>
                </c:pt>
                <c:pt idx="25">
                  <c:v>-62</c:v>
                </c:pt>
                <c:pt idx="26">
                  <c:v>-61</c:v>
                </c:pt>
                <c:pt idx="27">
                  <c:v>-61</c:v>
                </c:pt>
                <c:pt idx="28">
                  <c:v>-60</c:v>
                </c:pt>
                <c:pt idx="29">
                  <c:v>-59</c:v>
                </c:pt>
                <c:pt idx="30">
                  <c:v>-59</c:v>
                </c:pt>
                <c:pt idx="31">
                  <c:v>-58</c:v>
                </c:pt>
                <c:pt idx="32">
                  <c:v>-57</c:v>
                </c:pt>
                <c:pt idx="33">
                  <c:v>-56</c:v>
                </c:pt>
                <c:pt idx="34">
                  <c:v>-55</c:v>
                </c:pt>
                <c:pt idx="35">
                  <c:v>-54</c:v>
                </c:pt>
                <c:pt idx="36">
                  <c:v>-53</c:v>
                </c:pt>
                <c:pt idx="37">
                  <c:v>-52</c:v>
                </c:pt>
                <c:pt idx="38">
                  <c:v>-51</c:v>
                </c:pt>
                <c:pt idx="39">
                  <c:v>-50</c:v>
                </c:pt>
                <c:pt idx="40">
                  <c:v>-49</c:v>
                </c:pt>
                <c:pt idx="41">
                  <c:v>-48</c:v>
                </c:pt>
                <c:pt idx="42">
                  <c:v>-46</c:v>
                </c:pt>
                <c:pt idx="43">
                  <c:v>-45</c:v>
                </c:pt>
                <c:pt idx="44">
                  <c:v>-44</c:v>
                </c:pt>
                <c:pt idx="45">
                  <c:v>-42</c:v>
                </c:pt>
                <c:pt idx="46">
                  <c:v>-41</c:v>
                </c:pt>
                <c:pt idx="47">
                  <c:v>-39</c:v>
                </c:pt>
                <c:pt idx="48">
                  <c:v>-37</c:v>
                </c:pt>
                <c:pt idx="49">
                  <c:v>-36</c:v>
                </c:pt>
                <c:pt idx="50">
                  <c:v>-34</c:v>
                </c:pt>
                <c:pt idx="51">
                  <c:v>-32</c:v>
                </c:pt>
                <c:pt idx="52">
                  <c:v>-30</c:v>
                </c:pt>
                <c:pt idx="53">
                  <c:v>-28</c:v>
                </c:pt>
                <c:pt idx="54">
                  <c:v>-26</c:v>
                </c:pt>
                <c:pt idx="55">
                  <c:v>-23</c:v>
                </c:pt>
                <c:pt idx="56">
                  <c:v>-21</c:v>
                </c:pt>
                <c:pt idx="57">
                  <c:v>-18</c:v>
                </c:pt>
                <c:pt idx="58">
                  <c:v>-15</c:v>
                </c:pt>
                <c:pt idx="59">
                  <c:v>-12</c:v>
                </c:pt>
                <c:pt idx="60">
                  <c:v>-8</c:v>
                </c:pt>
                <c:pt idx="61">
                  <c:v>-3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Лист3!$S$39</c:f>
              <c:strCache>
                <c:ptCount val="1"/>
                <c:pt idx="0">
                  <c:v>Xright</c:v>
                </c:pt>
              </c:strCache>
            </c:strRef>
          </c:tx>
          <c:marker>
            <c:symbol val="none"/>
          </c:marker>
          <c:xVal>
            <c:numRef>
              <c:f>Лист3!$Q$40:$Q$101</c:f>
              <c:numCache>
                <c:formatCode>General</c:formatCode>
                <c:ptCount val="62"/>
                <c:pt idx="0">
                  <c:v>34</c:v>
                </c:pt>
                <c:pt idx="1">
                  <c:v>35</c:v>
                </c:pt>
                <c:pt idx="2">
                  <c:v>36</c:v>
                </c:pt>
                <c:pt idx="3">
                  <c:v>37</c:v>
                </c:pt>
                <c:pt idx="4">
                  <c:v>38</c:v>
                </c:pt>
                <c:pt idx="5">
                  <c:v>39</c:v>
                </c:pt>
                <c:pt idx="6">
                  <c:v>40</c:v>
                </c:pt>
                <c:pt idx="7">
                  <c:v>41</c:v>
                </c:pt>
                <c:pt idx="8">
                  <c:v>42</c:v>
                </c:pt>
                <c:pt idx="9">
                  <c:v>43</c:v>
                </c:pt>
                <c:pt idx="10">
                  <c:v>44</c:v>
                </c:pt>
                <c:pt idx="11">
                  <c:v>45</c:v>
                </c:pt>
                <c:pt idx="12">
                  <c:v>46</c:v>
                </c:pt>
                <c:pt idx="13">
                  <c:v>47</c:v>
                </c:pt>
                <c:pt idx="14">
                  <c:v>48</c:v>
                </c:pt>
                <c:pt idx="15">
                  <c:v>49</c:v>
                </c:pt>
                <c:pt idx="16">
                  <c:v>50</c:v>
                </c:pt>
                <c:pt idx="17">
                  <c:v>51</c:v>
                </c:pt>
                <c:pt idx="18">
                  <c:v>52</c:v>
                </c:pt>
                <c:pt idx="19">
                  <c:v>53</c:v>
                </c:pt>
                <c:pt idx="20">
                  <c:v>54</c:v>
                </c:pt>
                <c:pt idx="21">
                  <c:v>55</c:v>
                </c:pt>
                <c:pt idx="22">
                  <c:v>56</c:v>
                </c:pt>
                <c:pt idx="23">
                  <c:v>57</c:v>
                </c:pt>
                <c:pt idx="24">
                  <c:v>58</c:v>
                </c:pt>
                <c:pt idx="25">
                  <c:v>59</c:v>
                </c:pt>
                <c:pt idx="26">
                  <c:v>60</c:v>
                </c:pt>
                <c:pt idx="27">
                  <c:v>61</c:v>
                </c:pt>
                <c:pt idx="28">
                  <c:v>62</c:v>
                </c:pt>
                <c:pt idx="29">
                  <c:v>63</c:v>
                </c:pt>
                <c:pt idx="30">
                  <c:v>64</c:v>
                </c:pt>
                <c:pt idx="31">
                  <c:v>65</c:v>
                </c:pt>
                <c:pt idx="32">
                  <c:v>66</c:v>
                </c:pt>
                <c:pt idx="33">
                  <c:v>67</c:v>
                </c:pt>
                <c:pt idx="34">
                  <c:v>68</c:v>
                </c:pt>
                <c:pt idx="35">
                  <c:v>69</c:v>
                </c:pt>
                <c:pt idx="36">
                  <c:v>70</c:v>
                </c:pt>
                <c:pt idx="37">
                  <c:v>71</c:v>
                </c:pt>
                <c:pt idx="38">
                  <c:v>72</c:v>
                </c:pt>
                <c:pt idx="39">
                  <c:v>73</c:v>
                </c:pt>
                <c:pt idx="40">
                  <c:v>74</c:v>
                </c:pt>
                <c:pt idx="41">
                  <c:v>75</c:v>
                </c:pt>
                <c:pt idx="42">
                  <c:v>76</c:v>
                </c:pt>
                <c:pt idx="43">
                  <c:v>77</c:v>
                </c:pt>
                <c:pt idx="44">
                  <c:v>78</c:v>
                </c:pt>
                <c:pt idx="45">
                  <c:v>79</c:v>
                </c:pt>
                <c:pt idx="46">
                  <c:v>80</c:v>
                </c:pt>
                <c:pt idx="47">
                  <c:v>81</c:v>
                </c:pt>
                <c:pt idx="48">
                  <c:v>82</c:v>
                </c:pt>
                <c:pt idx="49">
                  <c:v>83</c:v>
                </c:pt>
                <c:pt idx="50">
                  <c:v>84</c:v>
                </c:pt>
                <c:pt idx="51">
                  <c:v>85</c:v>
                </c:pt>
                <c:pt idx="52">
                  <c:v>86</c:v>
                </c:pt>
                <c:pt idx="53">
                  <c:v>87</c:v>
                </c:pt>
                <c:pt idx="54">
                  <c:v>88</c:v>
                </c:pt>
                <c:pt idx="55">
                  <c:v>89</c:v>
                </c:pt>
                <c:pt idx="56">
                  <c:v>90</c:v>
                </c:pt>
                <c:pt idx="57">
                  <c:v>91</c:v>
                </c:pt>
                <c:pt idx="58">
                  <c:v>92</c:v>
                </c:pt>
                <c:pt idx="59">
                  <c:v>93</c:v>
                </c:pt>
                <c:pt idx="60">
                  <c:v>94</c:v>
                </c:pt>
                <c:pt idx="61">
                  <c:v>95</c:v>
                </c:pt>
              </c:numCache>
            </c:numRef>
          </c:xVal>
          <c:yVal>
            <c:numRef>
              <c:f>Лист3!$S$40:$S$101</c:f>
              <c:numCache>
                <c:formatCode>General</c:formatCode>
                <c:ptCount val="62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3">
                  <c:v>78</c:v>
                </c:pt>
                <c:pt idx="4">
                  <c:v>78</c:v>
                </c:pt>
                <c:pt idx="5">
                  <c:v>77</c:v>
                </c:pt>
                <c:pt idx="6">
                  <c:v>77</c:v>
                </c:pt>
                <c:pt idx="7">
                  <c:v>77</c:v>
                </c:pt>
                <c:pt idx="8">
                  <c:v>76</c:v>
                </c:pt>
                <c:pt idx="9">
                  <c:v>76</c:v>
                </c:pt>
                <c:pt idx="10">
                  <c:v>76</c:v>
                </c:pt>
                <c:pt idx="11">
                  <c:v>75</c:v>
                </c:pt>
                <c:pt idx="12">
                  <c:v>75</c:v>
                </c:pt>
                <c:pt idx="13">
                  <c:v>75</c:v>
                </c:pt>
                <c:pt idx="14">
                  <c:v>74</c:v>
                </c:pt>
                <c:pt idx="15">
                  <c:v>74</c:v>
                </c:pt>
                <c:pt idx="16">
                  <c:v>73</c:v>
                </c:pt>
                <c:pt idx="17">
                  <c:v>73</c:v>
                </c:pt>
                <c:pt idx="18">
                  <c:v>72</c:v>
                </c:pt>
                <c:pt idx="19">
                  <c:v>72</c:v>
                </c:pt>
                <c:pt idx="20">
                  <c:v>71</c:v>
                </c:pt>
                <c:pt idx="21">
                  <c:v>71</c:v>
                </c:pt>
                <c:pt idx="22">
                  <c:v>70</c:v>
                </c:pt>
                <c:pt idx="23">
                  <c:v>69</c:v>
                </c:pt>
                <c:pt idx="24">
                  <c:v>69</c:v>
                </c:pt>
                <c:pt idx="25">
                  <c:v>68</c:v>
                </c:pt>
                <c:pt idx="26">
                  <c:v>67</c:v>
                </c:pt>
                <c:pt idx="27">
                  <c:v>67</c:v>
                </c:pt>
                <c:pt idx="28">
                  <c:v>66</c:v>
                </c:pt>
                <c:pt idx="29">
                  <c:v>65</c:v>
                </c:pt>
                <c:pt idx="30">
                  <c:v>64</c:v>
                </c:pt>
                <c:pt idx="31">
                  <c:v>63</c:v>
                </c:pt>
                <c:pt idx="32">
                  <c:v>63</c:v>
                </c:pt>
                <c:pt idx="33">
                  <c:v>62</c:v>
                </c:pt>
                <c:pt idx="34">
                  <c:v>61</c:v>
                </c:pt>
                <c:pt idx="35">
                  <c:v>60</c:v>
                </c:pt>
                <c:pt idx="36">
                  <c:v>59</c:v>
                </c:pt>
                <c:pt idx="37">
                  <c:v>58</c:v>
                </c:pt>
                <c:pt idx="38">
                  <c:v>57</c:v>
                </c:pt>
                <c:pt idx="39">
                  <c:v>55</c:v>
                </c:pt>
                <c:pt idx="40">
                  <c:v>54</c:v>
                </c:pt>
                <c:pt idx="41">
                  <c:v>53</c:v>
                </c:pt>
                <c:pt idx="42">
                  <c:v>52</c:v>
                </c:pt>
                <c:pt idx="43">
                  <c:v>50</c:v>
                </c:pt>
                <c:pt idx="44">
                  <c:v>49</c:v>
                </c:pt>
                <c:pt idx="45">
                  <c:v>48</c:v>
                </c:pt>
                <c:pt idx="46">
                  <c:v>46</c:v>
                </c:pt>
                <c:pt idx="47">
                  <c:v>45</c:v>
                </c:pt>
                <c:pt idx="48">
                  <c:v>43</c:v>
                </c:pt>
                <c:pt idx="49">
                  <c:v>42</c:v>
                </c:pt>
                <c:pt idx="50">
                  <c:v>40</c:v>
                </c:pt>
                <c:pt idx="51">
                  <c:v>38</c:v>
                </c:pt>
                <c:pt idx="52">
                  <c:v>36</c:v>
                </c:pt>
                <c:pt idx="53">
                  <c:v>34</c:v>
                </c:pt>
                <c:pt idx="54">
                  <c:v>32</c:v>
                </c:pt>
                <c:pt idx="55">
                  <c:v>30</c:v>
                </c:pt>
                <c:pt idx="56">
                  <c:v>28</c:v>
                </c:pt>
                <c:pt idx="57">
                  <c:v>25</c:v>
                </c:pt>
                <c:pt idx="58">
                  <c:v>22</c:v>
                </c:pt>
                <c:pt idx="59">
                  <c:v>19</c:v>
                </c:pt>
                <c:pt idx="60">
                  <c:v>15</c:v>
                </c:pt>
                <c:pt idx="61">
                  <c:v>11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345408"/>
        <c:axId val="129346944"/>
      </c:scatterChart>
      <c:valAx>
        <c:axId val="129345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9346944"/>
        <c:crosses val="autoZero"/>
        <c:crossBetween val="midCat"/>
      </c:valAx>
      <c:valAx>
        <c:axId val="1293469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93454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Лист3!$V$40:$V$163</c:f>
              <c:numCache>
                <c:formatCode>General</c:formatCode>
                <c:ptCount val="124"/>
                <c:pt idx="0">
                  <c:v>-1</c:v>
                </c:pt>
                <c:pt idx="1">
                  <c:v>-2</c:v>
                </c:pt>
                <c:pt idx="2">
                  <c:v>-4</c:v>
                </c:pt>
                <c:pt idx="3">
                  <c:v>-7</c:v>
                </c:pt>
                <c:pt idx="4">
                  <c:v>-9</c:v>
                </c:pt>
                <c:pt idx="5">
                  <c:v>-12</c:v>
                </c:pt>
                <c:pt idx="6">
                  <c:v>-16</c:v>
                </c:pt>
                <c:pt idx="7">
                  <c:v>-20</c:v>
                </c:pt>
                <c:pt idx="8">
                  <c:v>-69</c:v>
                </c:pt>
                <c:pt idx="9">
                  <c:v>-68</c:v>
                </c:pt>
                <c:pt idx="10">
                  <c:v>-68</c:v>
                </c:pt>
                <c:pt idx="11">
                  <c:v>-68</c:v>
                </c:pt>
                <c:pt idx="12">
                  <c:v>-68</c:v>
                </c:pt>
                <c:pt idx="13">
                  <c:v>-67</c:v>
                </c:pt>
                <c:pt idx="14">
                  <c:v>-67</c:v>
                </c:pt>
                <c:pt idx="15">
                  <c:v>-67</c:v>
                </c:pt>
                <c:pt idx="16">
                  <c:v>-66</c:v>
                </c:pt>
                <c:pt idx="17">
                  <c:v>-66</c:v>
                </c:pt>
                <c:pt idx="18">
                  <c:v>-65</c:v>
                </c:pt>
                <c:pt idx="19">
                  <c:v>-65</c:v>
                </c:pt>
                <c:pt idx="20">
                  <c:v>-65</c:v>
                </c:pt>
                <c:pt idx="21">
                  <c:v>-64</c:v>
                </c:pt>
                <c:pt idx="22">
                  <c:v>-64</c:v>
                </c:pt>
                <c:pt idx="23">
                  <c:v>-63</c:v>
                </c:pt>
                <c:pt idx="24">
                  <c:v>-63</c:v>
                </c:pt>
                <c:pt idx="25">
                  <c:v>-62</c:v>
                </c:pt>
                <c:pt idx="26">
                  <c:v>-61</c:v>
                </c:pt>
                <c:pt idx="27">
                  <c:v>-61</c:v>
                </c:pt>
                <c:pt idx="28">
                  <c:v>-60</c:v>
                </c:pt>
                <c:pt idx="29">
                  <c:v>-59</c:v>
                </c:pt>
                <c:pt idx="30">
                  <c:v>-59</c:v>
                </c:pt>
                <c:pt idx="31">
                  <c:v>-58</c:v>
                </c:pt>
                <c:pt idx="32">
                  <c:v>-57</c:v>
                </c:pt>
                <c:pt idx="33">
                  <c:v>-56</c:v>
                </c:pt>
                <c:pt idx="34">
                  <c:v>-55</c:v>
                </c:pt>
                <c:pt idx="35">
                  <c:v>-54</c:v>
                </c:pt>
                <c:pt idx="36">
                  <c:v>-53</c:v>
                </c:pt>
                <c:pt idx="37">
                  <c:v>-52</c:v>
                </c:pt>
                <c:pt idx="38">
                  <c:v>-51</c:v>
                </c:pt>
                <c:pt idx="39">
                  <c:v>-50</c:v>
                </c:pt>
                <c:pt idx="40">
                  <c:v>-49</c:v>
                </c:pt>
                <c:pt idx="41">
                  <c:v>-48</c:v>
                </c:pt>
                <c:pt idx="42">
                  <c:v>-46</c:v>
                </c:pt>
                <c:pt idx="43">
                  <c:v>-45</c:v>
                </c:pt>
                <c:pt idx="44">
                  <c:v>-44</c:v>
                </c:pt>
                <c:pt idx="45">
                  <c:v>-42</c:v>
                </c:pt>
                <c:pt idx="46">
                  <c:v>-41</c:v>
                </c:pt>
                <c:pt idx="47">
                  <c:v>-39</c:v>
                </c:pt>
                <c:pt idx="48">
                  <c:v>-37</c:v>
                </c:pt>
                <c:pt idx="49">
                  <c:v>-36</c:v>
                </c:pt>
                <c:pt idx="50">
                  <c:v>-34</c:v>
                </c:pt>
                <c:pt idx="51">
                  <c:v>-32</c:v>
                </c:pt>
                <c:pt idx="52">
                  <c:v>-30</c:v>
                </c:pt>
                <c:pt idx="53">
                  <c:v>-28</c:v>
                </c:pt>
                <c:pt idx="54">
                  <c:v>-26</c:v>
                </c:pt>
                <c:pt idx="55">
                  <c:v>-23</c:v>
                </c:pt>
                <c:pt idx="56">
                  <c:v>-21</c:v>
                </c:pt>
                <c:pt idx="57">
                  <c:v>-18</c:v>
                </c:pt>
                <c:pt idx="58">
                  <c:v>-15</c:v>
                </c:pt>
                <c:pt idx="59">
                  <c:v>-12</c:v>
                </c:pt>
                <c:pt idx="60">
                  <c:v>-8</c:v>
                </c:pt>
                <c:pt idx="61">
                  <c:v>-3</c:v>
                </c:pt>
                <c:pt idx="62">
                  <c:v>78</c:v>
                </c:pt>
                <c:pt idx="63">
                  <c:v>78</c:v>
                </c:pt>
                <c:pt idx="64">
                  <c:v>78</c:v>
                </c:pt>
                <c:pt idx="65">
                  <c:v>78</c:v>
                </c:pt>
                <c:pt idx="66">
                  <c:v>78</c:v>
                </c:pt>
                <c:pt idx="67">
                  <c:v>77</c:v>
                </c:pt>
                <c:pt idx="68">
                  <c:v>77</c:v>
                </c:pt>
                <c:pt idx="69">
                  <c:v>77</c:v>
                </c:pt>
                <c:pt idx="70">
                  <c:v>76</c:v>
                </c:pt>
                <c:pt idx="71">
                  <c:v>76</c:v>
                </c:pt>
                <c:pt idx="72">
                  <c:v>76</c:v>
                </c:pt>
                <c:pt idx="73">
                  <c:v>75</c:v>
                </c:pt>
                <c:pt idx="74">
                  <c:v>75</c:v>
                </c:pt>
                <c:pt idx="75">
                  <c:v>75</c:v>
                </c:pt>
                <c:pt idx="76">
                  <c:v>74</c:v>
                </c:pt>
                <c:pt idx="77">
                  <c:v>74</c:v>
                </c:pt>
                <c:pt idx="78">
                  <c:v>73</c:v>
                </c:pt>
                <c:pt idx="79">
                  <c:v>73</c:v>
                </c:pt>
                <c:pt idx="80">
                  <c:v>72</c:v>
                </c:pt>
                <c:pt idx="81">
                  <c:v>72</c:v>
                </c:pt>
                <c:pt idx="82">
                  <c:v>71</c:v>
                </c:pt>
                <c:pt idx="83">
                  <c:v>71</c:v>
                </c:pt>
                <c:pt idx="84">
                  <c:v>70</c:v>
                </c:pt>
                <c:pt idx="85">
                  <c:v>69</c:v>
                </c:pt>
                <c:pt idx="86">
                  <c:v>69</c:v>
                </c:pt>
                <c:pt idx="87">
                  <c:v>68</c:v>
                </c:pt>
                <c:pt idx="88">
                  <c:v>67</c:v>
                </c:pt>
                <c:pt idx="89">
                  <c:v>67</c:v>
                </c:pt>
                <c:pt idx="90">
                  <c:v>66</c:v>
                </c:pt>
                <c:pt idx="91">
                  <c:v>65</c:v>
                </c:pt>
                <c:pt idx="92">
                  <c:v>64</c:v>
                </c:pt>
                <c:pt idx="93">
                  <c:v>63</c:v>
                </c:pt>
                <c:pt idx="94">
                  <c:v>63</c:v>
                </c:pt>
                <c:pt idx="95">
                  <c:v>62</c:v>
                </c:pt>
                <c:pt idx="96">
                  <c:v>61</c:v>
                </c:pt>
                <c:pt idx="97">
                  <c:v>60</c:v>
                </c:pt>
                <c:pt idx="98">
                  <c:v>59</c:v>
                </c:pt>
                <c:pt idx="99">
                  <c:v>58</c:v>
                </c:pt>
                <c:pt idx="100">
                  <c:v>57</c:v>
                </c:pt>
                <c:pt idx="101">
                  <c:v>55</c:v>
                </c:pt>
                <c:pt idx="102">
                  <c:v>54</c:v>
                </c:pt>
                <c:pt idx="103">
                  <c:v>53</c:v>
                </c:pt>
                <c:pt idx="104">
                  <c:v>52</c:v>
                </c:pt>
                <c:pt idx="105">
                  <c:v>50</c:v>
                </c:pt>
                <c:pt idx="106">
                  <c:v>49</c:v>
                </c:pt>
                <c:pt idx="107">
                  <c:v>48</c:v>
                </c:pt>
                <c:pt idx="108">
                  <c:v>46</c:v>
                </c:pt>
                <c:pt idx="109">
                  <c:v>45</c:v>
                </c:pt>
                <c:pt idx="110">
                  <c:v>43</c:v>
                </c:pt>
                <c:pt idx="111">
                  <c:v>42</c:v>
                </c:pt>
                <c:pt idx="112">
                  <c:v>40</c:v>
                </c:pt>
                <c:pt idx="113">
                  <c:v>38</c:v>
                </c:pt>
                <c:pt idx="114">
                  <c:v>36</c:v>
                </c:pt>
                <c:pt idx="115">
                  <c:v>34</c:v>
                </c:pt>
                <c:pt idx="116">
                  <c:v>32</c:v>
                </c:pt>
                <c:pt idx="117">
                  <c:v>30</c:v>
                </c:pt>
                <c:pt idx="118">
                  <c:v>28</c:v>
                </c:pt>
                <c:pt idx="119">
                  <c:v>25</c:v>
                </c:pt>
                <c:pt idx="120">
                  <c:v>22</c:v>
                </c:pt>
                <c:pt idx="121">
                  <c:v>19</c:v>
                </c:pt>
                <c:pt idx="122">
                  <c:v>15</c:v>
                </c:pt>
                <c:pt idx="123">
                  <c:v>11</c:v>
                </c:pt>
              </c:numCache>
            </c:numRef>
          </c:xVal>
          <c:yVal>
            <c:numRef>
              <c:f>Лист3!$W$40:$W$163</c:f>
              <c:numCache>
                <c:formatCode>General</c:formatCode>
                <c:ptCount val="124"/>
                <c:pt idx="0">
                  <c:v>34</c:v>
                </c:pt>
                <c:pt idx="1">
                  <c:v>35</c:v>
                </c:pt>
                <c:pt idx="2">
                  <c:v>36</c:v>
                </c:pt>
                <c:pt idx="3">
                  <c:v>37</c:v>
                </c:pt>
                <c:pt idx="4">
                  <c:v>38</c:v>
                </c:pt>
                <c:pt idx="5">
                  <c:v>39</c:v>
                </c:pt>
                <c:pt idx="6">
                  <c:v>40</c:v>
                </c:pt>
                <c:pt idx="7">
                  <c:v>41</c:v>
                </c:pt>
                <c:pt idx="8">
                  <c:v>42</c:v>
                </c:pt>
                <c:pt idx="9">
                  <c:v>43</c:v>
                </c:pt>
                <c:pt idx="10">
                  <c:v>44</c:v>
                </c:pt>
                <c:pt idx="11">
                  <c:v>45</c:v>
                </c:pt>
                <c:pt idx="12">
                  <c:v>46</c:v>
                </c:pt>
                <c:pt idx="13">
                  <c:v>47</c:v>
                </c:pt>
                <c:pt idx="14">
                  <c:v>48</c:v>
                </c:pt>
                <c:pt idx="15">
                  <c:v>49</c:v>
                </c:pt>
                <c:pt idx="16">
                  <c:v>50</c:v>
                </c:pt>
                <c:pt idx="17">
                  <c:v>51</c:v>
                </c:pt>
                <c:pt idx="18">
                  <c:v>52</c:v>
                </c:pt>
                <c:pt idx="19">
                  <c:v>53</c:v>
                </c:pt>
                <c:pt idx="20">
                  <c:v>54</c:v>
                </c:pt>
                <c:pt idx="21">
                  <c:v>55</c:v>
                </c:pt>
                <c:pt idx="22">
                  <c:v>56</c:v>
                </c:pt>
                <c:pt idx="23">
                  <c:v>57</c:v>
                </c:pt>
                <c:pt idx="24">
                  <c:v>58</c:v>
                </c:pt>
                <c:pt idx="25">
                  <c:v>59</c:v>
                </c:pt>
                <c:pt idx="26">
                  <c:v>60</c:v>
                </c:pt>
                <c:pt idx="27">
                  <c:v>61</c:v>
                </c:pt>
                <c:pt idx="28">
                  <c:v>62</c:v>
                </c:pt>
                <c:pt idx="29">
                  <c:v>63</c:v>
                </c:pt>
                <c:pt idx="30">
                  <c:v>64</c:v>
                </c:pt>
                <c:pt idx="31">
                  <c:v>65</c:v>
                </c:pt>
                <c:pt idx="32">
                  <c:v>66</c:v>
                </c:pt>
                <c:pt idx="33">
                  <c:v>67</c:v>
                </c:pt>
                <c:pt idx="34">
                  <c:v>68</c:v>
                </c:pt>
                <c:pt idx="35">
                  <c:v>69</c:v>
                </c:pt>
                <c:pt idx="36">
                  <c:v>70</c:v>
                </c:pt>
                <c:pt idx="37">
                  <c:v>71</c:v>
                </c:pt>
                <c:pt idx="38">
                  <c:v>72</c:v>
                </c:pt>
                <c:pt idx="39">
                  <c:v>73</c:v>
                </c:pt>
                <c:pt idx="40">
                  <c:v>74</c:v>
                </c:pt>
                <c:pt idx="41">
                  <c:v>75</c:v>
                </c:pt>
                <c:pt idx="42">
                  <c:v>76</c:v>
                </c:pt>
                <c:pt idx="43">
                  <c:v>77</c:v>
                </c:pt>
                <c:pt idx="44">
                  <c:v>78</c:v>
                </c:pt>
                <c:pt idx="45">
                  <c:v>79</c:v>
                </c:pt>
                <c:pt idx="46">
                  <c:v>80</c:v>
                </c:pt>
                <c:pt idx="47">
                  <c:v>81</c:v>
                </c:pt>
                <c:pt idx="48">
                  <c:v>82</c:v>
                </c:pt>
                <c:pt idx="49">
                  <c:v>83</c:v>
                </c:pt>
                <c:pt idx="50">
                  <c:v>84</c:v>
                </c:pt>
                <c:pt idx="51">
                  <c:v>85</c:v>
                </c:pt>
                <c:pt idx="52">
                  <c:v>86</c:v>
                </c:pt>
                <c:pt idx="53">
                  <c:v>87</c:v>
                </c:pt>
                <c:pt idx="54">
                  <c:v>88</c:v>
                </c:pt>
                <c:pt idx="55">
                  <c:v>89</c:v>
                </c:pt>
                <c:pt idx="56">
                  <c:v>90</c:v>
                </c:pt>
                <c:pt idx="57">
                  <c:v>91</c:v>
                </c:pt>
                <c:pt idx="58">
                  <c:v>92</c:v>
                </c:pt>
                <c:pt idx="59">
                  <c:v>93</c:v>
                </c:pt>
                <c:pt idx="60">
                  <c:v>94</c:v>
                </c:pt>
                <c:pt idx="61">
                  <c:v>95</c:v>
                </c:pt>
              </c:numCache>
            </c:numRef>
          </c:yVal>
          <c:smooth val="0"/>
        </c:ser>
        <c:ser>
          <c:idx val="1"/>
          <c:order val="1"/>
          <c:marker>
            <c:symbol val="none"/>
          </c:marker>
          <c:xVal>
            <c:numRef>
              <c:f>Лист3!$V$40:$V$163</c:f>
              <c:numCache>
                <c:formatCode>General</c:formatCode>
                <c:ptCount val="124"/>
                <c:pt idx="0">
                  <c:v>-1</c:v>
                </c:pt>
                <c:pt idx="1">
                  <c:v>-2</c:v>
                </c:pt>
                <c:pt idx="2">
                  <c:v>-4</c:v>
                </c:pt>
                <c:pt idx="3">
                  <c:v>-7</c:v>
                </c:pt>
                <c:pt idx="4">
                  <c:v>-9</c:v>
                </c:pt>
                <c:pt idx="5">
                  <c:v>-12</c:v>
                </c:pt>
                <c:pt idx="6">
                  <c:v>-16</c:v>
                </c:pt>
                <c:pt idx="7">
                  <c:v>-20</c:v>
                </c:pt>
                <c:pt idx="8">
                  <c:v>-69</c:v>
                </c:pt>
                <c:pt idx="9">
                  <c:v>-68</c:v>
                </c:pt>
                <c:pt idx="10">
                  <c:v>-68</c:v>
                </c:pt>
                <c:pt idx="11">
                  <c:v>-68</c:v>
                </c:pt>
                <c:pt idx="12">
                  <c:v>-68</c:v>
                </c:pt>
                <c:pt idx="13">
                  <c:v>-67</c:v>
                </c:pt>
                <c:pt idx="14">
                  <c:v>-67</c:v>
                </c:pt>
                <c:pt idx="15">
                  <c:v>-67</c:v>
                </c:pt>
                <c:pt idx="16">
                  <c:v>-66</c:v>
                </c:pt>
                <c:pt idx="17">
                  <c:v>-66</c:v>
                </c:pt>
                <c:pt idx="18">
                  <c:v>-65</c:v>
                </c:pt>
                <c:pt idx="19">
                  <c:v>-65</c:v>
                </c:pt>
                <c:pt idx="20">
                  <c:v>-65</c:v>
                </c:pt>
                <c:pt idx="21">
                  <c:v>-64</c:v>
                </c:pt>
                <c:pt idx="22">
                  <c:v>-64</c:v>
                </c:pt>
                <c:pt idx="23">
                  <c:v>-63</c:v>
                </c:pt>
                <c:pt idx="24">
                  <c:v>-63</c:v>
                </c:pt>
                <c:pt idx="25">
                  <c:v>-62</c:v>
                </c:pt>
                <c:pt idx="26">
                  <c:v>-61</c:v>
                </c:pt>
                <c:pt idx="27">
                  <c:v>-61</c:v>
                </c:pt>
                <c:pt idx="28">
                  <c:v>-60</c:v>
                </c:pt>
                <c:pt idx="29">
                  <c:v>-59</c:v>
                </c:pt>
                <c:pt idx="30">
                  <c:v>-59</c:v>
                </c:pt>
                <c:pt idx="31">
                  <c:v>-58</c:v>
                </c:pt>
                <c:pt idx="32">
                  <c:v>-57</c:v>
                </c:pt>
                <c:pt idx="33">
                  <c:v>-56</c:v>
                </c:pt>
                <c:pt idx="34">
                  <c:v>-55</c:v>
                </c:pt>
                <c:pt idx="35">
                  <c:v>-54</c:v>
                </c:pt>
                <c:pt idx="36">
                  <c:v>-53</c:v>
                </c:pt>
                <c:pt idx="37">
                  <c:v>-52</c:v>
                </c:pt>
                <c:pt idx="38">
                  <c:v>-51</c:v>
                </c:pt>
                <c:pt idx="39">
                  <c:v>-50</c:v>
                </c:pt>
                <c:pt idx="40">
                  <c:v>-49</c:v>
                </c:pt>
                <c:pt idx="41">
                  <c:v>-48</c:v>
                </c:pt>
                <c:pt idx="42">
                  <c:v>-46</c:v>
                </c:pt>
                <c:pt idx="43">
                  <c:v>-45</c:v>
                </c:pt>
                <c:pt idx="44">
                  <c:v>-44</c:v>
                </c:pt>
                <c:pt idx="45">
                  <c:v>-42</c:v>
                </c:pt>
                <c:pt idx="46">
                  <c:v>-41</c:v>
                </c:pt>
                <c:pt idx="47">
                  <c:v>-39</c:v>
                </c:pt>
                <c:pt idx="48">
                  <c:v>-37</c:v>
                </c:pt>
                <c:pt idx="49">
                  <c:v>-36</c:v>
                </c:pt>
                <c:pt idx="50">
                  <c:v>-34</c:v>
                </c:pt>
                <c:pt idx="51">
                  <c:v>-32</c:v>
                </c:pt>
                <c:pt idx="52">
                  <c:v>-30</c:v>
                </c:pt>
                <c:pt idx="53">
                  <c:v>-28</c:v>
                </c:pt>
                <c:pt idx="54">
                  <c:v>-26</c:v>
                </c:pt>
                <c:pt idx="55">
                  <c:v>-23</c:v>
                </c:pt>
                <c:pt idx="56">
                  <c:v>-21</c:v>
                </c:pt>
                <c:pt idx="57">
                  <c:v>-18</c:v>
                </c:pt>
                <c:pt idx="58">
                  <c:v>-15</c:v>
                </c:pt>
                <c:pt idx="59">
                  <c:v>-12</c:v>
                </c:pt>
                <c:pt idx="60">
                  <c:v>-8</c:v>
                </c:pt>
                <c:pt idx="61">
                  <c:v>-3</c:v>
                </c:pt>
                <c:pt idx="62">
                  <c:v>78</c:v>
                </c:pt>
                <c:pt idx="63">
                  <c:v>78</c:v>
                </c:pt>
                <c:pt idx="64">
                  <c:v>78</c:v>
                </c:pt>
                <c:pt idx="65">
                  <c:v>78</c:v>
                </c:pt>
                <c:pt idx="66">
                  <c:v>78</c:v>
                </c:pt>
                <c:pt idx="67">
                  <c:v>77</c:v>
                </c:pt>
                <c:pt idx="68">
                  <c:v>77</c:v>
                </c:pt>
                <c:pt idx="69">
                  <c:v>77</c:v>
                </c:pt>
                <c:pt idx="70">
                  <c:v>76</c:v>
                </c:pt>
                <c:pt idx="71">
                  <c:v>76</c:v>
                </c:pt>
                <c:pt idx="72">
                  <c:v>76</c:v>
                </c:pt>
                <c:pt idx="73">
                  <c:v>75</c:v>
                </c:pt>
                <c:pt idx="74">
                  <c:v>75</c:v>
                </c:pt>
                <c:pt idx="75">
                  <c:v>75</c:v>
                </c:pt>
                <c:pt idx="76">
                  <c:v>74</c:v>
                </c:pt>
                <c:pt idx="77">
                  <c:v>74</c:v>
                </c:pt>
                <c:pt idx="78">
                  <c:v>73</c:v>
                </c:pt>
                <c:pt idx="79">
                  <c:v>73</c:v>
                </c:pt>
                <c:pt idx="80">
                  <c:v>72</c:v>
                </c:pt>
                <c:pt idx="81">
                  <c:v>72</c:v>
                </c:pt>
                <c:pt idx="82">
                  <c:v>71</c:v>
                </c:pt>
                <c:pt idx="83">
                  <c:v>71</c:v>
                </c:pt>
                <c:pt idx="84">
                  <c:v>70</c:v>
                </c:pt>
                <c:pt idx="85">
                  <c:v>69</c:v>
                </c:pt>
                <c:pt idx="86">
                  <c:v>69</c:v>
                </c:pt>
                <c:pt idx="87">
                  <c:v>68</c:v>
                </c:pt>
                <c:pt idx="88">
                  <c:v>67</c:v>
                </c:pt>
                <c:pt idx="89">
                  <c:v>67</c:v>
                </c:pt>
                <c:pt idx="90">
                  <c:v>66</c:v>
                </c:pt>
                <c:pt idx="91">
                  <c:v>65</c:v>
                </c:pt>
                <c:pt idx="92">
                  <c:v>64</c:v>
                </c:pt>
                <c:pt idx="93">
                  <c:v>63</c:v>
                </c:pt>
                <c:pt idx="94">
                  <c:v>63</c:v>
                </c:pt>
                <c:pt idx="95">
                  <c:v>62</c:v>
                </c:pt>
                <c:pt idx="96">
                  <c:v>61</c:v>
                </c:pt>
                <c:pt idx="97">
                  <c:v>60</c:v>
                </c:pt>
                <c:pt idx="98">
                  <c:v>59</c:v>
                </c:pt>
                <c:pt idx="99">
                  <c:v>58</c:v>
                </c:pt>
                <c:pt idx="100">
                  <c:v>57</c:v>
                </c:pt>
                <c:pt idx="101">
                  <c:v>55</c:v>
                </c:pt>
                <c:pt idx="102">
                  <c:v>54</c:v>
                </c:pt>
                <c:pt idx="103">
                  <c:v>53</c:v>
                </c:pt>
                <c:pt idx="104">
                  <c:v>52</c:v>
                </c:pt>
                <c:pt idx="105">
                  <c:v>50</c:v>
                </c:pt>
                <c:pt idx="106">
                  <c:v>49</c:v>
                </c:pt>
                <c:pt idx="107">
                  <c:v>48</c:v>
                </c:pt>
                <c:pt idx="108">
                  <c:v>46</c:v>
                </c:pt>
                <c:pt idx="109">
                  <c:v>45</c:v>
                </c:pt>
                <c:pt idx="110">
                  <c:v>43</c:v>
                </c:pt>
                <c:pt idx="111">
                  <c:v>42</c:v>
                </c:pt>
                <c:pt idx="112">
                  <c:v>40</c:v>
                </c:pt>
                <c:pt idx="113">
                  <c:v>38</c:v>
                </c:pt>
                <c:pt idx="114">
                  <c:v>36</c:v>
                </c:pt>
                <c:pt idx="115">
                  <c:v>34</c:v>
                </c:pt>
                <c:pt idx="116">
                  <c:v>32</c:v>
                </c:pt>
                <c:pt idx="117">
                  <c:v>30</c:v>
                </c:pt>
                <c:pt idx="118">
                  <c:v>28</c:v>
                </c:pt>
                <c:pt idx="119">
                  <c:v>25</c:v>
                </c:pt>
                <c:pt idx="120">
                  <c:v>22</c:v>
                </c:pt>
                <c:pt idx="121">
                  <c:v>19</c:v>
                </c:pt>
                <c:pt idx="122">
                  <c:v>15</c:v>
                </c:pt>
                <c:pt idx="123">
                  <c:v>11</c:v>
                </c:pt>
              </c:numCache>
            </c:numRef>
          </c:xVal>
          <c:yVal>
            <c:numRef>
              <c:f>Лист3!$X$40:$X$163</c:f>
              <c:numCache>
                <c:formatCode>General</c:formatCode>
                <c:ptCount val="124"/>
                <c:pt idx="62">
                  <c:v>34</c:v>
                </c:pt>
                <c:pt idx="63">
                  <c:v>35</c:v>
                </c:pt>
                <c:pt idx="64">
                  <c:v>36</c:v>
                </c:pt>
                <c:pt idx="65">
                  <c:v>37</c:v>
                </c:pt>
                <c:pt idx="66">
                  <c:v>38</c:v>
                </c:pt>
                <c:pt idx="67">
                  <c:v>39</c:v>
                </c:pt>
                <c:pt idx="68">
                  <c:v>40</c:v>
                </c:pt>
                <c:pt idx="69">
                  <c:v>41</c:v>
                </c:pt>
                <c:pt idx="70">
                  <c:v>42</c:v>
                </c:pt>
                <c:pt idx="71">
                  <c:v>43</c:v>
                </c:pt>
                <c:pt idx="72">
                  <c:v>44</c:v>
                </c:pt>
                <c:pt idx="73">
                  <c:v>45</c:v>
                </c:pt>
                <c:pt idx="74">
                  <c:v>46</c:v>
                </c:pt>
                <c:pt idx="75">
                  <c:v>47</c:v>
                </c:pt>
                <c:pt idx="76">
                  <c:v>48</c:v>
                </c:pt>
                <c:pt idx="77">
                  <c:v>49</c:v>
                </c:pt>
                <c:pt idx="78">
                  <c:v>50</c:v>
                </c:pt>
                <c:pt idx="79">
                  <c:v>51</c:v>
                </c:pt>
                <c:pt idx="80">
                  <c:v>52</c:v>
                </c:pt>
                <c:pt idx="81">
                  <c:v>53</c:v>
                </c:pt>
                <c:pt idx="82">
                  <c:v>54</c:v>
                </c:pt>
                <c:pt idx="83">
                  <c:v>55</c:v>
                </c:pt>
                <c:pt idx="84">
                  <c:v>56</c:v>
                </c:pt>
                <c:pt idx="85">
                  <c:v>57</c:v>
                </c:pt>
                <c:pt idx="86">
                  <c:v>58</c:v>
                </c:pt>
                <c:pt idx="87">
                  <c:v>59</c:v>
                </c:pt>
                <c:pt idx="88">
                  <c:v>60</c:v>
                </c:pt>
                <c:pt idx="89">
                  <c:v>61</c:v>
                </c:pt>
                <c:pt idx="90">
                  <c:v>62</c:v>
                </c:pt>
                <c:pt idx="91">
                  <c:v>63</c:v>
                </c:pt>
                <c:pt idx="92">
                  <c:v>64</c:v>
                </c:pt>
                <c:pt idx="93">
                  <c:v>65</c:v>
                </c:pt>
                <c:pt idx="94">
                  <c:v>66</c:v>
                </c:pt>
                <c:pt idx="95">
                  <c:v>67</c:v>
                </c:pt>
                <c:pt idx="96">
                  <c:v>68</c:v>
                </c:pt>
                <c:pt idx="97">
                  <c:v>69</c:v>
                </c:pt>
                <c:pt idx="98">
                  <c:v>70</c:v>
                </c:pt>
                <c:pt idx="99">
                  <c:v>71</c:v>
                </c:pt>
                <c:pt idx="100">
                  <c:v>72</c:v>
                </c:pt>
                <c:pt idx="101">
                  <c:v>73</c:v>
                </c:pt>
                <c:pt idx="102">
                  <c:v>74</c:v>
                </c:pt>
                <c:pt idx="103">
                  <c:v>75</c:v>
                </c:pt>
                <c:pt idx="104">
                  <c:v>76</c:v>
                </c:pt>
                <c:pt idx="105">
                  <c:v>77</c:v>
                </c:pt>
                <c:pt idx="106">
                  <c:v>78</c:v>
                </c:pt>
                <c:pt idx="107">
                  <c:v>79</c:v>
                </c:pt>
                <c:pt idx="108">
                  <c:v>80</c:v>
                </c:pt>
                <c:pt idx="109">
                  <c:v>81</c:v>
                </c:pt>
                <c:pt idx="110">
                  <c:v>82</c:v>
                </c:pt>
                <c:pt idx="111">
                  <c:v>83</c:v>
                </c:pt>
                <c:pt idx="112">
                  <c:v>84</c:v>
                </c:pt>
                <c:pt idx="113">
                  <c:v>85</c:v>
                </c:pt>
                <c:pt idx="114">
                  <c:v>86</c:v>
                </c:pt>
                <c:pt idx="115">
                  <c:v>87</c:v>
                </c:pt>
                <c:pt idx="116">
                  <c:v>88</c:v>
                </c:pt>
                <c:pt idx="117">
                  <c:v>89</c:v>
                </c:pt>
                <c:pt idx="118">
                  <c:v>90</c:v>
                </c:pt>
                <c:pt idx="119">
                  <c:v>91</c:v>
                </c:pt>
                <c:pt idx="120">
                  <c:v>92</c:v>
                </c:pt>
                <c:pt idx="121">
                  <c:v>93</c:v>
                </c:pt>
                <c:pt idx="122">
                  <c:v>94</c:v>
                </c:pt>
                <c:pt idx="123">
                  <c:v>95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376256"/>
        <c:axId val="129377792"/>
      </c:scatterChart>
      <c:valAx>
        <c:axId val="129376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9377792"/>
        <c:crosses val="autoZero"/>
        <c:crossBetween val="midCat"/>
      </c:valAx>
      <c:valAx>
        <c:axId val="1293777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937625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95250</xdr:colOff>
      <xdr:row>28</xdr:row>
      <xdr:rowOff>114300</xdr:rowOff>
    </xdr:from>
    <xdr:to>
      <xdr:col>5</xdr:col>
      <xdr:colOff>571500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285750</xdr:colOff>
      <xdr:row>18</xdr:row>
      <xdr:rowOff>142875</xdr:rowOff>
    </xdr:from>
    <xdr:to>
      <xdr:col>18</xdr:col>
      <xdr:colOff>590550</xdr:colOff>
      <xdr:row>33</xdr:row>
      <xdr:rowOff>28575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428625</xdr:colOff>
      <xdr:row>34</xdr:row>
      <xdr:rowOff>180975</xdr:rowOff>
    </xdr:from>
    <xdr:to>
      <xdr:col>20</xdr:col>
      <xdr:colOff>161925</xdr:colOff>
      <xdr:row>66</xdr:row>
      <xdr:rowOff>180975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54</xdr:col>
      <xdr:colOff>76200</xdr:colOff>
      <xdr:row>189</xdr:row>
      <xdr:rowOff>66675</xdr:rowOff>
    </xdr:from>
    <xdr:to>
      <xdr:col>61</xdr:col>
      <xdr:colOff>381000</xdr:colOff>
      <xdr:row>203</xdr:row>
      <xdr:rowOff>142875</xdr:rowOff>
    </xdr:to>
    <xdr:graphicFrame macro="">
      <xdr:nvGraphicFramePr>
        <xdr:cNvPr id="5" name="Диаграмма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466725</xdr:colOff>
      <xdr:row>7</xdr:row>
      <xdr:rowOff>76201</xdr:rowOff>
    </xdr:from>
    <xdr:to>
      <xdr:col>12</xdr:col>
      <xdr:colOff>533400</xdr:colOff>
      <xdr:row>44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54</xdr:col>
      <xdr:colOff>76200</xdr:colOff>
      <xdr:row>189</xdr:row>
      <xdr:rowOff>66675</xdr:rowOff>
    </xdr:from>
    <xdr:to>
      <xdr:col>61</xdr:col>
      <xdr:colOff>381000</xdr:colOff>
      <xdr:row>203</xdr:row>
      <xdr:rowOff>142875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285750</xdr:colOff>
      <xdr:row>31</xdr:row>
      <xdr:rowOff>0</xdr:rowOff>
    </xdr:from>
    <xdr:to>
      <xdr:col>15</xdr:col>
      <xdr:colOff>342900</xdr:colOff>
      <xdr:row>41</xdr:row>
      <xdr:rowOff>85725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581025</xdr:colOff>
      <xdr:row>38</xdr:row>
      <xdr:rowOff>95250</xdr:rowOff>
    </xdr:from>
    <xdr:to>
      <xdr:col>17</xdr:col>
      <xdr:colOff>38100</xdr:colOff>
      <xdr:row>52</xdr:row>
      <xdr:rowOff>171450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428625</xdr:colOff>
      <xdr:row>40</xdr:row>
      <xdr:rowOff>38100</xdr:rowOff>
    </xdr:from>
    <xdr:to>
      <xdr:col>18</xdr:col>
      <xdr:colOff>295275</xdr:colOff>
      <xdr:row>72</xdr:row>
      <xdr:rowOff>38100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54</xdr:col>
      <xdr:colOff>76200</xdr:colOff>
      <xdr:row>189</xdr:row>
      <xdr:rowOff>66675</xdr:rowOff>
    </xdr:from>
    <xdr:to>
      <xdr:col>61</xdr:col>
      <xdr:colOff>381000</xdr:colOff>
      <xdr:row>203</xdr:row>
      <xdr:rowOff>142875</xdr:rowOff>
    </xdr:to>
    <xdr:graphicFrame macro="">
      <xdr:nvGraphicFramePr>
        <xdr:cNvPr id="5" name="Диаграмма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80962</xdr:colOff>
      <xdr:row>52</xdr:row>
      <xdr:rowOff>180975</xdr:rowOff>
    </xdr:from>
    <xdr:to>
      <xdr:col>18</xdr:col>
      <xdr:colOff>385762</xdr:colOff>
      <xdr:row>67</xdr:row>
      <xdr:rowOff>66675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276225</xdr:colOff>
      <xdr:row>40</xdr:row>
      <xdr:rowOff>133350</xdr:rowOff>
    </xdr:from>
    <xdr:to>
      <xdr:col>18</xdr:col>
      <xdr:colOff>385762</xdr:colOff>
      <xdr:row>75</xdr:row>
      <xdr:rowOff>57150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C8:U92"/>
  <sheetViews>
    <sheetView topLeftCell="A16" workbookViewId="0">
      <selection activeCell="H39" sqref="H39"/>
    </sheetView>
  </sheetViews>
  <sheetFormatPr defaultRowHeight="15" x14ac:dyDescent="0.25"/>
  <cols>
    <col min="7" max="7" width="53" customWidth="1"/>
    <col min="8" max="8" width="57.140625" customWidth="1"/>
  </cols>
  <sheetData>
    <row r="8" spans="6:21" x14ac:dyDescent="0.25">
      <c r="F8" t="s">
        <v>141</v>
      </c>
    </row>
    <row r="13" spans="6:21" x14ac:dyDescent="0.25">
      <c r="F13">
        <v>118</v>
      </c>
      <c r="G13">
        <v>108</v>
      </c>
      <c r="H13">
        <v>99</v>
      </c>
      <c r="I13">
        <v>91</v>
      </c>
      <c r="J13">
        <v>84</v>
      </c>
      <c r="K13">
        <v>77</v>
      </c>
      <c r="L13">
        <v>69</v>
      </c>
      <c r="M13">
        <v>61</v>
      </c>
      <c r="N13">
        <v>52</v>
      </c>
      <c r="O13">
        <v>44</v>
      </c>
      <c r="P13">
        <v>35</v>
      </c>
      <c r="Q13">
        <v>27</v>
      </c>
      <c r="R13">
        <v>19</v>
      </c>
      <c r="S13">
        <v>12</v>
      </c>
      <c r="T13">
        <v>66</v>
      </c>
      <c r="U13">
        <v>65</v>
      </c>
    </row>
    <row r="14" spans="6:21" x14ac:dyDescent="0.25">
      <c r="F14">
        <v>161</v>
      </c>
      <c r="G14">
        <v>161</v>
      </c>
      <c r="H14">
        <v>159</v>
      </c>
      <c r="I14">
        <v>154</v>
      </c>
      <c r="J14">
        <v>147</v>
      </c>
      <c r="K14">
        <v>138</v>
      </c>
      <c r="L14">
        <v>127</v>
      </c>
      <c r="M14">
        <v>115</v>
      </c>
      <c r="N14">
        <v>102</v>
      </c>
      <c r="O14">
        <v>89</v>
      </c>
      <c r="P14">
        <v>76</v>
      </c>
      <c r="Q14">
        <v>64</v>
      </c>
      <c r="R14">
        <v>51</v>
      </c>
      <c r="S14">
        <v>56</v>
      </c>
      <c r="T14">
        <v>144</v>
      </c>
      <c r="U14">
        <v>180</v>
      </c>
    </row>
    <row r="18" spans="3:21" x14ac:dyDescent="0.25">
      <c r="F18">
        <f>180 - F13</f>
        <v>62</v>
      </c>
      <c r="G18">
        <f t="shared" ref="G18:U19" si="0">180 - G13</f>
        <v>72</v>
      </c>
      <c r="H18">
        <f t="shared" si="0"/>
        <v>81</v>
      </c>
      <c r="I18">
        <f t="shared" si="0"/>
        <v>89</v>
      </c>
      <c r="J18">
        <f t="shared" si="0"/>
        <v>96</v>
      </c>
      <c r="K18">
        <f t="shared" si="0"/>
        <v>103</v>
      </c>
      <c r="L18">
        <f t="shared" si="0"/>
        <v>111</v>
      </c>
      <c r="M18">
        <f t="shared" si="0"/>
        <v>119</v>
      </c>
      <c r="N18">
        <f t="shared" si="0"/>
        <v>128</v>
      </c>
      <c r="O18">
        <f t="shared" si="0"/>
        <v>136</v>
      </c>
      <c r="P18">
        <f t="shared" si="0"/>
        <v>145</v>
      </c>
      <c r="Q18">
        <f t="shared" si="0"/>
        <v>153</v>
      </c>
      <c r="R18">
        <f t="shared" si="0"/>
        <v>161</v>
      </c>
      <c r="S18">
        <f t="shared" si="0"/>
        <v>168</v>
      </c>
      <c r="T18">
        <f t="shared" si="0"/>
        <v>114</v>
      </c>
      <c r="U18">
        <f t="shared" si="0"/>
        <v>115</v>
      </c>
    </row>
    <row r="19" spans="3:21" x14ac:dyDescent="0.25">
      <c r="F19">
        <f>180 - F14</f>
        <v>19</v>
      </c>
      <c r="G19">
        <f t="shared" si="0"/>
        <v>19</v>
      </c>
      <c r="H19">
        <f t="shared" si="0"/>
        <v>21</v>
      </c>
      <c r="I19">
        <f t="shared" si="0"/>
        <v>26</v>
      </c>
      <c r="J19">
        <f t="shared" si="0"/>
        <v>33</v>
      </c>
      <c r="K19">
        <f t="shared" si="0"/>
        <v>42</v>
      </c>
      <c r="L19">
        <f t="shared" si="0"/>
        <v>53</v>
      </c>
      <c r="M19">
        <f t="shared" si="0"/>
        <v>65</v>
      </c>
      <c r="N19">
        <f t="shared" si="0"/>
        <v>78</v>
      </c>
      <c r="O19">
        <f t="shared" si="0"/>
        <v>91</v>
      </c>
      <c r="P19">
        <f t="shared" si="0"/>
        <v>104</v>
      </c>
      <c r="Q19">
        <f t="shared" si="0"/>
        <v>116</v>
      </c>
      <c r="R19">
        <f t="shared" si="0"/>
        <v>129</v>
      </c>
      <c r="S19">
        <f t="shared" si="0"/>
        <v>124</v>
      </c>
      <c r="T19">
        <f t="shared" si="0"/>
        <v>36</v>
      </c>
      <c r="U19">
        <f t="shared" si="0"/>
        <v>0</v>
      </c>
    </row>
    <row r="25" spans="3:21" x14ac:dyDescent="0.25">
      <c r="D25">
        <f>E25-48</f>
        <v>17</v>
      </c>
      <c r="E25" s="12">
        <f t="shared" ref="E25:E52" si="1">CODE(F25)</f>
        <v>65</v>
      </c>
      <c r="F25" s="12" t="s">
        <v>166</v>
      </c>
      <c r="G25" s="12" t="s">
        <v>182</v>
      </c>
    </row>
    <row r="26" spans="3:21" x14ac:dyDescent="0.25">
      <c r="C26">
        <f>E26-E25</f>
        <v>1</v>
      </c>
      <c r="E26" s="12">
        <f t="shared" si="1"/>
        <v>66</v>
      </c>
      <c r="F26" s="12" t="str">
        <f t="shared" ref="F26:F34" si="2">LEFT(G26)</f>
        <v>B</v>
      </c>
      <c r="G26" s="12" t="s">
        <v>175</v>
      </c>
    </row>
    <row r="27" spans="3:21" x14ac:dyDescent="0.25">
      <c r="C27">
        <f t="shared" ref="C27:C50" si="3">E27-E26</f>
        <v>1</v>
      </c>
      <c r="E27">
        <f t="shared" si="1"/>
        <v>67</v>
      </c>
      <c r="F27" t="str">
        <f t="shared" si="2"/>
        <v>C</v>
      </c>
      <c r="G27" t="s">
        <v>139</v>
      </c>
    </row>
    <row r="28" spans="3:21" x14ac:dyDescent="0.25">
      <c r="C28">
        <f t="shared" si="3"/>
        <v>1</v>
      </c>
      <c r="E28">
        <f t="shared" si="1"/>
        <v>68</v>
      </c>
      <c r="F28" t="str">
        <f t="shared" si="2"/>
        <v>D</v>
      </c>
      <c r="G28" t="s">
        <v>132</v>
      </c>
      <c r="H28" t="s">
        <v>190</v>
      </c>
    </row>
    <row r="29" spans="3:21" x14ac:dyDescent="0.25">
      <c r="C29">
        <f t="shared" si="3"/>
        <v>1</v>
      </c>
      <c r="E29">
        <f t="shared" si="1"/>
        <v>69</v>
      </c>
      <c r="F29" t="str">
        <f t="shared" si="2"/>
        <v>E</v>
      </c>
      <c r="G29" t="s">
        <v>173</v>
      </c>
    </row>
    <row r="30" spans="3:21" x14ac:dyDescent="0.25">
      <c r="C30">
        <f t="shared" si="3"/>
        <v>1</v>
      </c>
      <c r="E30" s="11">
        <f t="shared" si="1"/>
        <v>70</v>
      </c>
      <c r="F30" s="11" t="str">
        <f t="shared" si="2"/>
        <v>F</v>
      </c>
      <c r="G30" s="11" t="s">
        <v>174</v>
      </c>
    </row>
    <row r="31" spans="3:21" x14ac:dyDescent="0.25">
      <c r="C31">
        <f t="shared" si="3"/>
        <v>1</v>
      </c>
      <c r="E31" s="12">
        <f t="shared" si="1"/>
        <v>71</v>
      </c>
      <c r="F31" s="12" t="str">
        <f t="shared" si="2"/>
        <v>G</v>
      </c>
      <c r="G31" s="12" t="s">
        <v>124</v>
      </c>
    </row>
    <row r="32" spans="3:21" x14ac:dyDescent="0.25">
      <c r="C32">
        <f t="shared" si="3"/>
        <v>1</v>
      </c>
      <c r="E32">
        <f t="shared" si="1"/>
        <v>72</v>
      </c>
      <c r="F32" t="str">
        <f t="shared" si="2"/>
        <v>H</v>
      </c>
      <c r="G32" t="s">
        <v>129</v>
      </c>
    </row>
    <row r="33" spans="3:8" x14ac:dyDescent="0.25">
      <c r="C33">
        <f t="shared" si="3"/>
        <v>1</v>
      </c>
      <c r="E33">
        <f t="shared" si="1"/>
        <v>73</v>
      </c>
      <c r="F33" t="str">
        <f t="shared" si="2"/>
        <v>I</v>
      </c>
      <c r="G33" t="s">
        <v>125</v>
      </c>
    </row>
    <row r="34" spans="3:8" x14ac:dyDescent="0.25">
      <c r="C34">
        <f t="shared" si="3"/>
        <v>1</v>
      </c>
      <c r="E34">
        <f t="shared" si="1"/>
        <v>74</v>
      </c>
      <c r="F34" t="str">
        <f t="shared" si="2"/>
        <v>J</v>
      </c>
      <c r="G34" t="s">
        <v>130</v>
      </c>
    </row>
    <row r="35" spans="3:8" x14ac:dyDescent="0.25">
      <c r="C35">
        <f t="shared" si="3"/>
        <v>1</v>
      </c>
      <c r="E35">
        <f t="shared" si="1"/>
        <v>75</v>
      </c>
      <c r="F35" t="s">
        <v>177</v>
      </c>
      <c r="G35" t="s">
        <v>181</v>
      </c>
    </row>
    <row r="36" spans="3:8" x14ac:dyDescent="0.25">
      <c r="C36">
        <f t="shared" si="3"/>
        <v>1</v>
      </c>
      <c r="E36">
        <f t="shared" si="1"/>
        <v>76</v>
      </c>
      <c r="F36" t="str">
        <f>LEFT(G36)</f>
        <v>L</v>
      </c>
      <c r="G36" t="s">
        <v>126</v>
      </c>
    </row>
    <row r="37" spans="3:8" x14ac:dyDescent="0.25">
      <c r="C37">
        <f t="shared" si="3"/>
        <v>1</v>
      </c>
      <c r="E37">
        <f t="shared" si="1"/>
        <v>77</v>
      </c>
      <c r="F37" t="str">
        <f>LEFT(G37)</f>
        <v>M</v>
      </c>
      <c r="G37" t="s">
        <v>165</v>
      </c>
    </row>
    <row r="38" spans="3:8" x14ac:dyDescent="0.25">
      <c r="C38">
        <f t="shared" si="3"/>
        <v>1</v>
      </c>
      <c r="E38">
        <f t="shared" si="1"/>
        <v>78</v>
      </c>
      <c r="F38" t="s">
        <v>21</v>
      </c>
      <c r="G38" t="s">
        <v>178</v>
      </c>
    </row>
    <row r="39" spans="3:8" x14ac:dyDescent="0.25">
      <c r="C39">
        <f t="shared" si="3"/>
        <v>1</v>
      </c>
      <c r="E39">
        <f t="shared" si="1"/>
        <v>79</v>
      </c>
      <c r="F39" t="str">
        <f t="shared" ref="F39:F52" si="4">LEFT(G39)</f>
        <v>O</v>
      </c>
      <c r="G39" t="s">
        <v>137</v>
      </c>
      <c r="H39" t="s">
        <v>192</v>
      </c>
    </row>
    <row r="40" spans="3:8" x14ac:dyDescent="0.25">
      <c r="C40">
        <f t="shared" si="3"/>
        <v>1</v>
      </c>
      <c r="E40">
        <f t="shared" si="1"/>
        <v>80</v>
      </c>
      <c r="F40" t="str">
        <f t="shared" si="4"/>
        <v>P</v>
      </c>
      <c r="G40" t="s">
        <v>138</v>
      </c>
      <c r="H40" t="s">
        <v>191</v>
      </c>
    </row>
    <row r="41" spans="3:8" x14ac:dyDescent="0.25">
      <c r="C41">
        <f t="shared" si="3"/>
        <v>1</v>
      </c>
      <c r="E41">
        <f t="shared" si="1"/>
        <v>81</v>
      </c>
      <c r="F41" t="str">
        <f t="shared" si="4"/>
        <v>Q</v>
      </c>
      <c r="G41" t="s">
        <v>144</v>
      </c>
    </row>
    <row r="42" spans="3:8" x14ac:dyDescent="0.25">
      <c r="C42">
        <f t="shared" si="3"/>
        <v>1</v>
      </c>
      <c r="E42">
        <f t="shared" si="1"/>
        <v>82</v>
      </c>
      <c r="F42" t="str">
        <f t="shared" si="4"/>
        <v>R</v>
      </c>
      <c r="G42" t="s">
        <v>128</v>
      </c>
    </row>
    <row r="43" spans="3:8" x14ac:dyDescent="0.25">
      <c r="C43">
        <f t="shared" si="3"/>
        <v>1</v>
      </c>
      <c r="E43">
        <f t="shared" si="1"/>
        <v>83</v>
      </c>
      <c r="F43" t="str">
        <f t="shared" si="4"/>
        <v>S</v>
      </c>
      <c r="G43" t="s">
        <v>127</v>
      </c>
    </row>
    <row r="44" spans="3:8" x14ac:dyDescent="0.25">
      <c r="C44">
        <f t="shared" si="3"/>
        <v>1</v>
      </c>
      <c r="E44">
        <f t="shared" si="1"/>
        <v>84</v>
      </c>
      <c r="F44" t="str">
        <f t="shared" si="4"/>
        <v>T</v>
      </c>
      <c r="G44" t="s">
        <v>176</v>
      </c>
    </row>
    <row r="45" spans="3:8" x14ac:dyDescent="0.25">
      <c r="C45">
        <f t="shared" si="3"/>
        <v>1</v>
      </c>
      <c r="E45">
        <f t="shared" si="1"/>
        <v>85</v>
      </c>
      <c r="F45" t="str">
        <f t="shared" si="4"/>
        <v>U</v>
      </c>
      <c r="G45" t="s">
        <v>131</v>
      </c>
      <c r="H45" t="s">
        <v>189</v>
      </c>
    </row>
    <row r="46" spans="3:8" x14ac:dyDescent="0.25">
      <c r="C46">
        <f t="shared" si="3"/>
        <v>1</v>
      </c>
      <c r="E46">
        <f t="shared" si="1"/>
        <v>86</v>
      </c>
      <c r="F46" t="str">
        <f t="shared" si="4"/>
        <v>V</v>
      </c>
      <c r="G46" t="s">
        <v>140</v>
      </c>
    </row>
    <row r="47" spans="3:8" x14ac:dyDescent="0.25">
      <c r="C47">
        <f t="shared" si="3"/>
        <v>1</v>
      </c>
      <c r="E47">
        <f t="shared" si="1"/>
        <v>87</v>
      </c>
      <c r="F47" t="str">
        <f t="shared" si="4"/>
        <v>W</v>
      </c>
      <c r="G47" t="s">
        <v>133</v>
      </c>
    </row>
    <row r="48" spans="3:8" x14ac:dyDescent="0.25">
      <c r="C48">
        <f t="shared" si="3"/>
        <v>1</v>
      </c>
      <c r="E48">
        <f t="shared" si="1"/>
        <v>88</v>
      </c>
      <c r="F48" t="str">
        <f t="shared" si="4"/>
        <v>X</v>
      </c>
      <c r="G48" t="s">
        <v>134</v>
      </c>
    </row>
    <row r="49" spans="3:9" x14ac:dyDescent="0.25">
      <c r="C49">
        <f t="shared" si="3"/>
        <v>1</v>
      </c>
      <c r="E49">
        <f t="shared" si="1"/>
        <v>89</v>
      </c>
      <c r="F49" t="str">
        <f t="shared" si="4"/>
        <v>Y</v>
      </c>
      <c r="G49" t="s">
        <v>135</v>
      </c>
    </row>
    <row r="50" spans="3:9" x14ac:dyDescent="0.25">
      <c r="C50">
        <f t="shared" si="3"/>
        <v>1</v>
      </c>
      <c r="E50">
        <f t="shared" si="1"/>
        <v>90</v>
      </c>
      <c r="F50" t="str">
        <f t="shared" si="4"/>
        <v>Z</v>
      </c>
      <c r="G50" t="s">
        <v>136</v>
      </c>
    </row>
    <row r="51" spans="3:9" x14ac:dyDescent="0.25">
      <c r="E51">
        <f t="shared" si="1"/>
        <v>91</v>
      </c>
      <c r="F51" t="str">
        <f t="shared" si="4"/>
        <v>[</v>
      </c>
      <c r="G51" t="s">
        <v>169</v>
      </c>
    </row>
    <row r="52" spans="3:9" x14ac:dyDescent="0.25">
      <c r="E52">
        <f t="shared" si="1"/>
        <v>93</v>
      </c>
      <c r="F52" t="str">
        <f t="shared" si="4"/>
        <v>]</v>
      </c>
      <c r="G52" t="s">
        <v>170</v>
      </c>
    </row>
    <row r="53" spans="3:9" x14ac:dyDescent="0.25">
      <c r="E53" t="e">
        <f t="shared" ref="E53:E54" si="5">CODE(F53)</f>
        <v>#VALUE!</v>
      </c>
      <c r="F53" t="str">
        <f t="shared" ref="F53" si="6">LEFT(G53)</f>
        <v/>
      </c>
    </row>
    <row r="54" spans="3:9" x14ac:dyDescent="0.25">
      <c r="E54" t="e">
        <f t="shared" si="5"/>
        <v>#VALUE!</v>
      </c>
      <c r="G54" t="s">
        <v>150</v>
      </c>
    </row>
    <row r="55" spans="3:9" x14ac:dyDescent="0.25">
      <c r="C55" t="s">
        <v>187</v>
      </c>
      <c r="D55" t="s">
        <v>21</v>
      </c>
      <c r="H55" t="s">
        <v>171</v>
      </c>
    </row>
    <row r="56" spans="3:9" x14ac:dyDescent="0.25">
      <c r="C56">
        <v>0</v>
      </c>
      <c r="D56">
        <v>1</v>
      </c>
      <c r="F56">
        <v>0</v>
      </c>
      <c r="G56" t="s">
        <v>142</v>
      </c>
      <c r="H56">
        <v>0</v>
      </c>
    </row>
    <row r="57" spans="3:9" x14ac:dyDescent="0.25">
      <c r="F57">
        <v>1</v>
      </c>
      <c r="G57" t="s">
        <v>146</v>
      </c>
      <c r="H57">
        <v>15</v>
      </c>
      <c r="I57">
        <v>16</v>
      </c>
    </row>
    <row r="58" spans="3:9" x14ac:dyDescent="0.25">
      <c r="C58" t="s">
        <v>184</v>
      </c>
      <c r="D58" s="13" t="s">
        <v>186</v>
      </c>
      <c r="F58">
        <v>2</v>
      </c>
      <c r="G58" t="s">
        <v>143</v>
      </c>
      <c r="H58">
        <v>5</v>
      </c>
    </row>
    <row r="59" spans="3:9" x14ac:dyDescent="0.25">
      <c r="C59" s="13" t="s">
        <v>185</v>
      </c>
      <c r="D59" s="13" t="s">
        <v>183</v>
      </c>
      <c r="F59">
        <v>3</v>
      </c>
      <c r="G59" t="s">
        <v>148</v>
      </c>
      <c r="H59">
        <v>6</v>
      </c>
    </row>
    <row r="60" spans="3:9" x14ac:dyDescent="0.25">
      <c r="C60" s="13" t="s">
        <v>186</v>
      </c>
      <c r="D60" s="13" t="s">
        <v>188</v>
      </c>
      <c r="F60">
        <v>4</v>
      </c>
      <c r="G60" t="s">
        <v>149</v>
      </c>
      <c r="H60">
        <v>9</v>
      </c>
    </row>
    <row r="61" spans="3:9" x14ac:dyDescent="0.25">
      <c r="F61">
        <v>5</v>
      </c>
      <c r="G61" t="s">
        <v>155</v>
      </c>
    </row>
    <row r="62" spans="3:9" x14ac:dyDescent="0.25">
      <c r="F62">
        <v>6</v>
      </c>
      <c r="G62" t="s">
        <v>156</v>
      </c>
    </row>
    <row r="63" spans="3:9" x14ac:dyDescent="0.25">
      <c r="C63" s="13" t="s">
        <v>183</v>
      </c>
      <c r="D63" s="13" t="s">
        <v>185</v>
      </c>
      <c r="F63">
        <v>7</v>
      </c>
      <c r="G63" t="s">
        <v>172</v>
      </c>
      <c r="H63">
        <v>8</v>
      </c>
    </row>
    <row r="64" spans="3:9" x14ac:dyDescent="0.25">
      <c r="F64">
        <v>8</v>
      </c>
      <c r="G64" t="s">
        <v>180</v>
      </c>
    </row>
    <row r="65" spans="4:7" x14ac:dyDescent="0.25">
      <c r="F65">
        <v>9</v>
      </c>
      <c r="G65" t="s">
        <v>179</v>
      </c>
    </row>
    <row r="66" spans="4:7" x14ac:dyDescent="0.25">
      <c r="F66">
        <v>10</v>
      </c>
    </row>
    <row r="67" spans="4:7" x14ac:dyDescent="0.25">
      <c r="F67">
        <v>11</v>
      </c>
    </row>
    <row r="68" spans="4:7" x14ac:dyDescent="0.25">
      <c r="F68">
        <v>12</v>
      </c>
    </row>
    <row r="69" spans="4:7" x14ac:dyDescent="0.25">
      <c r="F69">
        <v>13</v>
      </c>
    </row>
    <row r="70" spans="4:7" x14ac:dyDescent="0.25">
      <c r="F70">
        <v>14</v>
      </c>
    </row>
    <row r="71" spans="4:7" x14ac:dyDescent="0.25">
      <c r="F71">
        <v>15</v>
      </c>
      <c r="G71" t="s">
        <v>167</v>
      </c>
    </row>
    <row r="72" spans="4:7" x14ac:dyDescent="0.25">
      <c r="F72">
        <v>16</v>
      </c>
      <c r="G72" t="s">
        <v>168</v>
      </c>
    </row>
    <row r="73" spans="4:7" x14ac:dyDescent="0.25">
      <c r="F73">
        <v>17</v>
      </c>
    </row>
    <row r="80" spans="4:7" x14ac:dyDescent="0.25">
      <c r="D80">
        <f>F80+48</f>
        <v>81</v>
      </c>
      <c r="E80" t="str">
        <f>CHAR(48+F80)</f>
        <v>Q</v>
      </c>
      <c r="F80">
        <v>33</v>
      </c>
      <c r="G80" t="s">
        <v>147</v>
      </c>
    </row>
    <row r="81" spans="4:7" x14ac:dyDescent="0.25">
      <c r="D81">
        <f t="shared" ref="D81:D92" si="7">F81+48</f>
        <v>83</v>
      </c>
      <c r="E81" t="str">
        <f t="shared" ref="E81:E92" si="8">CHAR(48+F81)</f>
        <v>S</v>
      </c>
      <c r="F81">
        <f>83-48</f>
        <v>35</v>
      </c>
      <c r="G81" t="s">
        <v>151</v>
      </c>
    </row>
    <row r="82" spans="4:7" x14ac:dyDescent="0.25">
      <c r="D82">
        <f t="shared" si="7"/>
        <v>66</v>
      </c>
      <c r="E82" t="str">
        <f t="shared" si="8"/>
        <v>B</v>
      </c>
      <c r="F82">
        <f>66-48</f>
        <v>18</v>
      </c>
      <c r="G82" t="s">
        <v>152</v>
      </c>
    </row>
    <row r="83" spans="4:7" x14ac:dyDescent="0.25">
      <c r="D83">
        <f t="shared" si="7"/>
        <v>70</v>
      </c>
      <c r="E83" t="str">
        <f t="shared" si="8"/>
        <v>F</v>
      </c>
      <c r="F83">
        <f>70-48</f>
        <v>22</v>
      </c>
      <c r="G83" t="s">
        <v>153</v>
      </c>
    </row>
    <row r="84" spans="4:7" x14ac:dyDescent="0.25">
      <c r="D84">
        <f t="shared" si="7"/>
        <v>65</v>
      </c>
      <c r="E84" t="str">
        <f t="shared" si="8"/>
        <v>A</v>
      </c>
      <c r="F84">
        <v>17</v>
      </c>
      <c r="G84" t="s">
        <v>154</v>
      </c>
    </row>
    <row r="85" spans="4:7" x14ac:dyDescent="0.25">
      <c r="D85">
        <f t="shared" si="7"/>
        <v>48</v>
      </c>
      <c r="E85" t="str">
        <f t="shared" si="8"/>
        <v>0</v>
      </c>
    </row>
    <row r="86" spans="4:7" x14ac:dyDescent="0.25">
      <c r="D86">
        <f t="shared" si="7"/>
        <v>48</v>
      </c>
      <c r="E86" t="str">
        <f t="shared" si="8"/>
        <v>0</v>
      </c>
    </row>
    <row r="87" spans="4:7" x14ac:dyDescent="0.25">
      <c r="D87">
        <f t="shared" si="7"/>
        <v>48</v>
      </c>
      <c r="E87" t="str">
        <f t="shared" si="8"/>
        <v>0</v>
      </c>
    </row>
    <row r="88" spans="4:7" x14ac:dyDescent="0.25">
      <c r="D88">
        <f t="shared" si="7"/>
        <v>48</v>
      </c>
      <c r="E88" t="str">
        <f t="shared" si="8"/>
        <v>0</v>
      </c>
    </row>
    <row r="89" spans="4:7" x14ac:dyDescent="0.25">
      <c r="D89">
        <f t="shared" si="7"/>
        <v>48</v>
      </c>
      <c r="E89" t="str">
        <f t="shared" si="8"/>
        <v>0</v>
      </c>
    </row>
    <row r="90" spans="4:7" x14ac:dyDescent="0.25">
      <c r="D90">
        <f t="shared" si="7"/>
        <v>48</v>
      </c>
      <c r="E90" t="str">
        <f t="shared" si="8"/>
        <v>0</v>
      </c>
    </row>
    <row r="91" spans="4:7" x14ac:dyDescent="0.25">
      <c r="D91">
        <f t="shared" si="7"/>
        <v>48</v>
      </c>
      <c r="E91" t="str">
        <f t="shared" si="8"/>
        <v>0</v>
      </c>
    </row>
    <row r="92" spans="4:7" x14ac:dyDescent="0.25">
      <c r="D92">
        <f t="shared" si="7"/>
        <v>48</v>
      </c>
      <c r="E92" t="str">
        <f t="shared" si="8"/>
        <v>0</v>
      </c>
    </row>
  </sheetData>
  <sortState ref="E25:G52">
    <sortCondition ref="E25:E52"/>
  </sortState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BO224"/>
  <sheetViews>
    <sheetView topLeftCell="AR1" workbookViewId="0">
      <selection activeCell="AU31" sqref="AU31"/>
    </sheetView>
  </sheetViews>
  <sheetFormatPr defaultRowHeight="15" x14ac:dyDescent="0.25"/>
  <cols>
    <col min="4" max="4" width="12.7109375" bestFit="1" customWidth="1"/>
    <col min="5" max="5" width="12" bestFit="1" customWidth="1"/>
    <col min="9" max="9" width="7.140625" customWidth="1"/>
    <col min="11" max="11" width="12.7109375" bestFit="1" customWidth="1"/>
    <col min="34" max="34" width="5.140625" customWidth="1"/>
    <col min="35" max="35" width="5.42578125" customWidth="1"/>
    <col min="36" max="36" width="4.140625" customWidth="1"/>
    <col min="37" max="37" width="4.85546875" customWidth="1"/>
    <col min="38" max="38" width="6.140625" customWidth="1"/>
  </cols>
  <sheetData>
    <row r="1" spans="1:67" x14ac:dyDescent="0.25">
      <c r="A1" t="s">
        <v>39</v>
      </c>
      <c r="C1">
        <v>40</v>
      </c>
      <c r="D1">
        <v>0.92289137421248435</v>
      </c>
      <c r="E1">
        <v>2.8532538575946007</v>
      </c>
      <c r="G1">
        <f>C2+E2+T2</f>
        <v>118</v>
      </c>
    </row>
    <row r="2" spans="1:67" x14ac:dyDescent="0.25">
      <c r="B2" t="s">
        <v>0</v>
      </c>
      <c r="C2">
        <v>32</v>
      </c>
      <c r="D2" t="s">
        <v>1</v>
      </c>
      <c r="E2">
        <v>65</v>
      </c>
      <c r="F2" t="s">
        <v>2</v>
      </c>
      <c r="G2">
        <v>9</v>
      </c>
      <c r="I2" t="s">
        <v>19</v>
      </c>
      <c r="J2">
        <v>15</v>
      </c>
      <c r="K2" t="s">
        <v>20</v>
      </c>
      <c r="L2">
        <v>180</v>
      </c>
      <c r="M2" t="s">
        <v>22</v>
      </c>
      <c r="N2">
        <v>0</v>
      </c>
      <c r="O2" t="s">
        <v>21</v>
      </c>
      <c r="P2">
        <f>(L2-N2)/J2+1</f>
        <v>13</v>
      </c>
      <c r="Q2" t="s">
        <v>23</v>
      </c>
      <c r="R2">
        <v>107</v>
      </c>
      <c r="S2" t="s">
        <v>50</v>
      </c>
      <c r="T2">
        <v>21</v>
      </c>
    </row>
    <row r="3" spans="1:67" x14ac:dyDescent="0.25">
      <c r="A3">
        <v>1</v>
      </c>
      <c r="B3">
        <v>2</v>
      </c>
      <c r="C3">
        <v>3</v>
      </c>
      <c r="D3">
        <v>4</v>
      </c>
      <c r="E3">
        <v>5</v>
      </c>
      <c r="F3">
        <v>6</v>
      </c>
      <c r="G3">
        <v>7</v>
      </c>
      <c r="H3">
        <v>8</v>
      </c>
      <c r="I3">
        <v>9</v>
      </c>
      <c r="J3">
        <v>10</v>
      </c>
      <c r="K3">
        <v>11</v>
      </c>
      <c r="L3">
        <v>12</v>
      </c>
      <c r="M3">
        <v>13</v>
      </c>
      <c r="N3">
        <v>14</v>
      </c>
      <c r="O3">
        <v>15</v>
      </c>
      <c r="P3">
        <v>16</v>
      </c>
      <c r="Q3">
        <v>17</v>
      </c>
      <c r="R3">
        <v>18</v>
      </c>
      <c r="S3">
        <v>19</v>
      </c>
      <c r="T3">
        <v>20</v>
      </c>
      <c r="U3">
        <v>21</v>
      </c>
      <c r="V3">
        <v>22</v>
      </c>
      <c r="W3">
        <v>23</v>
      </c>
      <c r="X3">
        <v>24</v>
      </c>
      <c r="Y3">
        <v>25</v>
      </c>
      <c r="Z3">
        <v>26</v>
      </c>
      <c r="AA3">
        <v>27</v>
      </c>
      <c r="AB3">
        <v>28</v>
      </c>
      <c r="AC3">
        <v>29</v>
      </c>
      <c r="AD3">
        <v>30</v>
      </c>
      <c r="AE3">
        <v>31</v>
      </c>
      <c r="AF3">
        <v>32</v>
      </c>
      <c r="AG3">
        <v>33</v>
      </c>
      <c r="AH3">
        <v>34</v>
      </c>
      <c r="AI3">
        <v>35</v>
      </c>
      <c r="AJ3">
        <v>36</v>
      </c>
      <c r="AK3">
        <v>37</v>
      </c>
      <c r="AL3">
        <v>38</v>
      </c>
      <c r="AM3">
        <v>39</v>
      </c>
      <c r="AN3">
        <v>40</v>
      </c>
      <c r="AO3">
        <v>41</v>
      </c>
      <c r="AP3">
        <v>42</v>
      </c>
      <c r="AQ3">
        <v>43</v>
      </c>
      <c r="AR3">
        <v>44</v>
      </c>
      <c r="AS3">
        <v>45</v>
      </c>
      <c r="AT3">
        <v>46</v>
      </c>
      <c r="AU3">
        <v>47</v>
      </c>
      <c r="AV3">
        <v>48</v>
      </c>
      <c r="AW3">
        <v>49</v>
      </c>
      <c r="AX3">
        <v>50</v>
      </c>
      <c r="AY3">
        <v>51</v>
      </c>
      <c r="AZ3">
        <v>52</v>
      </c>
      <c r="BA3">
        <v>53</v>
      </c>
      <c r="BB3">
        <v>54</v>
      </c>
      <c r="BC3">
        <v>55</v>
      </c>
      <c r="BD3">
        <v>56</v>
      </c>
      <c r="BE3">
        <v>57</v>
      </c>
      <c r="BF3">
        <v>58</v>
      </c>
      <c r="BG3">
        <v>59</v>
      </c>
      <c r="BH3">
        <v>60</v>
      </c>
      <c r="BI3">
        <v>61</v>
      </c>
      <c r="BJ3">
        <v>62</v>
      </c>
      <c r="BK3">
        <v>63</v>
      </c>
      <c r="BL3">
        <v>64</v>
      </c>
      <c r="BM3">
        <v>65</v>
      </c>
    </row>
    <row r="4" spans="1:67" x14ac:dyDescent="0.25">
      <c r="A4">
        <v>12</v>
      </c>
      <c r="E4" t="s">
        <v>42</v>
      </c>
      <c r="G4">
        <f>ATAN2(1,0)</f>
        <v>0</v>
      </c>
      <c r="W4">
        <v>2.6686184949798095</v>
      </c>
    </row>
    <row r="5" spans="1:67" ht="18.75" x14ac:dyDescent="0.3">
      <c r="B5" t="s">
        <v>5</v>
      </c>
      <c r="C5" t="s">
        <v>6</v>
      </c>
      <c r="D5" t="s">
        <v>3</v>
      </c>
      <c r="E5" t="s">
        <v>4</v>
      </c>
      <c r="F5" t="s">
        <v>7</v>
      </c>
      <c r="G5" t="s">
        <v>8</v>
      </c>
      <c r="H5" t="s">
        <v>9</v>
      </c>
      <c r="J5" t="s">
        <v>10</v>
      </c>
      <c r="K5" t="s">
        <v>11</v>
      </c>
      <c r="L5" t="s">
        <v>12</v>
      </c>
      <c r="M5" t="s">
        <v>13</v>
      </c>
      <c r="N5" t="s">
        <v>49</v>
      </c>
      <c r="O5" t="s">
        <v>15</v>
      </c>
      <c r="P5" t="s">
        <v>16</v>
      </c>
      <c r="Q5" t="s">
        <v>17</v>
      </c>
      <c r="R5" t="s">
        <v>18</v>
      </c>
      <c r="U5" t="s">
        <v>43</v>
      </c>
      <c r="V5" t="s">
        <v>44</v>
      </c>
      <c r="W5" t="s">
        <v>45</v>
      </c>
      <c r="X5" t="s">
        <v>46</v>
      </c>
      <c r="Y5" t="s">
        <v>14</v>
      </c>
      <c r="Z5" t="s">
        <v>47</v>
      </c>
      <c r="AA5" t="s">
        <v>48</v>
      </c>
      <c r="AB5" t="s">
        <v>5</v>
      </c>
      <c r="AC5" t="s">
        <v>6</v>
      </c>
      <c r="AH5" s="1" t="s">
        <v>51</v>
      </c>
      <c r="AI5" s="1" t="s">
        <v>24</v>
      </c>
      <c r="AJ5" s="1" t="s">
        <v>25</v>
      </c>
      <c r="AK5" s="3" t="s">
        <v>52</v>
      </c>
      <c r="AL5" s="3" t="s">
        <v>53</v>
      </c>
      <c r="AY5" t="s">
        <v>24</v>
      </c>
      <c r="AZ5" t="s">
        <v>25</v>
      </c>
      <c r="BA5" t="s">
        <v>26</v>
      </c>
      <c r="BB5" t="s">
        <v>27</v>
      </c>
      <c r="BC5" t="s">
        <v>28</v>
      </c>
      <c r="BD5" t="s">
        <v>29</v>
      </c>
      <c r="BE5" t="s">
        <v>30</v>
      </c>
      <c r="BF5" t="s">
        <v>31</v>
      </c>
      <c r="BG5" t="s">
        <v>32</v>
      </c>
      <c r="BH5" t="s">
        <v>33</v>
      </c>
      <c r="BI5" t="s">
        <v>34</v>
      </c>
      <c r="BJ5" t="s">
        <v>35</v>
      </c>
      <c r="BK5" t="s">
        <v>36</v>
      </c>
      <c r="BL5" t="s">
        <v>37</v>
      </c>
      <c r="BM5" t="s">
        <v>38</v>
      </c>
      <c r="BN5" t="s">
        <v>40</v>
      </c>
      <c r="BO5" t="s">
        <v>41</v>
      </c>
    </row>
    <row r="6" spans="1:67" x14ac:dyDescent="0.25">
      <c r="A6">
        <v>0</v>
      </c>
      <c r="B6">
        <f>AB6</f>
        <v>-62.915103558236275</v>
      </c>
      <c r="C6">
        <f>AC6</f>
        <v>60.231230629828971</v>
      </c>
      <c r="D6">
        <f t="shared" ref="D6:D17" si="0">3.14159265358/2-G6-H6</f>
        <v>-2.9936265578126897E-2</v>
      </c>
      <c r="E6">
        <f>3.1415926/2+L6-M6</f>
        <v>1.0666248789036652</v>
      </c>
      <c r="F6">
        <f>SQRT( C6*C6+(B6+$G$2)*(B6+$G$2)     )</f>
        <v>80.837117309309022</v>
      </c>
      <c r="G6">
        <f>ATAN2(  C6, -B6-$G$2)</f>
        <v>0.73012093807624712</v>
      </c>
      <c r="H6">
        <f xml:space="preserve"> ACOS((F6*F6+$C$2*$C$2-$E$2*$E$2)/(2*F6*$C$2))</f>
        <v>0.87061165429187981</v>
      </c>
      <c r="J6">
        <f>G6*180/3.1415926</f>
        <v>41.832848999492953</v>
      </c>
      <c r="K6">
        <f>H6*180/3.1415926</f>
        <v>49.882374236728964</v>
      </c>
      <c r="L6">
        <f>ACOS( ($C$2*$C$2+N6*N6-$E$2*$E$2)/(2*$C$2*N6))</f>
        <v>0.3694135928938771</v>
      </c>
      <c r="M6">
        <f>ATAN2(C6,-B6+$G$2)</f>
        <v>0.87358501399021193</v>
      </c>
      <c r="N6">
        <f>SQRT(C6*C6+(-B6+$G$2)*(-B6+$G$2))</f>
        <v>93.806093954366816</v>
      </c>
      <c r="O6">
        <f>L6*180/3.1415926</f>
        <v>21.165840128633445</v>
      </c>
      <c r="P6">
        <f>M6*180/3.1415926</f>
        <v>50.052735201323728</v>
      </c>
      <c r="Q6">
        <f>D6*180/3.1415926</f>
        <v>-1.7152217012679623</v>
      </c>
      <c r="R6">
        <f>E6*180/3.1415926</f>
        <v>61.113104927309706</v>
      </c>
      <c r="S6">
        <f xml:space="preserve"> ((F6*F6+$C$2*$C$2-$E$2*$E$2)/(2*F6*$C$2))</f>
        <v>0.64435892157284835</v>
      </c>
      <c r="U6">
        <v>-70</v>
      </c>
      <c r="V6">
        <v>80</v>
      </c>
      <c r="W6">
        <f t="shared" ref="W6:W18" si="1">3.14159265358/2-Z6-AA6</f>
        <v>-2.9936265576930743E-2</v>
      </c>
      <c r="X6">
        <f>3.1415926/2+AE6-AF6</f>
        <v>-58.429203700000002</v>
      </c>
      <c r="Y6">
        <f>SQRT( V6*V6+(U6+$G$2)*(U6+$G$2)     )</f>
        <v>100.60318086422517</v>
      </c>
      <c r="Z6">
        <f>ATAN2(  V6, -U6-$G$2)</f>
        <v>0.65145322745078538</v>
      </c>
      <c r="AA6">
        <f xml:space="preserve"> ACOS((Y6*Y6+$C$2*$C$2-($E$2+$T$2)*($E$2+$T$2))/(2*Y6*$C$2))</f>
        <v>0.9492793649161454</v>
      </c>
      <c r="AB6">
        <f>-$G$2-$C$2*COS(W6)+(U6+$G$2+COS(W6)*$C$2)*$E$2/($E$2+$T$2)</f>
        <v>-62.915103558236275</v>
      </c>
      <c r="AC6">
        <f>$C$2*SIN(W6)+(V6-$C$2*SIN(W6))*$E$2/($T$2+$E$2)</f>
        <v>60.231230629828971</v>
      </c>
      <c r="AE6">
        <v>0</v>
      </c>
      <c r="AF6">
        <v>60</v>
      </c>
      <c r="AH6" s="1">
        <v>0</v>
      </c>
      <c r="AI6" s="1">
        <f>U6</f>
        <v>-70</v>
      </c>
      <c r="AJ6" s="1">
        <f>V6</f>
        <v>80</v>
      </c>
      <c r="AK6" s="2">
        <f>D6*180/3.1415926</f>
        <v>-1.7152217012679623</v>
      </c>
      <c r="AL6" s="2">
        <f>E6*180/3.1415926</f>
        <v>61.113104927309706</v>
      </c>
      <c r="AY6">
        <v>-62.915103558236275</v>
      </c>
      <c r="AZ6">
        <v>60.231230629828971</v>
      </c>
    </row>
    <row r="7" spans="1:67" x14ac:dyDescent="0.25">
      <c r="A7">
        <v>1</v>
      </c>
      <c r="B7">
        <f t="shared" ref="B7:C70" si="2">AB7</f>
        <v>-52.255284346750535</v>
      </c>
      <c r="C7">
        <f t="shared" si="2"/>
        <v>59.336575678801104</v>
      </c>
      <c r="D7">
        <f t="shared" si="0"/>
        <v>-0.144933196389746</v>
      </c>
      <c r="E7">
        <f t="shared" ref="E7:E17" si="3">3.1415926/2+L7-M7</f>
        <v>1.4981590997021752</v>
      </c>
      <c r="F7">
        <f t="shared" ref="F7:F17" si="4">SQRT( C7*C7+(B7+$G$2)*(B7+$G$2)     )</f>
        <v>73.429209700257104</v>
      </c>
      <c r="G7">
        <f t="shared" ref="G7:G17" si="5">ATAN2(  C7, -B7-$G$2)</f>
        <v>0.62991321051382698</v>
      </c>
      <c r="H7">
        <f t="shared" ref="H7:H17" si="6" xml:space="preserve"> ACOS((F7*F7+$C$2*$C$2-$E$2*$E$2)/(2*F7*$C$2))</f>
        <v>1.085816312665919</v>
      </c>
      <c r="J7">
        <f t="shared" ref="J7:K17" si="7">G7*180/3.1415926</f>
        <v>36.091369037630422</v>
      </c>
      <c r="K7">
        <f t="shared" si="7"/>
        <v>62.212693103448686</v>
      </c>
      <c r="L7">
        <f t="shared" ref="L7:L17" si="8">ACOS( ($C$2*$C$2+N7*N7-$E$2*$E$2)/(2*$C$2*N7))</f>
        <v>0.72867038504193893</v>
      </c>
      <c r="M7">
        <f t="shared" ref="M7:M17" si="9">ATAN2(C7,-B7+$G$2)</f>
        <v>0.80130758533976387</v>
      </c>
      <c r="N7">
        <f t="shared" ref="N7:N17" si="10">SQRT(C7*C7+(-B7+$G$2)*(-B7+$G$2))</f>
        <v>85.282114617822131</v>
      </c>
      <c r="O7">
        <f t="shared" ref="O7:P17" si="11">L7*180/3.1415926</f>
        <v>41.74973843124949</v>
      </c>
      <c r="P7">
        <f t="shared" si="11"/>
        <v>45.911543514954012</v>
      </c>
      <c r="Q7">
        <f t="shared" ref="Q7:R17" si="12">D7*180/3.1415926</f>
        <v>-8.3040606061251481</v>
      </c>
      <c r="R7">
        <f t="shared" si="12"/>
        <v>85.838194916295492</v>
      </c>
      <c r="S7">
        <f t="shared" ref="S7:S17" si="13" xml:space="preserve"> ((F7*F7+$C$2*$C$2-$E$2*$E$2)/(2*F7*$C$2))</f>
        <v>0.4661906783561342</v>
      </c>
      <c r="U7">
        <f>U6+14</f>
        <v>-56</v>
      </c>
      <c r="V7">
        <v>80</v>
      </c>
      <c r="W7">
        <f t="shared" si="1"/>
        <v>-0.14493319638855051</v>
      </c>
      <c r="X7">
        <f t="shared" ref="X7:X18" si="14">3.1415926/2+AE7-AF7</f>
        <v>-40.855610899361977</v>
      </c>
      <c r="Y7">
        <f t="shared" ref="Y7:Y18" si="15">SQRT( V7*V7+(U7+$G$2)*(U7+$G$2)     )</f>
        <v>92.784697014108957</v>
      </c>
      <c r="Z7">
        <f t="shared" ref="Z7:Z18" si="16">ATAN2(  V7, -U7-$G$2)</f>
        <v>0.53117761922576467</v>
      </c>
      <c r="AA7">
        <f t="shared" ref="AA7:AA18" si="17" xml:space="preserve"> ACOS((Y7*Y7+$C$2*$C$2-($E$2+$T$2)*($E$2+$T$2))/(2*Y7*$C$2))</f>
        <v>1.1845519039527859</v>
      </c>
      <c r="AB7">
        <f t="shared" ref="AB7:AB18" si="18">-$G$2-$C$2*COS(W7)+(U7+$G$2+COS(W7)*$C$2)*$E$2/($E$2+$T$2)</f>
        <v>-52.255284346750535</v>
      </c>
      <c r="AC7">
        <f t="shared" ref="AC7:AC18" si="19">$C$2*SIN(W7)+(V7-$C$2*SIN(W7))*$E$2/($T$2+$E$2)</f>
        <v>59.336575678801104</v>
      </c>
      <c r="AE7">
        <v>15.529142447332418</v>
      </c>
      <c r="AF7">
        <v>57.955549646694394</v>
      </c>
      <c r="AH7" s="1">
        <v>1</v>
      </c>
      <c r="AI7" s="1">
        <f t="shared" ref="AI7:AJ18" si="20">U7</f>
        <v>-56</v>
      </c>
      <c r="AJ7" s="1">
        <f t="shared" si="20"/>
        <v>80</v>
      </c>
      <c r="AK7" s="2">
        <f t="shared" ref="AK7:AL18" si="21">D7*180/3.1415926</f>
        <v>-8.3040606061251481</v>
      </c>
      <c r="AL7" s="2">
        <f t="shared" si="21"/>
        <v>85.838194916295492</v>
      </c>
      <c r="AY7">
        <v>-52.255284346750535</v>
      </c>
      <c r="AZ7">
        <v>59.336575678801104</v>
      </c>
    </row>
    <row r="8" spans="1:67" x14ac:dyDescent="0.25">
      <c r="A8">
        <v>2</v>
      </c>
      <c r="B8">
        <f t="shared" si="2"/>
        <v>-41.617893203520786</v>
      </c>
      <c r="C8">
        <f t="shared" si="2"/>
        <v>59.003476611646683</v>
      </c>
      <c r="D8">
        <f t="shared" si="0"/>
        <v>-0.18816344885684799</v>
      </c>
      <c r="E8">
        <f t="shared" si="3"/>
        <v>1.8244182487906686</v>
      </c>
      <c r="F8">
        <f t="shared" si="4"/>
        <v>67.419116052477463</v>
      </c>
      <c r="G8">
        <f t="shared" si="5"/>
        <v>0.50500039382874462</v>
      </c>
      <c r="H8">
        <f t="shared" si="6"/>
        <v>1.2539593818181034</v>
      </c>
      <c r="J8">
        <f t="shared" si="7"/>
        <v>28.934391712399002</v>
      </c>
      <c r="K8">
        <f t="shared" si="7"/>
        <v>71.846581484581606</v>
      </c>
      <c r="L8">
        <f t="shared" si="8"/>
        <v>0.96267291643323594</v>
      </c>
      <c r="M8">
        <f t="shared" si="9"/>
        <v>0.70905096764256748</v>
      </c>
      <c r="N8">
        <f t="shared" si="10"/>
        <v>77.740474430145923</v>
      </c>
      <c r="O8">
        <f t="shared" si="11"/>
        <v>55.157096104053231</v>
      </c>
      <c r="P8">
        <f t="shared" si="11"/>
        <v>40.625628598584726</v>
      </c>
      <c r="Q8">
        <f t="shared" si="12"/>
        <v>-10.780971662026655</v>
      </c>
      <c r="R8">
        <f t="shared" si="12"/>
        <v>104.53146750546851</v>
      </c>
      <c r="S8">
        <f t="shared" si="13"/>
        <v>0.31156250816047842</v>
      </c>
      <c r="U8">
        <f t="shared" ref="U8:U15" si="22">U7+14</f>
        <v>-42</v>
      </c>
      <c r="V8">
        <v>80</v>
      </c>
      <c r="W8">
        <f t="shared" si="1"/>
        <v>-0.18816344885565273</v>
      </c>
      <c r="X8">
        <f t="shared" si="14"/>
        <v>-20.390728659116508</v>
      </c>
      <c r="Y8">
        <f t="shared" si="15"/>
        <v>86.539008545279742</v>
      </c>
      <c r="Z8">
        <f t="shared" si="16"/>
        <v>0.39123557912717416</v>
      </c>
      <c r="AA8">
        <f t="shared" si="17"/>
        <v>1.3677241965184785</v>
      </c>
      <c r="AB8">
        <f t="shared" si="18"/>
        <v>-41.617893203520786</v>
      </c>
      <c r="AC8">
        <f t="shared" si="19"/>
        <v>59.003476611646683</v>
      </c>
      <c r="AE8">
        <v>29.999999535898773</v>
      </c>
      <c r="AF8">
        <v>51.961524495015283</v>
      </c>
      <c r="AH8" s="1">
        <v>2</v>
      </c>
      <c r="AI8" s="1">
        <f t="shared" si="20"/>
        <v>-42</v>
      </c>
      <c r="AJ8" s="1">
        <f t="shared" si="20"/>
        <v>80</v>
      </c>
      <c r="AK8" s="2">
        <f t="shared" si="21"/>
        <v>-10.780971662026655</v>
      </c>
      <c r="AL8" s="2">
        <f t="shared" si="21"/>
        <v>104.53146750546851</v>
      </c>
      <c r="AY8">
        <v>-41.617893203520786</v>
      </c>
      <c r="AZ8">
        <v>59.003476611646683</v>
      </c>
    </row>
    <row r="9" spans="1:67" x14ac:dyDescent="0.25">
      <c r="A9">
        <v>3</v>
      </c>
      <c r="B9">
        <f t="shared" si="2"/>
        <v>-31.075616629919871</v>
      </c>
      <c r="C9">
        <f t="shared" si="2"/>
        <v>59.22644512012225</v>
      </c>
      <c r="D9">
        <f t="shared" si="0"/>
        <v>-0.15919194037254725</v>
      </c>
      <c r="E9">
        <f t="shared" si="3"/>
        <v>2.1155239483163335</v>
      </c>
      <c r="F9">
        <f t="shared" si="4"/>
        <v>63.206840224441272</v>
      </c>
      <c r="G9">
        <f t="shared" si="5"/>
        <v>0.35678118048262336</v>
      </c>
      <c r="H9">
        <f t="shared" si="6"/>
        <v>1.373207086679924</v>
      </c>
      <c r="J9">
        <f t="shared" si="7"/>
        <v>20.4420562000535</v>
      </c>
      <c r="K9">
        <f t="shared" si="7"/>
        <v>78.678971806333607</v>
      </c>
      <c r="L9">
        <f t="shared" si="8"/>
        <v>1.1396104742802675</v>
      </c>
      <c r="M9">
        <f t="shared" si="9"/>
        <v>0.59488282596393371</v>
      </c>
      <c r="N9">
        <f t="shared" si="10"/>
        <v>71.511026071754571</v>
      </c>
      <c r="O9">
        <f t="shared" si="11"/>
        <v>65.294871578971808</v>
      </c>
      <c r="P9">
        <f t="shared" si="11"/>
        <v>34.084275813963934</v>
      </c>
      <c r="Q9">
        <f t="shared" si="12"/>
        <v>-9.1210264714331526</v>
      </c>
      <c r="R9">
        <f t="shared" si="12"/>
        <v>121.21059576500787</v>
      </c>
      <c r="S9">
        <f t="shared" si="13"/>
        <v>0.19630605058384989</v>
      </c>
      <c r="U9">
        <f t="shared" si="22"/>
        <v>-28</v>
      </c>
      <c r="V9">
        <v>80</v>
      </c>
      <c r="W9">
        <f t="shared" si="1"/>
        <v>-0.15919194037135154</v>
      </c>
      <c r="X9">
        <f t="shared" si="14"/>
        <v>1.5707951631888193</v>
      </c>
      <c r="Y9">
        <f t="shared" si="15"/>
        <v>82.225300242686856</v>
      </c>
      <c r="Z9">
        <f t="shared" si="16"/>
        <v>0.2331798006468164</v>
      </c>
      <c r="AA9">
        <f t="shared" si="17"/>
        <v>1.4968084665145351</v>
      </c>
      <c r="AB9">
        <f t="shared" si="18"/>
        <v>-31.075616629919871</v>
      </c>
      <c r="AC9">
        <f t="shared" si="19"/>
        <v>59.22644512012225</v>
      </c>
      <c r="AE9">
        <v>42.426406302787257</v>
      </c>
      <c r="AF9">
        <v>42.426407439598435</v>
      </c>
      <c r="AH9" s="1">
        <v>3</v>
      </c>
      <c r="AI9" s="1">
        <f t="shared" si="20"/>
        <v>-28</v>
      </c>
      <c r="AJ9" s="1">
        <f t="shared" si="20"/>
        <v>80</v>
      </c>
      <c r="AK9" s="2">
        <f t="shared" si="21"/>
        <v>-9.1210264714331526</v>
      </c>
      <c r="AL9" s="2">
        <f t="shared" si="21"/>
        <v>121.21059576500787</v>
      </c>
      <c r="AY9">
        <v>-31.075616629919871</v>
      </c>
      <c r="AZ9">
        <v>59.22644512012225</v>
      </c>
    </row>
    <row r="10" spans="1:67" x14ac:dyDescent="0.25">
      <c r="A10">
        <v>4</v>
      </c>
      <c r="B10">
        <f t="shared" si="2"/>
        <v>-20.582425716540314</v>
      </c>
      <c r="C10">
        <f t="shared" si="2"/>
        <v>60.058293160119753</v>
      </c>
      <c r="D10">
        <f t="shared" si="0"/>
        <v>-5.2087222556712387E-2</v>
      </c>
      <c r="E10">
        <f t="shared" si="3"/>
        <v>2.3802712061257756</v>
      </c>
      <c r="F10">
        <f t="shared" si="4"/>
        <v>61.164950443747287</v>
      </c>
      <c r="G10">
        <f t="shared" si="5"/>
        <v>0.1905141543863971</v>
      </c>
      <c r="H10">
        <f t="shared" si="6"/>
        <v>1.4323693949603153</v>
      </c>
      <c r="J10">
        <f t="shared" si="7"/>
        <v>10.915657170045371</v>
      </c>
      <c r="K10">
        <f t="shared" si="7"/>
        <v>82.068722434874829</v>
      </c>
      <c r="L10">
        <f t="shared" si="8"/>
        <v>1.2671543319905547</v>
      </c>
      <c r="M10">
        <f t="shared" si="9"/>
        <v>0.45767942586477928</v>
      </c>
      <c r="N10">
        <f t="shared" si="10"/>
        <v>66.948625740798533</v>
      </c>
      <c r="O10">
        <f t="shared" si="11"/>
        <v>72.602596453244715</v>
      </c>
      <c r="P10">
        <f t="shared" si="11"/>
        <v>26.22309991934036</v>
      </c>
      <c r="Q10">
        <f t="shared" si="12"/>
        <v>-2.9843780699662426</v>
      </c>
      <c r="R10">
        <f t="shared" si="12"/>
        <v>136.37949653390436</v>
      </c>
      <c r="S10">
        <f t="shared" si="13"/>
        <v>0.13798526537341449</v>
      </c>
      <c r="U10">
        <f t="shared" si="22"/>
        <v>-14</v>
      </c>
      <c r="V10">
        <v>80</v>
      </c>
      <c r="W10">
        <f t="shared" si="1"/>
        <v>-5.2087222555516455E-2</v>
      </c>
      <c r="X10">
        <f t="shared" si="14"/>
        <v>23.532319062965925</v>
      </c>
      <c r="Y10">
        <f t="shared" si="15"/>
        <v>80.156097709406993</v>
      </c>
      <c r="Z10">
        <f t="shared" si="16"/>
        <v>6.241880999595735E-2</v>
      </c>
      <c r="AA10">
        <f t="shared" si="17"/>
        <v>1.5604647393495592</v>
      </c>
      <c r="AB10">
        <f t="shared" si="18"/>
        <v>-20.582425716540314</v>
      </c>
      <c r="AC10">
        <f t="shared" si="19"/>
        <v>60.058293160119753</v>
      </c>
      <c r="AE10">
        <v>51.961523691168374</v>
      </c>
      <c r="AF10">
        <v>30.000000928202446</v>
      </c>
      <c r="AH10" s="1">
        <v>4</v>
      </c>
      <c r="AI10" s="1">
        <f t="shared" si="20"/>
        <v>-14</v>
      </c>
      <c r="AJ10" s="1">
        <f t="shared" si="20"/>
        <v>80</v>
      </c>
      <c r="AK10" s="2">
        <f t="shared" si="21"/>
        <v>-2.9843780699662426</v>
      </c>
      <c r="AL10" s="2">
        <f t="shared" si="21"/>
        <v>136.37949653390436</v>
      </c>
      <c r="AY10">
        <v>-20.582425716540314</v>
      </c>
      <c r="AZ10">
        <v>60.058293160119753</v>
      </c>
    </row>
    <row r="11" spans="1:67" x14ac:dyDescent="0.25">
      <c r="A11">
        <v>5</v>
      </c>
      <c r="B11">
        <f t="shared" si="2"/>
        <v>-9.9424261892741228</v>
      </c>
      <c r="C11">
        <f t="shared" si="2"/>
        <v>61.502752597417626</v>
      </c>
      <c r="D11">
        <f t="shared" si="0"/>
        <v>0.13318614890217706</v>
      </c>
      <c r="E11">
        <f t="shared" si="3"/>
        <v>2.6124580880184185</v>
      </c>
      <c r="F11">
        <f t="shared" si="4"/>
        <v>61.509972721351375</v>
      </c>
      <c r="G11">
        <f t="shared" si="5"/>
        <v>1.5322118084753839E-2</v>
      </c>
      <c r="H11">
        <f t="shared" si="6"/>
        <v>1.4222880598030692</v>
      </c>
      <c r="J11">
        <f t="shared" si="7"/>
        <v>0.87789271443270234</v>
      </c>
      <c r="K11">
        <f t="shared" si="7"/>
        <v>81.491104468654669</v>
      </c>
      <c r="L11">
        <f t="shared" si="8"/>
        <v>1.340435515167967</v>
      </c>
      <c r="M11">
        <f t="shared" si="9"/>
        <v>0.2987737271495482</v>
      </c>
      <c r="N11">
        <f t="shared" si="10"/>
        <v>64.353741825905189</v>
      </c>
      <c r="O11">
        <f t="shared" si="11"/>
        <v>76.801299038657675</v>
      </c>
      <c r="P11">
        <f t="shared" si="11"/>
        <v>17.118473887072014</v>
      </c>
      <c r="Q11">
        <f t="shared" si="12"/>
        <v>7.6310043518665882</v>
      </c>
      <c r="R11">
        <f t="shared" si="12"/>
        <v>149.68282515158563</v>
      </c>
      <c r="S11">
        <f t="shared" si="13"/>
        <v>0.14796298429628482</v>
      </c>
      <c r="U11">
        <f t="shared" si="22"/>
        <v>0</v>
      </c>
      <c r="V11">
        <v>80</v>
      </c>
      <c r="W11">
        <f t="shared" si="1"/>
        <v>0.13318614890337277</v>
      </c>
      <c r="X11">
        <f t="shared" si="14"/>
        <v>43.997201530347233</v>
      </c>
      <c r="Y11">
        <f t="shared" si="15"/>
        <v>80.504658250314932</v>
      </c>
      <c r="Z11">
        <f t="shared" si="16"/>
        <v>-0.11202896242598788</v>
      </c>
      <c r="AA11">
        <f t="shared" si="17"/>
        <v>1.5496391403126151</v>
      </c>
      <c r="AB11">
        <f t="shared" si="18"/>
        <v>-9.9424261892741228</v>
      </c>
      <c r="AC11">
        <f t="shared" si="19"/>
        <v>61.502752597417626</v>
      </c>
      <c r="AE11">
        <v>57.955549230592602</v>
      </c>
      <c r="AF11">
        <v>15.529144000245365</v>
      </c>
      <c r="AH11" s="1">
        <v>5</v>
      </c>
      <c r="AI11" s="1">
        <f t="shared" si="20"/>
        <v>0</v>
      </c>
      <c r="AJ11" s="1">
        <f t="shared" si="20"/>
        <v>80</v>
      </c>
      <c r="AK11" s="2">
        <f t="shared" si="21"/>
        <v>7.6310043518665882</v>
      </c>
      <c r="AL11" s="2">
        <f t="shared" si="21"/>
        <v>149.68282515158563</v>
      </c>
      <c r="AY11">
        <v>-9.9424261892741228</v>
      </c>
      <c r="AZ11">
        <v>61.502752597417626</v>
      </c>
    </row>
    <row r="12" spans="1:67" x14ac:dyDescent="0.25">
      <c r="A12">
        <v>6</v>
      </c>
      <c r="B12">
        <f t="shared" si="2"/>
        <v>1.1408666100856948</v>
      </c>
      <c r="C12">
        <f t="shared" si="2"/>
        <v>63.397509570491003</v>
      </c>
      <c r="D12">
        <f t="shared" si="0"/>
        <v>0.38469508269514119</v>
      </c>
      <c r="E12">
        <f t="shared" si="3"/>
        <v>2.8013178452194571</v>
      </c>
      <c r="F12">
        <f t="shared" si="4"/>
        <v>64.203437566411111</v>
      </c>
      <c r="G12">
        <f t="shared" si="5"/>
        <v>-0.1586131994493567</v>
      </c>
      <c r="H12">
        <f t="shared" si="6"/>
        <v>1.3447144435442155</v>
      </c>
      <c r="J12">
        <f t="shared" si="7"/>
        <v>-9.0878670585371903</v>
      </c>
      <c r="K12">
        <f t="shared" si="7"/>
        <v>77.046463579637532</v>
      </c>
      <c r="L12">
        <f t="shared" si="8"/>
        <v>1.3538582827873604</v>
      </c>
      <c r="M12">
        <f t="shared" si="9"/>
        <v>0.12333673756790352</v>
      </c>
      <c r="N12">
        <f t="shared" si="10"/>
        <v>63.882784828003267</v>
      </c>
      <c r="O12">
        <f t="shared" si="11"/>
        <v>77.570366985752656</v>
      </c>
      <c r="P12">
        <f t="shared" si="11"/>
        <v>7.0666746420979702</v>
      </c>
      <c r="Q12">
        <f t="shared" si="12"/>
        <v>22.041405013853616</v>
      </c>
      <c r="R12">
        <f t="shared" si="12"/>
        <v>160.50369234365471</v>
      </c>
      <c r="S12">
        <f t="shared" si="13"/>
        <v>0.22416084477352166</v>
      </c>
      <c r="U12">
        <f t="shared" si="22"/>
        <v>14</v>
      </c>
      <c r="V12">
        <v>80</v>
      </c>
      <c r="W12">
        <f t="shared" si="1"/>
        <v>0.38469508269633668</v>
      </c>
      <c r="X12">
        <f t="shared" si="14"/>
        <v>61.57079469230618</v>
      </c>
      <c r="Y12">
        <f t="shared" si="15"/>
        <v>83.240615086627031</v>
      </c>
      <c r="Z12">
        <f t="shared" si="16"/>
        <v>-0.27994982252379114</v>
      </c>
      <c r="AA12">
        <f t="shared" si="17"/>
        <v>1.4660510666174544</v>
      </c>
      <c r="AB12">
        <f t="shared" si="18"/>
        <v>1.1408666100856948</v>
      </c>
      <c r="AC12">
        <f t="shared" si="19"/>
        <v>63.397509570491003</v>
      </c>
      <c r="AE12">
        <v>59.999999999999979</v>
      </c>
      <c r="AF12">
        <v>1.6076937967568483E-6</v>
      </c>
      <c r="AH12" s="1">
        <v>6</v>
      </c>
      <c r="AI12" s="1">
        <f t="shared" si="20"/>
        <v>14</v>
      </c>
      <c r="AJ12" s="1">
        <f t="shared" si="20"/>
        <v>80</v>
      </c>
      <c r="AK12" s="2">
        <f t="shared" si="21"/>
        <v>22.041405013853616</v>
      </c>
      <c r="AL12" s="2">
        <f t="shared" si="21"/>
        <v>160.50369234365471</v>
      </c>
      <c r="AY12">
        <v>1.1408666100856948</v>
      </c>
      <c r="AZ12">
        <v>63.397509570491003</v>
      </c>
    </row>
    <row r="13" spans="1:67" x14ac:dyDescent="0.25">
      <c r="A13">
        <v>7</v>
      </c>
      <c r="B13">
        <f t="shared" si="2"/>
        <v>12.906193769447022</v>
      </c>
      <c r="C13">
        <f t="shared" si="2"/>
        <v>65.399417358334091</v>
      </c>
      <c r="D13">
        <f t="shared" si="0"/>
        <v>0.68345148608806672</v>
      </c>
      <c r="E13">
        <f t="shared" si="3"/>
        <v>2.9379421840134121</v>
      </c>
      <c r="F13">
        <f t="shared" si="4"/>
        <v>68.970755514740659</v>
      </c>
      <c r="G13">
        <f t="shared" si="5"/>
        <v>-0.3232139070621593</v>
      </c>
      <c r="H13">
        <f t="shared" si="6"/>
        <v>1.2105587477640927</v>
      </c>
      <c r="J13">
        <f t="shared" si="7"/>
        <v>-18.518793070491913</v>
      </c>
      <c r="K13">
        <f t="shared" si="7"/>
        <v>69.359908282676969</v>
      </c>
      <c r="L13">
        <f t="shared" si="8"/>
        <v>1.3074884929589099</v>
      </c>
      <c r="M13">
        <f t="shared" si="9"/>
        <v>-5.9657391054502379E-2</v>
      </c>
      <c r="N13">
        <f t="shared" si="10"/>
        <v>65.515968592199229</v>
      </c>
      <c r="O13">
        <f t="shared" si="11"/>
        <v>74.913573686353786</v>
      </c>
      <c r="P13">
        <f t="shared" si="11"/>
        <v>-3.4181167824912841</v>
      </c>
      <c r="Q13">
        <f t="shared" si="12"/>
        <v>39.158886322768907</v>
      </c>
      <c r="R13">
        <f t="shared" si="12"/>
        <v>168.33169046884507</v>
      </c>
      <c r="S13">
        <f t="shared" si="13"/>
        <v>0.35249657279145274</v>
      </c>
      <c r="U13">
        <f t="shared" si="22"/>
        <v>28</v>
      </c>
      <c r="V13">
        <v>80</v>
      </c>
      <c r="W13">
        <f t="shared" si="1"/>
        <v>0.68345148608926265</v>
      </c>
      <c r="X13">
        <f t="shared" si="14"/>
        <v>75.055487257215589</v>
      </c>
      <c r="Y13">
        <f t="shared" si="15"/>
        <v>88.141930997681229</v>
      </c>
      <c r="Z13">
        <f t="shared" si="16"/>
        <v>-0.43320016843163495</v>
      </c>
      <c r="AA13">
        <f t="shared" si="17"/>
        <v>1.3205450091323725</v>
      </c>
      <c r="AB13">
        <f t="shared" si="18"/>
        <v>12.906193769447022</v>
      </c>
      <c r="AC13">
        <f t="shared" si="19"/>
        <v>65.399417358334091</v>
      </c>
      <c r="AE13">
        <v>57.955550062796135</v>
      </c>
      <c r="AF13">
        <v>-15.529140894419459</v>
      </c>
      <c r="AH13" s="1">
        <v>7</v>
      </c>
      <c r="AI13" s="1">
        <f t="shared" si="20"/>
        <v>28</v>
      </c>
      <c r="AJ13" s="1">
        <f t="shared" si="20"/>
        <v>80</v>
      </c>
      <c r="AK13" s="2">
        <f t="shared" si="21"/>
        <v>39.158886322768907</v>
      </c>
      <c r="AL13" s="2">
        <f t="shared" si="21"/>
        <v>168.33169046884507</v>
      </c>
      <c r="AY13">
        <v>12.906193769447022</v>
      </c>
      <c r="AZ13">
        <v>65.399417358334091</v>
      </c>
    </row>
    <row r="14" spans="1:67" x14ac:dyDescent="0.25">
      <c r="A14">
        <v>8</v>
      </c>
      <c r="B14">
        <f t="shared" si="2"/>
        <v>25.425910442131688</v>
      </c>
      <c r="C14">
        <f t="shared" si="2"/>
        <v>67.104281511704798</v>
      </c>
      <c r="D14">
        <f t="shared" si="0"/>
        <v>1.0153308615431293</v>
      </c>
      <c r="E14">
        <f t="shared" si="3"/>
        <v>3.0182139280724152</v>
      </c>
      <c r="F14">
        <f t="shared" si="4"/>
        <v>75.419678512784699</v>
      </c>
      <c r="G14">
        <f t="shared" si="5"/>
        <v>-0.47401012139208076</v>
      </c>
      <c r="H14">
        <f t="shared" si="6"/>
        <v>1.0294755866389513</v>
      </c>
      <c r="J14">
        <f t="shared" si="7"/>
        <v>-27.158779865528885</v>
      </c>
      <c r="K14">
        <f t="shared" si="7"/>
        <v>58.98460723233535</v>
      </c>
      <c r="L14">
        <f t="shared" si="8"/>
        <v>1.207356158891487</v>
      </c>
      <c r="M14">
        <f t="shared" si="9"/>
        <v>-0.24006146918092813</v>
      </c>
      <c r="N14">
        <f t="shared" si="10"/>
        <v>69.085419091549682</v>
      </c>
      <c r="O14">
        <f t="shared" si="11"/>
        <v>69.176413453631014</v>
      </c>
      <c r="P14">
        <f t="shared" si="11"/>
        <v>-13.754509242403698</v>
      </c>
      <c r="Q14">
        <f t="shared" si="12"/>
        <v>58.174174168147481</v>
      </c>
      <c r="R14">
        <f t="shared" si="12"/>
        <v>172.93092269603474</v>
      </c>
      <c r="S14">
        <f t="shared" si="13"/>
        <v>0.51526835320369069</v>
      </c>
      <c r="U14">
        <f t="shared" si="22"/>
        <v>42</v>
      </c>
      <c r="V14">
        <v>80</v>
      </c>
      <c r="W14">
        <f t="shared" si="1"/>
        <v>1.0153308615443253</v>
      </c>
      <c r="X14">
        <f t="shared" si="14"/>
        <v>83.532319742457247</v>
      </c>
      <c r="Y14">
        <f t="shared" si="15"/>
        <v>94.873600121424715</v>
      </c>
      <c r="Z14">
        <f t="shared" si="16"/>
        <v>-0.56753762478475067</v>
      </c>
      <c r="AA14">
        <f t="shared" si="17"/>
        <v>1.1230030900304255</v>
      </c>
      <c r="AB14">
        <f t="shared" si="18"/>
        <v>25.425910442131688</v>
      </c>
      <c r="AC14">
        <f t="shared" si="19"/>
        <v>67.104281511704798</v>
      </c>
      <c r="AE14">
        <v>51.961525298862163</v>
      </c>
      <c r="AF14">
        <v>-29.999998143595079</v>
      </c>
      <c r="AH14" s="1">
        <v>8</v>
      </c>
      <c r="AI14" s="1">
        <f t="shared" si="20"/>
        <v>42</v>
      </c>
      <c r="AJ14" s="1">
        <f t="shared" si="20"/>
        <v>80</v>
      </c>
      <c r="AK14" s="2">
        <f t="shared" si="21"/>
        <v>58.174174168147481</v>
      </c>
      <c r="AL14" s="2">
        <f t="shared" si="21"/>
        <v>172.93092269603474</v>
      </c>
      <c r="AY14">
        <v>25.425910442131688</v>
      </c>
      <c r="AZ14">
        <v>67.104281511704798</v>
      </c>
    </row>
    <row r="15" spans="1:67" x14ac:dyDescent="0.25">
      <c r="A15">
        <v>9</v>
      </c>
      <c r="B15">
        <f t="shared" si="2"/>
        <v>38.668580764638349</v>
      </c>
      <c r="C15">
        <f t="shared" si="2"/>
        <v>68.141589175205283</v>
      </c>
      <c r="D15">
        <f t="shared" si="0"/>
        <v>1.3829342561436411</v>
      </c>
      <c r="E15">
        <f t="shared" si="3"/>
        <v>3.0421183600179496</v>
      </c>
      <c r="F15">
        <f t="shared" si="4"/>
        <v>83.159904806567113</v>
      </c>
      <c r="G15">
        <f t="shared" si="5"/>
        <v>-0.61042518832098602</v>
      </c>
      <c r="H15">
        <f t="shared" si="6"/>
        <v>0.79828725896734509</v>
      </c>
      <c r="J15">
        <f t="shared" si="7"/>
        <v>-34.974787595876521</v>
      </c>
      <c r="K15">
        <f t="shared" si="7"/>
        <v>45.738491558110404</v>
      </c>
      <c r="L15">
        <f t="shared" si="8"/>
        <v>1.0606788957199564</v>
      </c>
      <c r="M15">
        <f t="shared" si="9"/>
        <v>-0.41064316429799297</v>
      </c>
      <c r="N15">
        <f t="shared" si="10"/>
        <v>74.32025874490968</v>
      </c>
      <c r="O15">
        <f t="shared" si="11"/>
        <v>60.772425180016072</v>
      </c>
      <c r="P15">
        <f t="shared" si="11"/>
        <v>-23.528120601518715</v>
      </c>
      <c r="Q15">
        <f t="shared" si="12"/>
        <v>79.23629757272009</v>
      </c>
      <c r="R15">
        <f t="shared" si="12"/>
        <v>174.30054578153477</v>
      </c>
      <c r="S15">
        <f t="shared" si="13"/>
        <v>0.69793433207038091</v>
      </c>
      <c r="U15">
        <f t="shared" si="22"/>
        <v>56</v>
      </c>
      <c r="V15">
        <v>80</v>
      </c>
      <c r="W15">
        <f t="shared" si="1"/>
        <v>1.3829342561448366</v>
      </c>
      <c r="X15">
        <f t="shared" si="14"/>
        <v>86.423610042385633</v>
      </c>
      <c r="Y15">
        <f t="shared" si="15"/>
        <v>103.07764064044152</v>
      </c>
      <c r="Z15">
        <f t="shared" si="16"/>
        <v>-0.68231655487474807</v>
      </c>
      <c r="AA15">
        <f t="shared" si="17"/>
        <v>0.87017862551991165</v>
      </c>
      <c r="AB15">
        <f t="shared" si="18"/>
        <v>38.668580764638349</v>
      </c>
      <c r="AC15">
        <f t="shared" si="19"/>
        <v>68.141589175205283</v>
      </c>
      <c r="AE15">
        <v>42.4264085764096</v>
      </c>
      <c r="AF15">
        <v>-42.426405165976036</v>
      </c>
      <c r="AH15" s="1">
        <v>9</v>
      </c>
      <c r="AI15" s="1">
        <f t="shared" si="20"/>
        <v>56</v>
      </c>
      <c r="AJ15" s="1">
        <f t="shared" si="20"/>
        <v>80</v>
      </c>
      <c r="AK15" s="2">
        <f t="shared" si="21"/>
        <v>79.23629757272009</v>
      </c>
      <c r="AL15" s="2">
        <f t="shared" si="21"/>
        <v>174.30054578153477</v>
      </c>
      <c r="AY15">
        <v>38.668580764638349</v>
      </c>
      <c r="AZ15">
        <v>68.141589175205283</v>
      </c>
    </row>
    <row r="16" spans="1:67" x14ac:dyDescent="0.25">
      <c r="A16">
        <v>10</v>
      </c>
      <c r="B16">
        <f t="shared" si="2"/>
        <v>52.763341810937938</v>
      </c>
      <c r="C16">
        <f t="shared" si="2"/>
        <v>68.00426682213751</v>
      </c>
      <c r="D16">
        <f t="shared" si="0"/>
        <v>1.8367900240197201</v>
      </c>
      <c r="E16">
        <f t="shared" si="3"/>
        <v>3.0122534908557084</v>
      </c>
      <c r="F16">
        <f t="shared" si="4"/>
        <v>91.865612160760278</v>
      </c>
      <c r="G16">
        <f t="shared" si="5"/>
        <v>-0.73734210299590364</v>
      </c>
      <c r="H16">
        <f t="shared" si="6"/>
        <v>0.47134840576618364</v>
      </c>
      <c r="J16">
        <f t="shared" si="7"/>
        <v>-42.246591279614883</v>
      </c>
      <c r="K16">
        <f t="shared" si="7"/>
        <v>27.0062747912995</v>
      </c>
      <c r="L16">
        <f t="shared" si="8"/>
        <v>0.86963797423458467</v>
      </c>
      <c r="M16">
        <f t="shared" si="9"/>
        <v>-0.57181921662112356</v>
      </c>
      <c r="N16">
        <f t="shared" si="10"/>
        <v>80.869094173716704</v>
      </c>
      <c r="O16">
        <f t="shared" si="11"/>
        <v>49.82658647789826</v>
      </c>
      <c r="P16">
        <f t="shared" si="11"/>
        <v>-32.762828315740954</v>
      </c>
      <c r="Q16">
        <f t="shared" si="12"/>
        <v>105.24031802326935</v>
      </c>
      <c r="R16">
        <f t="shared" si="12"/>
        <v>172.58941479363921</v>
      </c>
      <c r="S16">
        <f t="shared" si="13"/>
        <v>0.89095680337798722</v>
      </c>
      <c r="U16">
        <v>70</v>
      </c>
      <c r="V16">
        <v>80</v>
      </c>
      <c r="W16">
        <f t="shared" si="1"/>
        <v>1.8367900240209154</v>
      </c>
      <c r="X16">
        <f t="shared" si="14"/>
        <v>83.532321507827518</v>
      </c>
      <c r="Y16">
        <f t="shared" si="15"/>
        <v>112.43220179290273</v>
      </c>
      <c r="Z16">
        <f t="shared" si="16"/>
        <v>-0.77910893814474091</v>
      </c>
      <c r="AA16">
        <f t="shared" si="17"/>
        <v>0.51311524091382554</v>
      </c>
      <c r="AB16">
        <f t="shared" si="18"/>
        <v>52.763341810937938</v>
      </c>
      <c r="AC16">
        <f t="shared" si="19"/>
        <v>68.00426682213751</v>
      </c>
      <c r="AE16">
        <v>30.000002320506066</v>
      </c>
      <c r="AF16">
        <v>-51.961522887321451</v>
      </c>
      <c r="AH16" s="1">
        <v>10</v>
      </c>
      <c r="AI16" s="1">
        <f t="shared" si="20"/>
        <v>70</v>
      </c>
      <c r="AJ16" s="1">
        <f t="shared" si="20"/>
        <v>80</v>
      </c>
      <c r="AK16" s="2">
        <f t="shared" si="21"/>
        <v>105.24031802326935</v>
      </c>
      <c r="AL16" s="2">
        <f t="shared" si="21"/>
        <v>172.58941479363921</v>
      </c>
      <c r="AY16">
        <v>52.763341810937938</v>
      </c>
      <c r="AZ16">
        <v>68.00426682213751</v>
      </c>
    </row>
    <row r="17" spans="1:55" x14ac:dyDescent="0.25">
      <c r="A17">
        <v>11</v>
      </c>
      <c r="B17">
        <f t="shared" si="2"/>
        <v>50.151091411687077</v>
      </c>
      <c r="C17">
        <f t="shared" si="2"/>
        <v>53.142826540450507</v>
      </c>
      <c r="D17">
        <f t="shared" si="0"/>
        <v>1.4992977186986733</v>
      </c>
      <c r="E17">
        <f t="shared" si="3"/>
        <v>3.4894399916591992</v>
      </c>
      <c r="F17">
        <f t="shared" si="4"/>
        <v>79.517366832046008</v>
      </c>
      <c r="G17">
        <f t="shared" si="5"/>
        <v>-0.83885200481861222</v>
      </c>
      <c r="H17">
        <f t="shared" si="6"/>
        <v>0.91035061290993902</v>
      </c>
      <c r="J17">
        <f t="shared" si="7"/>
        <v>-48.062680332055209</v>
      </c>
      <c r="K17">
        <f t="shared" si="7"/>
        <v>52.159248886628077</v>
      </c>
      <c r="L17">
        <f t="shared" si="8"/>
        <v>1.2597405050436703</v>
      </c>
      <c r="M17">
        <f t="shared" si="9"/>
        <v>-0.65890318661552894</v>
      </c>
      <c r="N17">
        <f t="shared" si="10"/>
        <v>67.212888176907242</v>
      </c>
      <c r="O17">
        <f t="shared" si="11"/>
        <v>72.177815451901893</v>
      </c>
      <c r="P17">
        <f t="shared" si="11"/>
        <v>-37.752372344776724</v>
      </c>
      <c r="Q17">
        <f t="shared" si="12"/>
        <v>85.903432980381083</v>
      </c>
      <c r="R17">
        <f t="shared" si="12"/>
        <v>199.93018779667861</v>
      </c>
      <c r="S17">
        <f t="shared" si="13"/>
        <v>0.61346890156720058</v>
      </c>
      <c r="U17">
        <v>70</v>
      </c>
      <c r="V17">
        <v>60</v>
      </c>
      <c r="W17">
        <f t="shared" si="1"/>
        <v>1.4992977186998697</v>
      </c>
      <c r="X17">
        <f t="shared" si="14"/>
        <v>75.055490667649082</v>
      </c>
      <c r="Y17">
        <f t="shared" si="15"/>
        <v>99.201814499534237</v>
      </c>
      <c r="Z17">
        <f t="shared" si="16"/>
        <v>-0.92124690465924031</v>
      </c>
      <c r="AA17">
        <f t="shared" si="17"/>
        <v>0.99274551274937084</v>
      </c>
      <c r="AB17">
        <f t="shared" si="18"/>
        <v>50.151091411687077</v>
      </c>
      <c r="AC17">
        <f t="shared" si="19"/>
        <v>53.142826540450507</v>
      </c>
      <c r="AE17">
        <v>15.529145553158294</v>
      </c>
      <c r="AF17">
        <v>-57.955548814490783</v>
      </c>
      <c r="AH17" s="1">
        <v>11</v>
      </c>
      <c r="AI17" s="1">
        <f t="shared" si="20"/>
        <v>70</v>
      </c>
      <c r="AJ17" s="1">
        <f t="shared" si="20"/>
        <v>60</v>
      </c>
      <c r="AK17" s="2">
        <f t="shared" si="21"/>
        <v>85.903432980381083</v>
      </c>
      <c r="AL17" s="2">
        <f t="shared" si="21"/>
        <v>199.93018779667861</v>
      </c>
      <c r="AY17">
        <v>50.151091411687077</v>
      </c>
      <c r="AZ17">
        <v>53.142826540450507</v>
      </c>
    </row>
    <row r="18" spans="1:55" x14ac:dyDescent="0.25">
      <c r="A18">
        <v>12</v>
      </c>
      <c r="B18">
        <f t="shared" ref="B18:B62" si="23">AB18</f>
        <v>-61.466610306763862</v>
      </c>
      <c r="C18">
        <f t="shared" ref="C18:C62" si="24">AC18</f>
        <v>40.811950064038669</v>
      </c>
      <c r="D18">
        <f t="shared" ref="D18:D62" si="25">3.14159265358/2-G18-H18</f>
        <v>-0.61948204901800508</v>
      </c>
      <c r="E18">
        <f t="shared" ref="E18:E62" si="26">3.1415926/2+L18-M18</f>
        <v>1.3773683784203778</v>
      </c>
      <c r="F18">
        <f t="shared" ref="F18:F62" si="27">SQRT( C18*C18+(B18+$G$2)*(B18+$G$2)     )</f>
        <v>66.470748943512035</v>
      </c>
      <c r="G18">
        <f t="shared" ref="G18:G62" si="28">ATAN2(  C18, -B18-$G$2)</f>
        <v>0.90969869251727675</v>
      </c>
      <c r="H18">
        <f t="shared" ref="H18:H62" si="29" xml:space="preserve"> ACOS((F18*F18+$C$2*$C$2-$E$2*$E$2)/(2*F18*$C$2))</f>
        <v>1.2805796832907284</v>
      </c>
      <c r="J18">
        <f t="shared" ref="J18:J62" si="30">G18*180/3.1415926</f>
        <v>52.121896598912855</v>
      </c>
      <c r="K18">
        <f t="shared" ref="K18:K62" si="31">H18*180/3.1415926</f>
        <v>73.371812434346538</v>
      </c>
      <c r="L18">
        <f t="shared" ref="L18:L62" si="32">ACOS( ($C$2*$C$2+N18*N18-$E$2*$E$2)/(2*$C$2*N18))</f>
        <v>0.85240799639886045</v>
      </c>
      <c r="M18">
        <f t="shared" ref="M18:M62" si="33">ATAN2(C18,-B18+$G$2)</f>
        <v>1.0458359179784824</v>
      </c>
      <c r="N18">
        <f t="shared" ref="N18:N62" si="34">SQRT(C18*C18+(-B18+$G$2)*(-B18+$G$2))</f>
        <v>81.431925165471228</v>
      </c>
      <c r="O18">
        <f t="shared" ref="O18:O62" si="35">L18*180/3.1415926</f>
        <v>48.839381449967405</v>
      </c>
      <c r="P18">
        <f t="shared" ref="P18:P62" si="36">M18*180/3.1415926</f>
        <v>59.92198518551605</v>
      </c>
      <c r="Q18">
        <f t="shared" ref="Q18:Q62" si="37">D18*180/3.1415926</f>
        <v>-35.493707498305447</v>
      </c>
      <c r="R18">
        <f t="shared" ref="R18:R62" si="38">E18*180/3.1415926</f>
        <v>78.917396264451355</v>
      </c>
      <c r="S18">
        <f t="shared" ref="S18:S62" si="39" xml:space="preserve"> ((F18*F18+$C$2*$C$2-$E$2*$E$2)/(2*F18*$C$2))</f>
        <v>0.28615981570375132</v>
      </c>
      <c r="U18">
        <v>-70</v>
      </c>
      <c r="V18">
        <v>60</v>
      </c>
      <c r="W18">
        <f t="shared" si="1"/>
        <v>-0.6194820490168097</v>
      </c>
      <c r="X18">
        <f t="shared" si="14"/>
        <v>61.570799515387513</v>
      </c>
      <c r="Y18">
        <f t="shared" si="15"/>
        <v>85.562842402528915</v>
      </c>
      <c r="Z18">
        <f t="shared" si="16"/>
        <v>0.79366243805709946</v>
      </c>
      <c r="AA18">
        <f t="shared" si="17"/>
        <v>1.3966159377497103</v>
      </c>
      <c r="AB18">
        <f t="shared" si="18"/>
        <v>-61.466610306763862</v>
      </c>
      <c r="AC18">
        <f t="shared" si="19"/>
        <v>40.811950064038669</v>
      </c>
      <c r="AE18">
        <v>3.2153875902064446E-6</v>
      </c>
      <c r="AF18">
        <v>-59.999999999999922</v>
      </c>
      <c r="AH18" s="1">
        <v>12</v>
      </c>
      <c r="AI18" s="1">
        <f t="shared" si="20"/>
        <v>-70</v>
      </c>
      <c r="AJ18" s="1">
        <f t="shared" si="20"/>
        <v>60</v>
      </c>
      <c r="AK18" s="2">
        <f t="shared" si="21"/>
        <v>-35.493707498305447</v>
      </c>
      <c r="AL18" s="2">
        <f t="shared" si="21"/>
        <v>78.917396264451355</v>
      </c>
      <c r="AY18">
        <v>-61.466610306763862</v>
      </c>
      <c r="AZ18">
        <v>40.811950064038669</v>
      </c>
    </row>
    <row r="19" spans="1:55" x14ac:dyDescent="0.25">
      <c r="A19">
        <v>13</v>
      </c>
      <c r="B19" t="e">
        <f t="shared" si="23"/>
        <v>#NUM!</v>
      </c>
      <c r="C19" t="e">
        <f t="shared" si="24"/>
        <v>#NUM!</v>
      </c>
      <c r="D19" t="e">
        <f t="shared" si="25"/>
        <v>#NUM!</v>
      </c>
      <c r="E19" t="e">
        <f t="shared" si="26"/>
        <v>#NUM!</v>
      </c>
      <c r="F19" t="e">
        <f t="shared" si="27"/>
        <v>#NUM!</v>
      </c>
      <c r="G19" t="e">
        <f t="shared" si="28"/>
        <v>#NUM!</v>
      </c>
      <c r="H19" t="e">
        <f t="shared" si="29"/>
        <v>#NUM!</v>
      </c>
      <c r="J19" t="e">
        <f t="shared" si="30"/>
        <v>#NUM!</v>
      </c>
      <c r="K19" t="e">
        <f t="shared" si="31"/>
        <v>#NUM!</v>
      </c>
      <c r="L19" t="e">
        <f t="shared" si="32"/>
        <v>#NUM!</v>
      </c>
      <c r="M19" t="e">
        <f t="shared" si="33"/>
        <v>#NUM!</v>
      </c>
      <c r="N19" t="e">
        <f t="shared" si="34"/>
        <v>#NUM!</v>
      </c>
      <c r="O19" t="e">
        <f t="shared" si="35"/>
        <v>#NUM!</v>
      </c>
      <c r="P19" t="e">
        <f t="shared" si="36"/>
        <v>#NUM!</v>
      </c>
      <c r="Q19" t="e">
        <f t="shared" si="37"/>
        <v>#NUM!</v>
      </c>
      <c r="R19" t="e">
        <f t="shared" si="38"/>
        <v>#NUM!</v>
      </c>
      <c r="S19" t="e">
        <f t="shared" si="39"/>
        <v>#NUM!</v>
      </c>
      <c r="W19" t="e">
        <f t="shared" ref="W19:W82" si="40">3.14159265358/2-Z19-AA19</f>
        <v>#NUM!</v>
      </c>
      <c r="X19">
        <f t="shared" ref="X19:X82" si="41">3.1415926/2+AE19-AF19</f>
        <v>61.570799515387513</v>
      </c>
      <c r="Y19">
        <f t="shared" ref="Y19:Y82" si="42">SQRT( V19*V19+(U19+$G$2)*(U19+$G$2)     )</f>
        <v>9</v>
      </c>
      <c r="Z19">
        <f t="shared" ref="Z19:Z82" si="43">ATAN2(  V19, -U19-$G$2)</f>
        <v>-1.5707963267948966</v>
      </c>
      <c r="AA19" t="e">
        <f t="shared" ref="AA19:AA82" si="44" xml:space="preserve"> ACOS((Y19*Y19+$C$2*$C$2-($E$2+$T$2)*($E$2+$T$2))/(2*Y19*$C$2))</f>
        <v>#NUM!</v>
      </c>
      <c r="AB19" t="e">
        <f t="shared" ref="AB19:AB82" si="45">-$G$2-$C$2*COS(W19)+(U19+$G$2+COS(W19)*$C$2)*$E$2/($E$2+$T$2)</f>
        <v>#NUM!</v>
      </c>
      <c r="AC19" t="e">
        <f t="shared" ref="AC19:AC82" si="46">$C$2*SIN(W19)+(V19-$C$2*SIN(W19))*$E$2/($T$2+$E$2)</f>
        <v>#NUM!</v>
      </c>
      <c r="AE19">
        <v>3.2153875902064446E-6</v>
      </c>
      <c r="AF19">
        <v>-59.999999999999922</v>
      </c>
      <c r="AH19" s="1">
        <v>13</v>
      </c>
      <c r="AI19" s="1">
        <f t="shared" ref="AI19:AI82" si="47">U19</f>
        <v>0</v>
      </c>
      <c r="AJ19" s="1">
        <f t="shared" ref="AJ19:AJ82" si="48">V19</f>
        <v>0</v>
      </c>
      <c r="AK19" s="2" t="e">
        <f t="shared" ref="AK19:AK82" si="49">D19*180/3.1415926</f>
        <v>#NUM!</v>
      </c>
      <c r="AL19" s="2" t="e">
        <f t="shared" ref="AL19:AL82" si="50">E19*180/3.1415926</f>
        <v>#NUM!</v>
      </c>
      <c r="AY19">
        <v>-9</v>
      </c>
      <c r="BA19">
        <v>0</v>
      </c>
    </row>
    <row r="20" spans="1:55" x14ac:dyDescent="0.25">
      <c r="A20">
        <v>14</v>
      </c>
      <c r="B20" t="e">
        <f t="shared" si="23"/>
        <v>#NUM!</v>
      </c>
      <c r="C20" t="e">
        <f t="shared" si="24"/>
        <v>#NUM!</v>
      </c>
      <c r="D20" t="e">
        <f t="shared" si="25"/>
        <v>#NUM!</v>
      </c>
      <c r="E20" t="e">
        <f t="shared" si="26"/>
        <v>#NUM!</v>
      </c>
      <c r="F20" t="e">
        <f t="shared" si="27"/>
        <v>#NUM!</v>
      </c>
      <c r="G20" t="e">
        <f t="shared" si="28"/>
        <v>#NUM!</v>
      </c>
      <c r="H20" t="e">
        <f t="shared" si="29"/>
        <v>#NUM!</v>
      </c>
      <c r="J20" t="e">
        <f t="shared" si="30"/>
        <v>#NUM!</v>
      </c>
      <c r="K20" t="e">
        <f t="shared" si="31"/>
        <v>#NUM!</v>
      </c>
      <c r="L20" t="e">
        <f t="shared" si="32"/>
        <v>#NUM!</v>
      </c>
      <c r="M20" t="e">
        <f t="shared" si="33"/>
        <v>#NUM!</v>
      </c>
      <c r="N20" t="e">
        <f t="shared" si="34"/>
        <v>#NUM!</v>
      </c>
      <c r="O20" t="e">
        <f t="shared" si="35"/>
        <v>#NUM!</v>
      </c>
      <c r="P20" t="e">
        <f t="shared" si="36"/>
        <v>#NUM!</v>
      </c>
      <c r="Q20" t="e">
        <f t="shared" si="37"/>
        <v>#NUM!</v>
      </c>
      <c r="R20" t="e">
        <f t="shared" si="38"/>
        <v>#NUM!</v>
      </c>
      <c r="S20" t="e">
        <f t="shared" si="39"/>
        <v>#NUM!</v>
      </c>
      <c r="W20" t="e">
        <f t="shared" si="40"/>
        <v>#NUM!</v>
      </c>
      <c r="X20">
        <f t="shared" si="41"/>
        <v>61.570799515387513</v>
      </c>
      <c r="Y20">
        <f t="shared" si="42"/>
        <v>9</v>
      </c>
      <c r="Z20">
        <f t="shared" si="43"/>
        <v>-1.5707963267948966</v>
      </c>
      <c r="AA20" t="e">
        <f t="shared" si="44"/>
        <v>#NUM!</v>
      </c>
      <c r="AB20" t="e">
        <f t="shared" si="45"/>
        <v>#NUM!</v>
      </c>
      <c r="AC20" t="e">
        <f t="shared" si="46"/>
        <v>#NUM!</v>
      </c>
      <c r="AE20">
        <v>3.2153875902064446E-6</v>
      </c>
      <c r="AF20">
        <v>-59.999999999999922</v>
      </c>
      <c r="AH20" s="1">
        <v>14</v>
      </c>
      <c r="AI20" s="1">
        <f t="shared" si="47"/>
        <v>0</v>
      </c>
      <c r="AJ20" s="1">
        <f t="shared" si="48"/>
        <v>0</v>
      </c>
      <c r="AK20" s="2" t="e">
        <f t="shared" si="49"/>
        <v>#NUM!</v>
      </c>
      <c r="AL20" s="2" t="e">
        <f t="shared" si="50"/>
        <v>#NUM!</v>
      </c>
      <c r="AY20">
        <v>-40.985662190871238</v>
      </c>
      <c r="BA20">
        <v>-0.95781742073864162</v>
      </c>
    </row>
    <row r="21" spans="1:55" x14ac:dyDescent="0.25">
      <c r="A21">
        <v>15</v>
      </c>
      <c r="B21" t="e">
        <f t="shared" si="23"/>
        <v>#NUM!</v>
      </c>
      <c r="C21" t="e">
        <f t="shared" si="24"/>
        <v>#NUM!</v>
      </c>
      <c r="D21" t="e">
        <f t="shared" si="25"/>
        <v>#NUM!</v>
      </c>
      <c r="E21" t="e">
        <f t="shared" si="26"/>
        <v>#NUM!</v>
      </c>
      <c r="F21" t="e">
        <f t="shared" si="27"/>
        <v>#NUM!</v>
      </c>
      <c r="G21" t="e">
        <f t="shared" si="28"/>
        <v>#NUM!</v>
      </c>
      <c r="H21" t="e">
        <f t="shared" si="29"/>
        <v>#NUM!</v>
      </c>
      <c r="J21" t="e">
        <f t="shared" si="30"/>
        <v>#NUM!</v>
      </c>
      <c r="K21" t="e">
        <f t="shared" si="31"/>
        <v>#NUM!</v>
      </c>
      <c r="L21" t="e">
        <f t="shared" si="32"/>
        <v>#NUM!</v>
      </c>
      <c r="M21" t="e">
        <f t="shared" si="33"/>
        <v>#NUM!</v>
      </c>
      <c r="N21" t="e">
        <f t="shared" si="34"/>
        <v>#NUM!</v>
      </c>
      <c r="O21" t="e">
        <f t="shared" si="35"/>
        <v>#NUM!</v>
      </c>
      <c r="P21" t="e">
        <f t="shared" si="36"/>
        <v>#NUM!</v>
      </c>
      <c r="Q21" t="e">
        <f t="shared" si="37"/>
        <v>#NUM!</v>
      </c>
      <c r="R21" t="e">
        <f t="shared" si="38"/>
        <v>#NUM!</v>
      </c>
      <c r="S21" t="e">
        <f t="shared" si="39"/>
        <v>#NUM!</v>
      </c>
      <c r="W21" t="e">
        <f t="shared" si="40"/>
        <v>#NUM!</v>
      </c>
      <c r="X21">
        <f t="shared" si="41"/>
        <v>61.570799515387513</v>
      </c>
      <c r="Y21">
        <f t="shared" si="42"/>
        <v>9</v>
      </c>
      <c r="Z21">
        <f t="shared" si="43"/>
        <v>-1.5707963267948966</v>
      </c>
      <c r="AA21" t="e">
        <f t="shared" si="44"/>
        <v>#NUM!</v>
      </c>
      <c r="AB21" t="e">
        <f t="shared" si="45"/>
        <v>#NUM!</v>
      </c>
      <c r="AC21" t="e">
        <f t="shared" si="46"/>
        <v>#NUM!</v>
      </c>
      <c r="AE21">
        <v>3.2153875902064446E-6</v>
      </c>
      <c r="AF21">
        <v>-59.999999999999922</v>
      </c>
      <c r="AH21" s="1">
        <v>15</v>
      </c>
      <c r="AI21" s="1">
        <f t="shared" si="47"/>
        <v>0</v>
      </c>
      <c r="AJ21" s="1">
        <f t="shared" si="48"/>
        <v>0</v>
      </c>
      <c r="AK21" s="2" t="e">
        <f t="shared" si="49"/>
        <v>#NUM!</v>
      </c>
      <c r="AL21" s="2" t="e">
        <f t="shared" si="50"/>
        <v>#NUM!</v>
      </c>
      <c r="AY21">
        <v>-70</v>
      </c>
      <c r="BA21">
        <v>80</v>
      </c>
    </row>
    <row r="22" spans="1:55" x14ac:dyDescent="0.25">
      <c r="A22">
        <v>16</v>
      </c>
      <c r="B22" t="e">
        <f t="shared" si="23"/>
        <v>#NUM!</v>
      </c>
      <c r="C22" t="e">
        <f t="shared" si="24"/>
        <v>#NUM!</v>
      </c>
      <c r="D22" t="e">
        <f t="shared" si="25"/>
        <v>#NUM!</v>
      </c>
      <c r="E22" t="e">
        <f t="shared" si="26"/>
        <v>#NUM!</v>
      </c>
      <c r="F22" t="e">
        <f t="shared" si="27"/>
        <v>#NUM!</v>
      </c>
      <c r="G22" t="e">
        <f t="shared" si="28"/>
        <v>#NUM!</v>
      </c>
      <c r="H22" t="e">
        <f t="shared" si="29"/>
        <v>#NUM!</v>
      </c>
      <c r="J22" t="e">
        <f t="shared" si="30"/>
        <v>#NUM!</v>
      </c>
      <c r="K22" t="e">
        <f t="shared" si="31"/>
        <v>#NUM!</v>
      </c>
      <c r="L22" t="e">
        <f t="shared" si="32"/>
        <v>#NUM!</v>
      </c>
      <c r="M22" t="e">
        <f t="shared" si="33"/>
        <v>#NUM!</v>
      </c>
      <c r="N22" t="e">
        <f t="shared" si="34"/>
        <v>#NUM!</v>
      </c>
      <c r="O22" t="e">
        <f t="shared" si="35"/>
        <v>#NUM!</v>
      </c>
      <c r="P22" t="e">
        <f t="shared" si="36"/>
        <v>#NUM!</v>
      </c>
      <c r="Q22" t="e">
        <f t="shared" si="37"/>
        <v>#NUM!</v>
      </c>
      <c r="R22" t="e">
        <f t="shared" si="38"/>
        <v>#NUM!</v>
      </c>
      <c r="S22" t="e">
        <f t="shared" si="39"/>
        <v>#NUM!</v>
      </c>
      <c r="W22" t="e">
        <f t="shared" si="40"/>
        <v>#NUM!</v>
      </c>
      <c r="X22">
        <f t="shared" si="41"/>
        <v>61.570799515387513</v>
      </c>
      <c r="Y22">
        <f t="shared" si="42"/>
        <v>9</v>
      </c>
      <c r="Z22">
        <f t="shared" si="43"/>
        <v>-1.5707963267948966</v>
      </c>
      <c r="AA22" t="e">
        <f t="shared" si="44"/>
        <v>#NUM!</v>
      </c>
      <c r="AB22" t="e">
        <f t="shared" si="45"/>
        <v>#NUM!</v>
      </c>
      <c r="AC22" t="e">
        <f t="shared" si="46"/>
        <v>#NUM!</v>
      </c>
      <c r="AE22">
        <v>3.2153875902064446E-6</v>
      </c>
      <c r="AF22">
        <v>-59.999999999999922</v>
      </c>
      <c r="AH22" s="1">
        <v>16</v>
      </c>
      <c r="AI22" s="1">
        <f t="shared" si="47"/>
        <v>0</v>
      </c>
      <c r="AJ22" s="1">
        <f t="shared" si="48"/>
        <v>0</v>
      </c>
      <c r="AK22" s="2" t="e">
        <f t="shared" si="49"/>
        <v>#NUM!</v>
      </c>
      <c r="AL22" s="2" t="e">
        <f t="shared" si="50"/>
        <v>#NUM!</v>
      </c>
      <c r="AY22">
        <v>-62.915103558236275</v>
      </c>
      <c r="BA22">
        <v>60.231230629828971</v>
      </c>
    </row>
    <row r="23" spans="1:55" x14ac:dyDescent="0.25">
      <c r="A23">
        <v>17</v>
      </c>
      <c r="B23" t="e">
        <f t="shared" si="23"/>
        <v>#NUM!</v>
      </c>
      <c r="C23" t="e">
        <f t="shared" si="24"/>
        <v>#NUM!</v>
      </c>
      <c r="D23" t="e">
        <f t="shared" si="25"/>
        <v>#NUM!</v>
      </c>
      <c r="E23" t="e">
        <f t="shared" si="26"/>
        <v>#NUM!</v>
      </c>
      <c r="F23" t="e">
        <f t="shared" si="27"/>
        <v>#NUM!</v>
      </c>
      <c r="G23" t="e">
        <f t="shared" si="28"/>
        <v>#NUM!</v>
      </c>
      <c r="H23" t="e">
        <f t="shared" si="29"/>
        <v>#NUM!</v>
      </c>
      <c r="J23" t="e">
        <f t="shared" si="30"/>
        <v>#NUM!</v>
      </c>
      <c r="K23" t="e">
        <f t="shared" si="31"/>
        <v>#NUM!</v>
      </c>
      <c r="L23" t="e">
        <f t="shared" si="32"/>
        <v>#NUM!</v>
      </c>
      <c r="M23" t="e">
        <f t="shared" si="33"/>
        <v>#NUM!</v>
      </c>
      <c r="N23" t="e">
        <f t="shared" si="34"/>
        <v>#NUM!</v>
      </c>
      <c r="O23" t="e">
        <f t="shared" si="35"/>
        <v>#NUM!</v>
      </c>
      <c r="P23" t="e">
        <f t="shared" si="36"/>
        <v>#NUM!</v>
      </c>
      <c r="Q23" t="e">
        <f t="shared" si="37"/>
        <v>#NUM!</v>
      </c>
      <c r="R23" t="e">
        <f t="shared" si="38"/>
        <v>#NUM!</v>
      </c>
      <c r="S23" t="e">
        <f t="shared" si="39"/>
        <v>#NUM!</v>
      </c>
      <c r="W23" t="e">
        <f t="shared" si="40"/>
        <v>#NUM!</v>
      </c>
      <c r="X23">
        <f t="shared" si="41"/>
        <v>61.570799515387513</v>
      </c>
      <c r="Y23">
        <f t="shared" si="42"/>
        <v>9</v>
      </c>
      <c r="Z23">
        <f t="shared" si="43"/>
        <v>-1.5707963267948966</v>
      </c>
      <c r="AA23" t="e">
        <f t="shared" si="44"/>
        <v>#NUM!</v>
      </c>
      <c r="AB23" t="e">
        <f t="shared" si="45"/>
        <v>#NUM!</v>
      </c>
      <c r="AC23" t="e">
        <f t="shared" si="46"/>
        <v>#NUM!</v>
      </c>
      <c r="AE23">
        <v>3.2153875902064446E-6</v>
      </c>
      <c r="AF23">
        <v>-59.999999999999922</v>
      </c>
      <c r="AH23" s="1">
        <v>17</v>
      </c>
      <c r="AI23" s="1">
        <f t="shared" si="47"/>
        <v>0</v>
      </c>
      <c r="AJ23" s="1">
        <f t="shared" si="48"/>
        <v>0</v>
      </c>
      <c r="AK23" s="2" t="e">
        <f t="shared" si="49"/>
        <v>#NUM!</v>
      </c>
      <c r="AL23" s="2" t="e">
        <f t="shared" si="50"/>
        <v>#NUM!</v>
      </c>
      <c r="AY23">
        <v>-6.4586286938894535</v>
      </c>
      <c r="BA23">
        <v>28.018401076871921</v>
      </c>
    </row>
    <row r="24" spans="1:55" x14ac:dyDescent="0.25">
      <c r="A24">
        <v>18</v>
      </c>
      <c r="B24" t="e">
        <f t="shared" si="23"/>
        <v>#NUM!</v>
      </c>
      <c r="C24" t="e">
        <f t="shared" si="24"/>
        <v>#NUM!</v>
      </c>
      <c r="D24" t="e">
        <f t="shared" si="25"/>
        <v>#NUM!</v>
      </c>
      <c r="E24" t="e">
        <f t="shared" si="26"/>
        <v>#NUM!</v>
      </c>
      <c r="F24" t="e">
        <f t="shared" si="27"/>
        <v>#NUM!</v>
      </c>
      <c r="G24" t="e">
        <f t="shared" si="28"/>
        <v>#NUM!</v>
      </c>
      <c r="H24" t="e">
        <f t="shared" si="29"/>
        <v>#NUM!</v>
      </c>
      <c r="J24" t="e">
        <f t="shared" si="30"/>
        <v>#NUM!</v>
      </c>
      <c r="K24" t="e">
        <f t="shared" si="31"/>
        <v>#NUM!</v>
      </c>
      <c r="L24" t="e">
        <f t="shared" si="32"/>
        <v>#NUM!</v>
      </c>
      <c r="M24" t="e">
        <f t="shared" si="33"/>
        <v>#NUM!</v>
      </c>
      <c r="N24" t="e">
        <f t="shared" si="34"/>
        <v>#NUM!</v>
      </c>
      <c r="O24" t="e">
        <f t="shared" si="35"/>
        <v>#NUM!</v>
      </c>
      <c r="P24" t="e">
        <f t="shared" si="36"/>
        <v>#NUM!</v>
      </c>
      <c r="Q24" t="e">
        <f t="shared" si="37"/>
        <v>#NUM!</v>
      </c>
      <c r="R24" t="e">
        <f t="shared" si="38"/>
        <v>#NUM!</v>
      </c>
      <c r="S24" t="e">
        <f t="shared" si="39"/>
        <v>#NUM!</v>
      </c>
      <c r="W24" t="e">
        <f t="shared" si="40"/>
        <v>#NUM!</v>
      </c>
      <c r="X24">
        <f t="shared" si="41"/>
        <v>61.570799515387513</v>
      </c>
      <c r="Y24">
        <f t="shared" si="42"/>
        <v>9</v>
      </c>
      <c r="Z24">
        <f t="shared" si="43"/>
        <v>-1.5707963267948966</v>
      </c>
      <c r="AA24" t="e">
        <f t="shared" si="44"/>
        <v>#NUM!</v>
      </c>
      <c r="AB24" t="e">
        <f t="shared" si="45"/>
        <v>#NUM!</v>
      </c>
      <c r="AC24" t="e">
        <f t="shared" si="46"/>
        <v>#NUM!</v>
      </c>
      <c r="AE24">
        <v>3.2153875902064446E-6</v>
      </c>
      <c r="AF24">
        <v>-59.999999999999922</v>
      </c>
      <c r="AH24" s="1">
        <v>18</v>
      </c>
      <c r="AI24" s="1">
        <f t="shared" si="47"/>
        <v>0</v>
      </c>
      <c r="AJ24" s="1">
        <f t="shared" si="48"/>
        <v>0</v>
      </c>
      <c r="AK24" s="2" t="e">
        <f t="shared" si="49"/>
        <v>#NUM!</v>
      </c>
      <c r="AL24" s="2" t="e">
        <f t="shared" si="50"/>
        <v>#NUM!</v>
      </c>
      <c r="AY24">
        <v>9</v>
      </c>
      <c r="BA24">
        <v>0</v>
      </c>
    </row>
    <row r="25" spans="1:55" x14ac:dyDescent="0.25">
      <c r="A25">
        <v>19</v>
      </c>
      <c r="B25" t="e">
        <f t="shared" si="23"/>
        <v>#NUM!</v>
      </c>
      <c r="C25" t="e">
        <f t="shared" si="24"/>
        <v>#NUM!</v>
      </c>
      <c r="D25" t="e">
        <f t="shared" si="25"/>
        <v>#NUM!</v>
      </c>
      <c r="E25" t="e">
        <f t="shared" si="26"/>
        <v>#NUM!</v>
      </c>
      <c r="F25" t="e">
        <f t="shared" si="27"/>
        <v>#NUM!</v>
      </c>
      <c r="G25" t="e">
        <f t="shared" si="28"/>
        <v>#NUM!</v>
      </c>
      <c r="H25" t="e">
        <f t="shared" si="29"/>
        <v>#NUM!</v>
      </c>
      <c r="J25" t="e">
        <f t="shared" si="30"/>
        <v>#NUM!</v>
      </c>
      <c r="K25" t="e">
        <f t="shared" si="31"/>
        <v>#NUM!</v>
      </c>
      <c r="L25" t="e">
        <f t="shared" si="32"/>
        <v>#NUM!</v>
      </c>
      <c r="M25" t="e">
        <f t="shared" si="33"/>
        <v>#NUM!</v>
      </c>
      <c r="N25" t="e">
        <f t="shared" si="34"/>
        <v>#NUM!</v>
      </c>
      <c r="O25" t="e">
        <f t="shared" si="35"/>
        <v>#NUM!</v>
      </c>
      <c r="P25" t="e">
        <f t="shared" si="36"/>
        <v>#NUM!</v>
      </c>
      <c r="Q25" t="e">
        <f t="shared" si="37"/>
        <v>#NUM!</v>
      </c>
      <c r="R25" t="e">
        <f t="shared" si="38"/>
        <v>#NUM!</v>
      </c>
      <c r="S25" t="e">
        <f t="shared" si="39"/>
        <v>#NUM!</v>
      </c>
      <c r="W25" t="e">
        <f t="shared" si="40"/>
        <v>#NUM!</v>
      </c>
      <c r="X25">
        <f t="shared" si="41"/>
        <v>61.570799515387513</v>
      </c>
      <c r="Y25">
        <f t="shared" si="42"/>
        <v>9</v>
      </c>
      <c r="Z25">
        <f t="shared" si="43"/>
        <v>-1.5707963267948966</v>
      </c>
      <c r="AA25" t="e">
        <f t="shared" si="44"/>
        <v>#NUM!</v>
      </c>
      <c r="AB25" t="e">
        <f t="shared" si="45"/>
        <v>#NUM!</v>
      </c>
      <c r="AC25" t="e">
        <f t="shared" si="46"/>
        <v>#NUM!</v>
      </c>
      <c r="AE25">
        <v>3.2153875902064446E-6</v>
      </c>
      <c r="AF25">
        <v>-59.999999999999922</v>
      </c>
      <c r="AH25" s="1">
        <v>19</v>
      </c>
      <c r="AI25" s="1">
        <f t="shared" si="47"/>
        <v>0</v>
      </c>
      <c r="AJ25" s="1">
        <f t="shared" si="48"/>
        <v>0</v>
      </c>
      <c r="AK25" s="2" t="e">
        <f t="shared" si="49"/>
        <v>#NUM!</v>
      </c>
      <c r="AL25" s="2" t="e">
        <f t="shared" si="50"/>
        <v>#NUM!</v>
      </c>
      <c r="AY25">
        <v>-9</v>
      </c>
      <c r="BB25">
        <v>0</v>
      </c>
    </row>
    <row r="26" spans="1:55" x14ac:dyDescent="0.25">
      <c r="A26">
        <v>20</v>
      </c>
      <c r="B26" t="e">
        <f t="shared" si="23"/>
        <v>#NUM!</v>
      </c>
      <c r="C26" t="e">
        <f t="shared" si="24"/>
        <v>#NUM!</v>
      </c>
      <c r="D26" t="e">
        <f t="shared" si="25"/>
        <v>#NUM!</v>
      </c>
      <c r="E26" t="e">
        <f t="shared" si="26"/>
        <v>#NUM!</v>
      </c>
      <c r="F26" t="e">
        <f t="shared" si="27"/>
        <v>#NUM!</v>
      </c>
      <c r="G26" t="e">
        <f t="shared" si="28"/>
        <v>#NUM!</v>
      </c>
      <c r="H26" t="e">
        <f t="shared" si="29"/>
        <v>#NUM!</v>
      </c>
      <c r="J26" t="e">
        <f t="shared" si="30"/>
        <v>#NUM!</v>
      </c>
      <c r="K26" t="e">
        <f t="shared" si="31"/>
        <v>#NUM!</v>
      </c>
      <c r="L26" t="e">
        <f t="shared" si="32"/>
        <v>#NUM!</v>
      </c>
      <c r="M26" t="e">
        <f t="shared" si="33"/>
        <v>#NUM!</v>
      </c>
      <c r="N26" t="e">
        <f t="shared" si="34"/>
        <v>#NUM!</v>
      </c>
      <c r="O26" t="e">
        <f t="shared" si="35"/>
        <v>#NUM!</v>
      </c>
      <c r="P26" t="e">
        <f t="shared" si="36"/>
        <v>#NUM!</v>
      </c>
      <c r="Q26" t="e">
        <f t="shared" si="37"/>
        <v>#NUM!</v>
      </c>
      <c r="R26" t="e">
        <f t="shared" si="38"/>
        <v>#NUM!</v>
      </c>
      <c r="S26" t="e">
        <f t="shared" si="39"/>
        <v>#NUM!</v>
      </c>
      <c r="W26" t="e">
        <f t="shared" si="40"/>
        <v>#NUM!</v>
      </c>
      <c r="X26">
        <f t="shared" si="41"/>
        <v>61.570799515387513</v>
      </c>
      <c r="Y26">
        <f t="shared" si="42"/>
        <v>9</v>
      </c>
      <c r="Z26">
        <f t="shared" si="43"/>
        <v>-1.5707963267948966</v>
      </c>
      <c r="AA26" t="e">
        <f t="shared" si="44"/>
        <v>#NUM!</v>
      </c>
      <c r="AB26" t="e">
        <f t="shared" si="45"/>
        <v>#NUM!</v>
      </c>
      <c r="AC26" t="e">
        <f t="shared" si="46"/>
        <v>#NUM!</v>
      </c>
      <c r="AE26">
        <v>3.2153875902064446E-6</v>
      </c>
      <c r="AF26">
        <v>-59.999999999999922</v>
      </c>
      <c r="AH26" s="1">
        <v>20</v>
      </c>
      <c r="AI26" s="1">
        <f t="shared" si="47"/>
        <v>0</v>
      </c>
      <c r="AJ26" s="1">
        <f t="shared" si="48"/>
        <v>0</v>
      </c>
      <c r="AK26" s="2" t="e">
        <f t="shared" si="49"/>
        <v>#NUM!</v>
      </c>
      <c r="AL26" s="2" t="e">
        <f t="shared" si="50"/>
        <v>#NUM!</v>
      </c>
      <c r="AY26">
        <v>-40.664497800972853</v>
      </c>
      <c r="BB26">
        <v>-4.621642458280987</v>
      </c>
    </row>
    <row r="27" spans="1:55" x14ac:dyDescent="0.25">
      <c r="A27">
        <v>21</v>
      </c>
      <c r="B27" t="e">
        <f t="shared" si="23"/>
        <v>#NUM!</v>
      </c>
      <c r="C27" t="e">
        <f t="shared" si="24"/>
        <v>#NUM!</v>
      </c>
      <c r="D27" t="e">
        <f t="shared" si="25"/>
        <v>#NUM!</v>
      </c>
      <c r="E27" t="e">
        <f t="shared" si="26"/>
        <v>#NUM!</v>
      </c>
      <c r="F27" t="e">
        <f t="shared" si="27"/>
        <v>#NUM!</v>
      </c>
      <c r="G27" t="e">
        <f t="shared" si="28"/>
        <v>#NUM!</v>
      </c>
      <c r="H27" t="e">
        <f t="shared" si="29"/>
        <v>#NUM!</v>
      </c>
      <c r="J27" t="e">
        <f t="shared" si="30"/>
        <v>#NUM!</v>
      </c>
      <c r="K27" t="e">
        <f t="shared" si="31"/>
        <v>#NUM!</v>
      </c>
      <c r="L27" t="e">
        <f t="shared" si="32"/>
        <v>#NUM!</v>
      </c>
      <c r="M27" t="e">
        <f t="shared" si="33"/>
        <v>#NUM!</v>
      </c>
      <c r="N27" t="e">
        <f t="shared" si="34"/>
        <v>#NUM!</v>
      </c>
      <c r="O27" t="e">
        <f t="shared" si="35"/>
        <v>#NUM!</v>
      </c>
      <c r="P27" t="e">
        <f t="shared" si="36"/>
        <v>#NUM!</v>
      </c>
      <c r="Q27" t="e">
        <f t="shared" si="37"/>
        <v>#NUM!</v>
      </c>
      <c r="R27" t="e">
        <f t="shared" si="38"/>
        <v>#NUM!</v>
      </c>
      <c r="S27" t="e">
        <f t="shared" si="39"/>
        <v>#NUM!</v>
      </c>
      <c r="W27" t="e">
        <f t="shared" si="40"/>
        <v>#NUM!</v>
      </c>
      <c r="X27">
        <f t="shared" si="41"/>
        <v>61.570799515387513</v>
      </c>
      <c r="Y27">
        <f t="shared" si="42"/>
        <v>9</v>
      </c>
      <c r="Z27">
        <f t="shared" si="43"/>
        <v>-1.5707963267948966</v>
      </c>
      <c r="AA27" t="e">
        <f t="shared" si="44"/>
        <v>#NUM!</v>
      </c>
      <c r="AB27" t="e">
        <f t="shared" si="45"/>
        <v>#NUM!</v>
      </c>
      <c r="AC27" t="e">
        <f t="shared" si="46"/>
        <v>#NUM!</v>
      </c>
      <c r="AE27">
        <v>3.2153875902064446E-6</v>
      </c>
      <c r="AF27">
        <v>-59.999999999999922</v>
      </c>
      <c r="AH27" s="1">
        <v>21</v>
      </c>
      <c r="AI27" s="1">
        <f t="shared" si="47"/>
        <v>0</v>
      </c>
      <c r="AJ27" s="1">
        <f t="shared" si="48"/>
        <v>0</v>
      </c>
      <c r="AK27" s="2" t="e">
        <f t="shared" si="49"/>
        <v>#NUM!</v>
      </c>
      <c r="AL27" s="2" t="e">
        <f t="shared" si="50"/>
        <v>#NUM!</v>
      </c>
      <c r="AY27">
        <v>-56</v>
      </c>
      <c r="BB27">
        <v>80</v>
      </c>
    </row>
    <row r="28" spans="1:55" x14ac:dyDescent="0.25">
      <c r="A28">
        <v>22</v>
      </c>
      <c r="B28" t="e">
        <f t="shared" si="23"/>
        <v>#NUM!</v>
      </c>
      <c r="C28" t="e">
        <f t="shared" si="24"/>
        <v>#NUM!</v>
      </c>
      <c r="D28" t="e">
        <f t="shared" si="25"/>
        <v>#NUM!</v>
      </c>
      <c r="E28" t="e">
        <f t="shared" si="26"/>
        <v>#NUM!</v>
      </c>
      <c r="F28" t="e">
        <f t="shared" si="27"/>
        <v>#NUM!</v>
      </c>
      <c r="G28" t="e">
        <f t="shared" si="28"/>
        <v>#NUM!</v>
      </c>
      <c r="H28" t="e">
        <f t="shared" si="29"/>
        <v>#NUM!</v>
      </c>
      <c r="J28" t="e">
        <f t="shared" si="30"/>
        <v>#NUM!</v>
      </c>
      <c r="K28" t="e">
        <f t="shared" si="31"/>
        <v>#NUM!</v>
      </c>
      <c r="L28" t="e">
        <f t="shared" si="32"/>
        <v>#NUM!</v>
      </c>
      <c r="M28" t="e">
        <f t="shared" si="33"/>
        <v>#NUM!</v>
      </c>
      <c r="N28" t="e">
        <f t="shared" si="34"/>
        <v>#NUM!</v>
      </c>
      <c r="O28" t="e">
        <f t="shared" si="35"/>
        <v>#NUM!</v>
      </c>
      <c r="P28" t="e">
        <f t="shared" si="36"/>
        <v>#NUM!</v>
      </c>
      <c r="Q28" t="e">
        <f t="shared" si="37"/>
        <v>#NUM!</v>
      </c>
      <c r="R28" t="e">
        <f t="shared" si="38"/>
        <v>#NUM!</v>
      </c>
      <c r="S28" t="e">
        <f t="shared" si="39"/>
        <v>#NUM!</v>
      </c>
      <c r="W28" t="e">
        <f t="shared" si="40"/>
        <v>#NUM!</v>
      </c>
      <c r="X28">
        <f t="shared" si="41"/>
        <v>61.570799515387513</v>
      </c>
      <c r="Y28">
        <f t="shared" si="42"/>
        <v>9</v>
      </c>
      <c r="Z28">
        <f t="shared" si="43"/>
        <v>-1.5707963267948966</v>
      </c>
      <c r="AA28" t="e">
        <f t="shared" si="44"/>
        <v>#NUM!</v>
      </c>
      <c r="AB28" t="e">
        <f t="shared" si="45"/>
        <v>#NUM!</v>
      </c>
      <c r="AC28" t="e">
        <f t="shared" si="46"/>
        <v>#NUM!</v>
      </c>
      <c r="AE28">
        <v>3.2153875902064446E-6</v>
      </c>
      <c r="AF28">
        <v>-59.999999999999922</v>
      </c>
      <c r="AH28" s="1">
        <v>22</v>
      </c>
      <c r="AI28" s="1">
        <f t="shared" si="47"/>
        <v>0</v>
      </c>
      <c r="AJ28" s="1">
        <f t="shared" si="48"/>
        <v>0</v>
      </c>
      <c r="AK28" s="2" t="e">
        <f t="shared" si="49"/>
        <v>#NUM!</v>
      </c>
      <c r="AL28" s="2" t="e">
        <f t="shared" si="50"/>
        <v>#NUM!</v>
      </c>
      <c r="AY28">
        <v>-52.255284346750535</v>
      </c>
      <c r="BB28">
        <v>59.336575678801104</v>
      </c>
    </row>
    <row r="29" spans="1:55" x14ac:dyDescent="0.25">
      <c r="A29">
        <v>23</v>
      </c>
      <c r="B29" t="e">
        <f t="shared" si="23"/>
        <v>#NUM!</v>
      </c>
      <c r="C29" t="e">
        <f t="shared" si="24"/>
        <v>#NUM!</v>
      </c>
      <c r="D29" t="e">
        <f t="shared" si="25"/>
        <v>#NUM!</v>
      </c>
      <c r="E29" t="e">
        <f t="shared" si="26"/>
        <v>#NUM!</v>
      </c>
      <c r="F29" t="e">
        <f t="shared" si="27"/>
        <v>#NUM!</v>
      </c>
      <c r="G29" t="e">
        <f t="shared" si="28"/>
        <v>#NUM!</v>
      </c>
      <c r="H29" t="e">
        <f t="shared" si="29"/>
        <v>#NUM!</v>
      </c>
      <c r="J29" t="e">
        <f t="shared" si="30"/>
        <v>#NUM!</v>
      </c>
      <c r="K29" t="e">
        <f t="shared" si="31"/>
        <v>#NUM!</v>
      </c>
      <c r="L29" t="e">
        <f t="shared" si="32"/>
        <v>#NUM!</v>
      </c>
      <c r="M29" t="e">
        <f t="shared" si="33"/>
        <v>#NUM!</v>
      </c>
      <c r="N29" t="e">
        <f t="shared" si="34"/>
        <v>#NUM!</v>
      </c>
      <c r="O29" t="e">
        <f t="shared" si="35"/>
        <v>#NUM!</v>
      </c>
      <c r="P29" t="e">
        <f t="shared" si="36"/>
        <v>#NUM!</v>
      </c>
      <c r="Q29" t="e">
        <f t="shared" si="37"/>
        <v>#NUM!</v>
      </c>
      <c r="R29" t="e">
        <f t="shared" si="38"/>
        <v>#NUM!</v>
      </c>
      <c r="S29" t="e">
        <f t="shared" si="39"/>
        <v>#NUM!</v>
      </c>
      <c r="W29" t="e">
        <f t="shared" si="40"/>
        <v>#NUM!</v>
      </c>
      <c r="X29">
        <f t="shared" si="41"/>
        <v>61.570799515387513</v>
      </c>
      <c r="Y29">
        <f t="shared" si="42"/>
        <v>9</v>
      </c>
      <c r="Z29">
        <f t="shared" si="43"/>
        <v>-1.5707963267948966</v>
      </c>
      <c r="AA29" t="e">
        <f t="shared" si="44"/>
        <v>#NUM!</v>
      </c>
      <c r="AB29" t="e">
        <f t="shared" si="45"/>
        <v>#NUM!</v>
      </c>
      <c r="AC29" t="e">
        <f t="shared" si="46"/>
        <v>#NUM!</v>
      </c>
      <c r="AE29">
        <v>3.2153875902064446E-6</v>
      </c>
      <c r="AF29">
        <v>-59.999999999999922</v>
      </c>
      <c r="AH29" s="1">
        <v>23</v>
      </c>
      <c r="AI29" s="1">
        <f t="shared" si="47"/>
        <v>0</v>
      </c>
      <c r="AJ29" s="1">
        <f t="shared" si="48"/>
        <v>0</v>
      </c>
      <c r="AK29" s="2" t="e">
        <f t="shared" si="49"/>
        <v>#NUM!</v>
      </c>
      <c r="AL29" s="2" t="e">
        <f t="shared" si="50"/>
        <v>#NUM!</v>
      </c>
      <c r="AY29">
        <v>6.677652173205086</v>
      </c>
      <c r="BB29">
        <v>31.915618442564778</v>
      </c>
    </row>
    <row r="30" spans="1:55" x14ac:dyDescent="0.25">
      <c r="A30">
        <v>24</v>
      </c>
      <c r="B30" t="e">
        <f t="shared" si="23"/>
        <v>#NUM!</v>
      </c>
      <c r="C30" t="e">
        <f t="shared" si="24"/>
        <v>#NUM!</v>
      </c>
      <c r="D30" t="e">
        <f t="shared" si="25"/>
        <v>#NUM!</v>
      </c>
      <c r="E30" t="e">
        <f t="shared" si="26"/>
        <v>#NUM!</v>
      </c>
      <c r="F30" t="e">
        <f t="shared" si="27"/>
        <v>#NUM!</v>
      </c>
      <c r="G30" t="e">
        <f t="shared" si="28"/>
        <v>#NUM!</v>
      </c>
      <c r="H30" t="e">
        <f t="shared" si="29"/>
        <v>#NUM!</v>
      </c>
      <c r="J30" t="e">
        <f t="shared" si="30"/>
        <v>#NUM!</v>
      </c>
      <c r="K30" t="e">
        <f t="shared" si="31"/>
        <v>#NUM!</v>
      </c>
      <c r="L30" t="e">
        <f t="shared" si="32"/>
        <v>#NUM!</v>
      </c>
      <c r="M30" t="e">
        <f t="shared" si="33"/>
        <v>#NUM!</v>
      </c>
      <c r="N30" t="e">
        <f t="shared" si="34"/>
        <v>#NUM!</v>
      </c>
      <c r="O30" t="e">
        <f t="shared" si="35"/>
        <v>#NUM!</v>
      </c>
      <c r="P30" t="e">
        <f t="shared" si="36"/>
        <v>#NUM!</v>
      </c>
      <c r="Q30" t="e">
        <f t="shared" si="37"/>
        <v>#NUM!</v>
      </c>
      <c r="R30" t="e">
        <f t="shared" si="38"/>
        <v>#NUM!</v>
      </c>
      <c r="S30" t="e">
        <f t="shared" si="39"/>
        <v>#NUM!</v>
      </c>
      <c r="W30" t="e">
        <f t="shared" si="40"/>
        <v>#NUM!</v>
      </c>
      <c r="X30">
        <f t="shared" si="41"/>
        <v>61.570799515387513</v>
      </c>
      <c r="Y30">
        <f t="shared" si="42"/>
        <v>9</v>
      </c>
      <c r="Z30">
        <f t="shared" si="43"/>
        <v>-1.5707963267948966</v>
      </c>
      <c r="AA30" t="e">
        <f t="shared" si="44"/>
        <v>#NUM!</v>
      </c>
      <c r="AB30" t="e">
        <f t="shared" si="45"/>
        <v>#NUM!</v>
      </c>
      <c r="AC30" t="e">
        <f t="shared" si="46"/>
        <v>#NUM!</v>
      </c>
      <c r="AE30">
        <v>3.2153875902064446E-6</v>
      </c>
      <c r="AF30">
        <v>-59.999999999999922</v>
      </c>
      <c r="AH30" s="1">
        <v>24</v>
      </c>
      <c r="AI30" s="1">
        <f t="shared" si="47"/>
        <v>0</v>
      </c>
      <c r="AJ30" s="1">
        <f t="shared" si="48"/>
        <v>0</v>
      </c>
      <c r="AK30" s="2" t="e">
        <f t="shared" si="49"/>
        <v>#NUM!</v>
      </c>
      <c r="AL30" s="2" t="e">
        <f t="shared" si="50"/>
        <v>#NUM!</v>
      </c>
      <c r="AY30">
        <v>9</v>
      </c>
      <c r="BB30">
        <v>0</v>
      </c>
    </row>
    <row r="31" spans="1:55" x14ac:dyDescent="0.25">
      <c r="A31">
        <v>25</v>
      </c>
      <c r="B31" t="e">
        <f t="shared" si="23"/>
        <v>#NUM!</v>
      </c>
      <c r="C31" t="e">
        <f t="shared" si="24"/>
        <v>#NUM!</v>
      </c>
      <c r="D31" t="e">
        <f t="shared" si="25"/>
        <v>#NUM!</v>
      </c>
      <c r="E31" t="e">
        <f t="shared" si="26"/>
        <v>#NUM!</v>
      </c>
      <c r="F31" t="e">
        <f t="shared" si="27"/>
        <v>#NUM!</v>
      </c>
      <c r="G31" t="e">
        <f t="shared" si="28"/>
        <v>#NUM!</v>
      </c>
      <c r="H31" t="e">
        <f t="shared" si="29"/>
        <v>#NUM!</v>
      </c>
      <c r="J31" t="e">
        <f t="shared" si="30"/>
        <v>#NUM!</v>
      </c>
      <c r="K31" t="e">
        <f t="shared" si="31"/>
        <v>#NUM!</v>
      </c>
      <c r="L31" t="e">
        <f t="shared" si="32"/>
        <v>#NUM!</v>
      </c>
      <c r="M31" t="e">
        <f t="shared" si="33"/>
        <v>#NUM!</v>
      </c>
      <c r="N31" t="e">
        <f t="shared" si="34"/>
        <v>#NUM!</v>
      </c>
      <c r="O31" t="e">
        <f t="shared" si="35"/>
        <v>#NUM!</v>
      </c>
      <c r="P31" t="e">
        <f t="shared" si="36"/>
        <v>#NUM!</v>
      </c>
      <c r="Q31" t="e">
        <f t="shared" si="37"/>
        <v>#NUM!</v>
      </c>
      <c r="R31" t="e">
        <f t="shared" si="38"/>
        <v>#NUM!</v>
      </c>
      <c r="S31" t="e">
        <f t="shared" si="39"/>
        <v>#NUM!</v>
      </c>
      <c r="W31" t="e">
        <f t="shared" si="40"/>
        <v>#NUM!</v>
      </c>
      <c r="X31">
        <f t="shared" si="41"/>
        <v>61.570799515387513</v>
      </c>
      <c r="Y31">
        <f t="shared" si="42"/>
        <v>9</v>
      </c>
      <c r="Z31">
        <f t="shared" si="43"/>
        <v>-1.5707963267948966</v>
      </c>
      <c r="AA31" t="e">
        <f t="shared" si="44"/>
        <v>#NUM!</v>
      </c>
      <c r="AB31" t="e">
        <f t="shared" si="45"/>
        <v>#NUM!</v>
      </c>
      <c r="AC31" t="e">
        <f t="shared" si="46"/>
        <v>#NUM!</v>
      </c>
      <c r="AE31">
        <v>3.2153875902064446E-6</v>
      </c>
      <c r="AF31">
        <v>-59.999999999999922</v>
      </c>
      <c r="AH31" s="1">
        <v>25</v>
      </c>
      <c r="AI31" s="1">
        <f t="shared" si="47"/>
        <v>0</v>
      </c>
      <c r="AJ31" s="1">
        <f t="shared" si="48"/>
        <v>0</v>
      </c>
      <c r="AK31" s="2" t="e">
        <f t="shared" si="49"/>
        <v>#NUM!</v>
      </c>
      <c r="AL31" s="2" t="e">
        <f t="shared" si="50"/>
        <v>#NUM!</v>
      </c>
      <c r="AY31">
        <v>-9</v>
      </c>
      <c r="BC31">
        <v>0</v>
      </c>
    </row>
    <row r="32" spans="1:55" x14ac:dyDescent="0.25">
      <c r="A32">
        <v>26</v>
      </c>
      <c r="B32" t="e">
        <f t="shared" si="23"/>
        <v>#NUM!</v>
      </c>
      <c r="C32" t="e">
        <f t="shared" si="24"/>
        <v>#NUM!</v>
      </c>
      <c r="D32" t="e">
        <f t="shared" si="25"/>
        <v>#NUM!</v>
      </c>
      <c r="E32" t="e">
        <f t="shared" si="26"/>
        <v>#NUM!</v>
      </c>
      <c r="F32" t="e">
        <f t="shared" si="27"/>
        <v>#NUM!</v>
      </c>
      <c r="G32" t="e">
        <f t="shared" si="28"/>
        <v>#NUM!</v>
      </c>
      <c r="H32" t="e">
        <f t="shared" si="29"/>
        <v>#NUM!</v>
      </c>
      <c r="J32" t="e">
        <f t="shared" si="30"/>
        <v>#NUM!</v>
      </c>
      <c r="K32" t="e">
        <f t="shared" si="31"/>
        <v>#NUM!</v>
      </c>
      <c r="L32" t="e">
        <f t="shared" si="32"/>
        <v>#NUM!</v>
      </c>
      <c r="M32" t="e">
        <f t="shared" si="33"/>
        <v>#NUM!</v>
      </c>
      <c r="N32" t="e">
        <f t="shared" si="34"/>
        <v>#NUM!</v>
      </c>
      <c r="O32" t="e">
        <f t="shared" si="35"/>
        <v>#NUM!</v>
      </c>
      <c r="P32" t="e">
        <f t="shared" si="36"/>
        <v>#NUM!</v>
      </c>
      <c r="Q32" t="e">
        <f t="shared" si="37"/>
        <v>#NUM!</v>
      </c>
      <c r="R32" t="e">
        <f t="shared" si="38"/>
        <v>#NUM!</v>
      </c>
      <c r="S32" t="e">
        <f t="shared" si="39"/>
        <v>#NUM!</v>
      </c>
      <c r="W32" t="e">
        <f t="shared" si="40"/>
        <v>#NUM!</v>
      </c>
      <c r="X32">
        <f t="shared" si="41"/>
        <v>61.570799515387513</v>
      </c>
      <c r="Y32">
        <f t="shared" si="42"/>
        <v>9</v>
      </c>
      <c r="Z32">
        <f t="shared" si="43"/>
        <v>-1.5707963267948966</v>
      </c>
      <c r="AA32" t="e">
        <f t="shared" si="44"/>
        <v>#NUM!</v>
      </c>
      <c r="AB32" t="e">
        <f t="shared" si="45"/>
        <v>#NUM!</v>
      </c>
      <c r="AC32" t="e">
        <f t="shared" si="46"/>
        <v>#NUM!</v>
      </c>
      <c r="AE32">
        <v>3.2153875902064446E-6</v>
      </c>
      <c r="AF32">
        <v>-59.999999999999922</v>
      </c>
      <c r="AH32" s="1">
        <v>26</v>
      </c>
      <c r="AI32" s="1">
        <f t="shared" si="47"/>
        <v>0</v>
      </c>
      <c r="AJ32" s="1">
        <f t="shared" si="48"/>
        <v>0</v>
      </c>
      <c r="AK32" s="2" t="e">
        <f t="shared" si="49"/>
        <v>#NUM!</v>
      </c>
      <c r="AL32" s="2" t="e">
        <f t="shared" si="50"/>
        <v>#NUM!</v>
      </c>
      <c r="AY32">
        <v>-40.435181690601752</v>
      </c>
      <c r="BC32">
        <v>-5.9857624475797673</v>
      </c>
    </row>
    <row r="33" spans="1:57" x14ac:dyDescent="0.25">
      <c r="A33">
        <v>27</v>
      </c>
      <c r="B33" t="e">
        <f t="shared" si="23"/>
        <v>#NUM!</v>
      </c>
      <c r="C33" t="e">
        <f t="shared" si="24"/>
        <v>#NUM!</v>
      </c>
      <c r="D33" t="e">
        <f t="shared" si="25"/>
        <v>#NUM!</v>
      </c>
      <c r="E33" t="e">
        <f t="shared" si="26"/>
        <v>#NUM!</v>
      </c>
      <c r="F33" t="e">
        <f t="shared" si="27"/>
        <v>#NUM!</v>
      </c>
      <c r="G33" t="e">
        <f t="shared" si="28"/>
        <v>#NUM!</v>
      </c>
      <c r="H33" t="e">
        <f t="shared" si="29"/>
        <v>#NUM!</v>
      </c>
      <c r="J33" t="e">
        <f t="shared" si="30"/>
        <v>#NUM!</v>
      </c>
      <c r="K33" t="e">
        <f t="shared" si="31"/>
        <v>#NUM!</v>
      </c>
      <c r="L33" t="e">
        <f t="shared" si="32"/>
        <v>#NUM!</v>
      </c>
      <c r="M33" t="e">
        <f t="shared" si="33"/>
        <v>#NUM!</v>
      </c>
      <c r="N33" t="e">
        <f t="shared" si="34"/>
        <v>#NUM!</v>
      </c>
      <c r="O33" t="e">
        <f t="shared" si="35"/>
        <v>#NUM!</v>
      </c>
      <c r="P33" t="e">
        <f t="shared" si="36"/>
        <v>#NUM!</v>
      </c>
      <c r="Q33" t="e">
        <f t="shared" si="37"/>
        <v>#NUM!</v>
      </c>
      <c r="R33" t="e">
        <f t="shared" si="38"/>
        <v>#NUM!</v>
      </c>
      <c r="S33" t="e">
        <f t="shared" si="39"/>
        <v>#NUM!</v>
      </c>
      <c r="W33" t="e">
        <f t="shared" si="40"/>
        <v>#NUM!</v>
      </c>
      <c r="X33">
        <f t="shared" si="41"/>
        <v>61.570799515387513</v>
      </c>
      <c r="Y33">
        <f t="shared" si="42"/>
        <v>9</v>
      </c>
      <c r="Z33">
        <f t="shared" si="43"/>
        <v>-1.5707963267948966</v>
      </c>
      <c r="AA33" t="e">
        <f t="shared" si="44"/>
        <v>#NUM!</v>
      </c>
      <c r="AB33" t="e">
        <f t="shared" si="45"/>
        <v>#NUM!</v>
      </c>
      <c r="AC33" t="e">
        <f t="shared" si="46"/>
        <v>#NUM!</v>
      </c>
      <c r="AE33">
        <v>3.2153875902064446E-6</v>
      </c>
      <c r="AF33">
        <v>-59.999999999999922</v>
      </c>
      <c r="AH33" s="1">
        <v>27</v>
      </c>
      <c r="AI33" s="1">
        <f t="shared" si="47"/>
        <v>0</v>
      </c>
      <c r="AJ33" s="1">
        <f t="shared" si="48"/>
        <v>0</v>
      </c>
      <c r="AK33" s="2" t="e">
        <f t="shared" si="49"/>
        <v>#NUM!</v>
      </c>
      <c r="AL33" s="2" t="e">
        <f t="shared" si="50"/>
        <v>#NUM!</v>
      </c>
      <c r="AY33">
        <v>-42</v>
      </c>
      <c r="BC33">
        <v>80</v>
      </c>
    </row>
    <row r="34" spans="1:57" x14ac:dyDescent="0.25">
      <c r="A34">
        <v>28</v>
      </c>
      <c r="B34" t="e">
        <f t="shared" si="23"/>
        <v>#NUM!</v>
      </c>
      <c r="C34" t="e">
        <f t="shared" si="24"/>
        <v>#NUM!</v>
      </c>
      <c r="D34" t="e">
        <f t="shared" si="25"/>
        <v>#NUM!</v>
      </c>
      <c r="E34" t="e">
        <f t="shared" si="26"/>
        <v>#NUM!</v>
      </c>
      <c r="F34" t="e">
        <f t="shared" si="27"/>
        <v>#NUM!</v>
      </c>
      <c r="G34" t="e">
        <f t="shared" si="28"/>
        <v>#NUM!</v>
      </c>
      <c r="H34" t="e">
        <f t="shared" si="29"/>
        <v>#NUM!</v>
      </c>
      <c r="J34" t="e">
        <f t="shared" si="30"/>
        <v>#NUM!</v>
      </c>
      <c r="K34" t="e">
        <f t="shared" si="31"/>
        <v>#NUM!</v>
      </c>
      <c r="L34" t="e">
        <f t="shared" si="32"/>
        <v>#NUM!</v>
      </c>
      <c r="M34" t="e">
        <f t="shared" si="33"/>
        <v>#NUM!</v>
      </c>
      <c r="N34" t="e">
        <f t="shared" si="34"/>
        <v>#NUM!</v>
      </c>
      <c r="O34" t="e">
        <f t="shared" si="35"/>
        <v>#NUM!</v>
      </c>
      <c r="P34" t="e">
        <f t="shared" si="36"/>
        <v>#NUM!</v>
      </c>
      <c r="Q34" t="e">
        <f t="shared" si="37"/>
        <v>#NUM!</v>
      </c>
      <c r="R34" t="e">
        <f t="shared" si="38"/>
        <v>#NUM!</v>
      </c>
      <c r="S34" t="e">
        <f t="shared" si="39"/>
        <v>#NUM!</v>
      </c>
      <c r="W34" t="e">
        <f t="shared" si="40"/>
        <v>#NUM!</v>
      </c>
      <c r="X34">
        <f t="shared" si="41"/>
        <v>61.570799515387513</v>
      </c>
      <c r="Y34">
        <f t="shared" si="42"/>
        <v>9</v>
      </c>
      <c r="Z34">
        <f t="shared" si="43"/>
        <v>-1.5707963267948966</v>
      </c>
      <c r="AA34" t="e">
        <f t="shared" si="44"/>
        <v>#NUM!</v>
      </c>
      <c r="AB34" t="e">
        <f t="shared" si="45"/>
        <v>#NUM!</v>
      </c>
      <c r="AC34" t="e">
        <f t="shared" si="46"/>
        <v>#NUM!</v>
      </c>
      <c r="AE34">
        <v>3.2153875902064446E-6</v>
      </c>
      <c r="AF34">
        <v>-59.999999999999922</v>
      </c>
      <c r="AH34" s="1">
        <v>28</v>
      </c>
      <c r="AI34" s="1">
        <f t="shared" si="47"/>
        <v>0</v>
      </c>
      <c r="AJ34" s="1">
        <f t="shared" si="48"/>
        <v>0</v>
      </c>
      <c r="AK34" s="2" t="e">
        <f t="shared" si="49"/>
        <v>#NUM!</v>
      </c>
      <c r="AL34" s="2" t="e">
        <f t="shared" si="50"/>
        <v>#NUM!</v>
      </c>
      <c r="AY34">
        <v>-41.617893203520786</v>
      </c>
      <c r="BC34">
        <v>59.003476611646683</v>
      </c>
    </row>
    <row r="35" spans="1:57" x14ac:dyDescent="0.25">
      <c r="A35">
        <v>29</v>
      </c>
      <c r="B35" t="e">
        <f t="shared" si="23"/>
        <v>#NUM!</v>
      </c>
      <c r="C35" t="e">
        <f t="shared" si="24"/>
        <v>#NUM!</v>
      </c>
      <c r="D35" t="e">
        <f t="shared" si="25"/>
        <v>#NUM!</v>
      </c>
      <c r="E35" t="e">
        <f t="shared" si="26"/>
        <v>#NUM!</v>
      </c>
      <c r="F35" t="e">
        <f t="shared" si="27"/>
        <v>#NUM!</v>
      </c>
      <c r="G35" t="e">
        <f t="shared" si="28"/>
        <v>#NUM!</v>
      </c>
      <c r="H35" t="e">
        <f t="shared" si="29"/>
        <v>#NUM!</v>
      </c>
      <c r="J35" t="e">
        <f t="shared" si="30"/>
        <v>#NUM!</v>
      </c>
      <c r="K35" t="e">
        <f t="shared" si="31"/>
        <v>#NUM!</v>
      </c>
      <c r="L35" t="e">
        <f t="shared" si="32"/>
        <v>#NUM!</v>
      </c>
      <c r="M35" t="e">
        <f t="shared" si="33"/>
        <v>#NUM!</v>
      </c>
      <c r="N35" t="e">
        <f t="shared" si="34"/>
        <v>#NUM!</v>
      </c>
      <c r="O35" t="e">
        <f t="shared" si="35"/>
        <v>#NUM!</v>
      </c>
      <c r="P35" t="e">
        <f t="shared" si="36"/>
        <v>#NUM!</v>
      </c>
      <c r="Q35" t="e">
        <f t="shared" si="37"/>
        <v>#NUM!</v>
      </c>
      <c r="R35" t="e">
        <f t="shared" si="38"/>
        <v>#NUM!</v>
      </c>
      <c r="S35" t="e">
        <f t="shared" si="39"/>
        <v>#NUM!</v>
      </c>
      <c r="W35" t="e">
        <f t="shared" si="40"/>
        <v>#NUM!</v>
      </c>
      <c r="X35">
        <f t="shared" si="41"/>
        <v>61.570799515387513</v>
      </c>
      <c r="Y35">
        <f t="shared" si="42"/>
        <v>9</v>
      </c>
      <c r="Z35">
        <f t="shared" si="43"/>
        <v>-1.5707963267948966</v>
      </c>
      <c r="AA35" t="e">
        <f t="shared" si="44"/>
        <v>#NUM!</v>
      </c>
      <c r="AB35" t="e">
        <f t="shared" si="45"/>
        <v>#NUM!</v>
      </c>
      <c r="AC35" t="e">
        <f t="shared" si="46"/>
        <v>#NUM!</v>
      </c>
      <c r="AE35">
        <v>3.2153875902064446E-6</v>
      </c>
      <c r="AF35">
        <v>-59.999999999999922</v>
      </c>
      <c r="AH35" s="1">
        <v>29</v>
      </c>
      <c r="AI35" s="1">
        <f t="shared" si="47"/>
        <v>0</v>
      </c>
      <c r="AJ35" s="1">
        <f t="shared" si="48"/>
        <v>0</v>
      </c>
      <c r="AK35" s="2" t="e">
        <f t="shared" si="49"/>
        <v>#NUM!</v>
      </c>
      <c r="AL35" s="2" t="e">
        <f t="shared" si="50"/>
        <v>#NUM!</v>
      </c>
      <c r="AY35">
        <v>17.029172929078673</v>
      </c>
      <c r="BC35">
        <v>30.97631969868193</v>
      </c>
    </row>
    <row r="36" spans="1:57" x14ac:dyDescent="0.25">
      <c r="A36">
        <v>30</v>
      </c>
      <c r="B36" t="e">
        <f t="shared" si="23"/>
        <v>#NUM!</v>
      </c>
      <c r="C36" t="e">
        <f t="shared" si="24"/>
        <v>#NUM!</v>
      </c>
      <c r="D36" t="e">
        <f t="shared" si="25"/>
        <v>#NUM!</v>
      </c>
      <c r="E36" t="e">
        <f t="shared" si="26"/>
        <v>#NUM!</v>
      </c>
      <c r="F36" t="e">
        <f t="shared" si="27"/>
        <v>#NUM!</v>
      </c>
      <c r="G36" t="e">
        <f t="shared" si="28"/>
        <v>#NUM!</v>
      </c>
      <c r="H36" t="e">
        <f t="shared" si="29"/>
        <v>#NUM!</v>
      </c>
      <c r="J36" t="e">
        <f t="shared" si="30"/>
        <v>#NUM!</v>
      </c>
      <c r="K36" t="e">
        <f t="shared" si="31"/>
        <v>#NUM!</v>
      </c>
      <c r="L36" t="e">
        <f t="shared" si="32"/>
        <v>#NUM!</v>
      </c>
      <c r="M36" t="e">
        <f t="shared" si="33"/>
        <v>#NUM!</v>
      </c>
      <c r="N36" t="e">
        <f t="shared" si="34"/>
        <v>#NUM!</v>
      </c>
      <c r="O36" t="e">
        <f t="shared" si="35"/>
        <v>#NUM!</v>
      </c>
      <c r="P36" t="e">
        <f t="shared" si="36"/>
        <v>#NUM!</v>
      </c>
      <c r="Q36" t="e">
        <f t="shared" si="37"/>
        <v>#NUM!</v>
      </c>
      <c r="R36" t="e">
        <f t="shared" si="38"/>
        <v>#NUM!</v>
      </c>
      <c r="S36" t="e">
        <f t="shared" si="39"/>
        <v>#NUM!</v>
      </c>
      <c r="W36" t="e">
        <f t="shared" si="40"/>
        <v>#NUM!</v>
      </c>
      <c r="X36">
        <f t="shared" si="41"/>
        <v>61.570799515387513</v>
      </c>
      <c r="Y36">
        <f t="shared" si="42"/>
        <v>9</v>
      </c>
      <c r="Z36">
        <f t="shared" si="43"/>
        <v>-1.5707963267948966</v>
      </c>
      <c r="AA36" t="e">
        <f t="shared" si="44"/>
        <v>#NUM!</v>
      </c>
      <c r="AB36" t="e">
        <f t="shared" si="45"/>
        <v>#NUM!</v>
      </c>
      <c r="AC36" t="e">
        <f t="shared" si="46"/>
        <v>#NUM!</v>
      </c>
      <c r="AE36">
        <v>3.2153875902064446E-6</v>
      </c>
      <c r="AF36">
        <v>-59.999999999999922</v>
      </c>
      <c r="AH36" s="1">
        <v>30</v>
      </c>
      <c r="AI36" s="1">
        <f t="shared" si="47"/>
        <v>0</v>
      </c>
      <c r="AJ36" s="1">
        <f t="shared" si="48"/>
        <v>0</v>
      </c>
      <c r="AK36" s="2" t="e">
        <f t="shared" si="49"/>
        <v>#NUM!</v>
      </c>
      <c r="AL36" s="2" t="e">
        <f t="shared" si="50"/>
        <v>#NUM!</v>
      </c>
      <c r="AY36">
        <v>9</v>
      </c>
      <c r="BC36">
        <v>0</v>
      </c>
    </row>
    <row r="37" spans="1:57" x14ac:dyDescent="0.25">
      <c r="A37">
        <v>31</v>
      </c>
      <c r="B37" t="e">
        <f t="shared" si="23"/>
        <v>#NUM!</v>
      </c>
      <c r="C37" t="e">
        <f t="shared" si="24"/>
        <v>#NUM!</v>
      </c>
      <c r="D37" t="e">
        <f t="shared" si="25"/>
        <v>#NUM!</v>
      </c>
      <c r="E37" t="e">
        <f t="shared" si="26"/>
        <v>#NUM!</v>
      </c>
      <c r="F37" t="e">
        <f t="shared" si="27"/>
        <v>#NUM!</v>
      </c>
      <c r="G37" t="e">
        <f t="shared" si="28"/>
        <v>#NUM!</v>
      </c>
      <c r="H37" t="e">
        <f t="shared" si="29"/>
        <v>#NUM!</v>
      </c>
      <c r="J37" t="e">
        <f t="shared" si="30"/>
        <v>#NUM!</v>
      </c>
      <c r="K37" t="e">
        <f t="shared" si="31"/>
        <v>#NUM!</v>
      </c>
      <c r="L37" t="e">
        <f t="shared" si="32"/>
        <v>#NUM!</v>
      </c>
      <c r="M37" t="e">
        <f t="shared" si="33"/>
        <v>#NUM!</v>
      </c>
      <c r="N37" t="e">
        <f t="shared" si="34"/>
        <v>#NUM!</v>
      </c>
      <c r="O37" t="e">
        <f t="shared" si="35"/>
        <v>#NUM!</v>
      </c>
      <c r="P37" t="e">
        <f t="shared" si="36"/>
        <v>#NUM!</v>
      </c>
      <c r="Q37" t="e">
        <f t="shared" si="37"/>
        <v>#NUM!</v>
      </c>
      <c r="R37" t="e">
        <f t="shared" si="38"/>
        <v>#NUM!</v>
      </c>
      <c r="S37" t="e">
        <f t="shared" si="39"/>
        <v>#NUM!</v>
      </c>
      <c r="W37" t="e">
        <f t="shared" si="40"/>
        <v>#NUM!</v>
      </c>
      <c r="X37">
        <f t="shared" si="41"/>
        <v>61.570799515387513</v>
      </c>
      <c r="Y37">
        <f t="shared" si="42"/>
        <v>9</v>
      </c>
      <c r="Z37">
        <f t="shared" si="43"/>
        <v>-1.5707963267948966</v>
      </c>
      <c r="AA37" t="e">
        <f t="shared" si="44"/>
        <v>#NUM!</v>
      </c>
      <c r="AB37" t="e">
        <f t="shared" si="45"/>
        <v>#NUM!</v>
      </c>
      <c r="AC37" t="e">
        <f t="shared" si="46"/>
        <v>#NUM!</v>
      </c>
      <c r="AE37">
        <v>3.2153875902064446E-6</v>
      </c>
      <c r="AF37">
        <v>-59.999999999999922</v>
      </c>
      <c r="AH37" s="1">
        <v>31</v>
      </c>
      <c r="AI37" s="1">
        <f t="shared" si="47"/>
        <v>0</v>
      </c>
      <c r="AJ37" s="1">
        <f t="shared" si="48"/>
        <v>0</v>
      </c>
      <c r="AK37" s="2" t="e">
        <f t="shared" si="49"/>
        <v>#NUM!</v>
      </c>
      <c r="AL37" s="2" t="e">
        <f t="shared" si="50"/>
        <v>#NUM!</v>
      </c>
      <c r="AY37">
        <v>-9</v>
      </c>
      <c r="BD37">
        <v>0</v>
      </c>
    </row>
    <row r="38" spans="1:57" x14ac:dyDescent="0.25">
      <c r="A38">
        <v>32</v>
      </c>
      <c r="B38" t="e">
        <f t="shared" si="23"/>
        <v>#NUM!</v>
      </c>
      <c r="C38" t="e">
        <f t="shared" si="24"/>
        <v>#NUM!</v>
      </c>
      <c r="D38" t="e">
        <f t="shared" si="25"/>
        <v>#NUM!</v>
      </c>
      <c r="E38" t="e">
        <f t="shared" si="26"/>
        <v>#NUM!</v>
      </c>
      <c r="F38" t="e">
        <f t="shared" si="27"/>
        <v>#NUM!</v>
      </c>
      <c r="G38" t="e">
        <f t="shared" si="28"/>
        <v>#NUM!</v>
      </c>
      <c r="H38" t="e">
        <f t="shared" si="29"/>
        <v>#NUM!</v>
      </c>
      <c r="J38" t="e">
        <f t="shared" si="30"/>
        <v>#NUM!</v>
      </c>
      <c r="K38" t="e">
        <f t="shared" si="31"/>
        <v>#NUM!</v>
      </c>
      <c r="L38" t="e">
        <f t="shared" si="32"/>
        <v>#NUM!</v>
      </c>
      <c r="M38" t="e">
        <f t="shared" si="33"/>
        <v>#NUM!</v>
      </c>
      <c r="N38" t="e">
        <f t="shared" si="34"/>
        <v>#NUM!</v>
      </c>
      <c r="O38" t="e">
        <f t="shared" si="35"/>
        <v>#NUM!</v>
      </c>
      <c r="P38" t="e">
        <f t="shared" si="36"/>
        <v>#NUM!</v>
      </c>
      <c r="Q38" t="e">
        <f t="shared" si="37"/>
        <v>#NUM!</v>
      </c>
      <c r="R38" t="e">
        <f t="shared" si="38"/>
        <v>#NUM!</v>
      </c>
      <c r="S38" t="e">
        <f t="shared" si="39"/>
        <v>#NUM!</v>
      </c>
      <c r="W38" t="e">
        <f t="shared" si="40"/>
        <v>#NUM!</v>
      </c>
      <c r="X38">
        <f t="shared" si="41"/>
        <v>61.570799515387513</v>
      </c>
      <c r="Y38">
        <f t="shared" si="42"/>
        <v>9</v>
      </c>
      <c r="Z38">
        <f t="shared" si="43"/>
        <v>-1.5707963267948966</v>
      </c>
      <c r="AA38" t="e">
        <f t="shared" si="44"/>
        <v>#NUM!</v>
      </c>
      <c r="AB38" t="e">
        <f t="shared" si="45"/>
        <v>#NUM!</v>
      </c>
      <c r="AC38" t="e">
        <f t="shared" si="46"/>
        <v>#NUM!</v>
      </c>
      <c r="AE38">
        <v>3.2153875902064446E-6</v>
      </c>
      <c r="AF38">
        <v>-59.999999999999922</v>
      </c>
      <c r="AH38" s="1">
        <v>32</v>
      </c>
      <c r="AI38" s="1">
        <f t="shared" si="47"/>
        <v>0</v>
      </c>
      <c r="AJ38" s="1">
        <f t="shared" si="48"/>
        <v>0</v>
      </c>
      <c r="AK38" s="2" t="e">
        <f t="shared" si="49"/>
        <v>#NUM!</v>
      </c>
      <c r="AL38" s="2" t="e">
        <f t="shared" si="50"/>
        <v>#NUM!</v>
      </c>
      <c r="AY38">
        <v>-40.595382389189616</v>
      </c>
      <c r="BD38">
        <v>-5.0726533176323665</v>
      </c>
    </row>
    <row r="39" spans="1:57" x14ac:dyDescent="0.25">
      <c r="B39" t="e">
        <f t="shared" si="23"/>
        <v>#NUM!</v>
      </c>
      <c r="C39" t="e">
        <f t="shared" si="24"/>
        <v>#NUM!</v>
      </c>
      <c r="D39" t="e">
        <f t="shared" si="25"/>
        <v>#NUM!</v>
      </c>
      <c r="E39" t="e">
        <f t="shared" si="26"/>
        <v>#NUM!</v>
      </c>
      <c r="F39" t="e">
        <f t="shared" si="27"/>
        <v>#NUM!</v>
      </c>
      <c r="G39" t="e">
        <f t="shared" si="28"/>
        <v>#NUM!</v>
      </c>
      <c r="H39" t="e">
        <f t="shared" si="29"/>
        <v>#NUM!</v>
      </c>
      <c r="J39" t="e">
        <f t="shared" si="30"/>
        <v>#NUM!</v>
      </c>
      <c r="K39" t="e">
        <f t="shared" si="31"/>
        <v>#NUM!</v>
      </c>
      <c r="L39" t="e">
        <f t="shared" si="32"/>
        <v>#NUM!</v>
      </c>
      <c r="M39" t="e">
        <f t="shared" si="33"/>
        <v>#NUM!</v>
      </c>
      <c r="N39" t="e">
        <f t="shared" si="34"/>
        <v>#NUM!</v>
      </c>
      <c r="O39" t="e">
        <f t="shared" si="35"/>
        <v>#NUM!</v>
      </c>
      <c r="P39" t="e">
        <f t="shared" si="36"/>
        <v>#NUM!</v>
      </c>
      <c r="Q39" t="e">
        <f t="shared" si="37"/>
        <v>#NUM!</v>
      </c>
      <c r="R39" t="e">
        <f t="shared" si="38"/>
        <v>#NUM!</v>
      </c>
      <c r="S39" t="e">
        <f t="shared" si="39"/>
        <v>#NUM!</v>
      </c>
      <c r="W39" t="e">
        <f t="shared" si="40"/>
        <v>#NUM!</v>
      </c>
      <c r="X39">
        <f t="shared" si="41"/>
        <v>61.570799515387513</v>
      </c>
      <c r="Y39">
        <f t="shared" si="42"/>
        <v>9</v>
      </c>
      <c r="Z39">
        <f t="shared" si="43"/>
        <v>-1.5707963267948966</v>
      </c>
      <c r="AA39" t="e">
        <f t="shared" si="44"/>
        <v>#NUM!</v>
      </c>
      <c r="AB39" t="e">
        <f t="shared" si="45"/>
        <v>#NUM!</v>
      </c>
      <c r="AC39" t="e">
        <f t="shared" si="46"/>
        <v>#NUM!</v>
      </c>
      <c r="AE39">
        <v>3.2153875902064446E-6</v>
      </c>
      <c r="AF39">
        <v>-59.999999999999922</v>
      </c>
      <c r="AH39" s="1">
        <v>33</v>
      </c>
      <c r="AI39" s="1">
        <f t="shared" si="47"/>
        <v>0</v>
      </c>
      <c r="AJ39" s="1">
        <f t="shared" si="48"/>
        <v>0</v>
      </c>
      <c r="AK39" s="2" t="e">
        <f t="shared" si="49"/>
        <v>#NUM!</v>
      </c>
      <c r="AL39" s="2" t="e">
        <f t="shared" si="50"/>
        <v>#NUM!</v>
      </c>
      <c r="AY39">
        <v>-28</v>
      </c>
      <c r="BD39">
        <v>80</v>
      </c>
    </row>
    <row r="40" spans="1:57" x14ac:dyDescent="0.25">
      <c r="B40" t="e">
        <f t="shared" si="23"/>
        <v>#NUM!</v>
      </c>
      <c r="C40" t="e">
        <f t="shared" si="24"/>
        <v>#NUM!</v>
      </c>
      <c r="D40" t="e">
        <f t="shared" si="25"/>
        <v>#NUM!</v>
      </c>
      <c r="E40" t="e">
        <f t="shared" si="26"/>
        <v>#NUM!</v>
      </c>
      <c r="F40" t="e">
        <f t="shared" si="27"/>
        <v>#NUM!</v>
      </c>
      <c r="G40" t="e">
        <f t="shared" si="28"/>
        <v>#NUM!</v>
      </c>
      <c r="H40" t="e">
        <f t="shared" si="29"/>
        <v>#NUM!</v>
      </c>
      <c r="J40" t="e">
        <f t="shared" si="30"/>
        <v>#NUM!</v>
      </c>
      <c r="K40" t="e">
        <f t="shared" si="31"/>
        <v>#NUM!</v>
      </c>
      <c r="L40" t="e">
        <f t="shared" si="32"/>
        <v>#NUM!</v>
      </c>
      <c r="M40" t="e">
        <f t="shared" si="33"/>
        <v>#NUM!</v>
      </c>
      <c r="N40" t="e">
        <f t="shared" si="34"/>
        <v>#NUM!</v>
      </c>
      <c r="O40" t="e">
        <f t="shared" si="35"/>
        <v>#NUM!</v>
      </c>
      <c r="P40" t="e">
        <f t="shared" si="36"/>
        <v>#NUM!</v>
      </c>
      <c r="Q40" t="e">
        <f t="shared" si="37"/>
        <v>#NUM!</v>
      </c>
      <c r="R40" t="e">
        <f t="shared" si="38"/>
        <v>#NUM!</v>
      </c>
      <c r="S40" t="e">
        <f t="shared" si="39"/>
        <v>#NUM!</v>
      </c>
      <c r="W40" t="e">
        <f t="shared" si="40"/>
        <v>#NUM!</v>
      </c>
      <c r="X40">
        <f t="shared" si="41"/>
        <v>61.570799515387513</v>
      </c>
      <c r="Y40">
        <f t="shared" si="42"/>
        <v>9</v>
      </c>
      <c r="Z40">
        <f t="shared" si="43"/>
        <v>-1.5707963267948966</v>
      </c>
      <c r="AA40" t="e">
        <f t="shared" si="44"/>
        <v>#NUM!</v>
      </c>
      <c r="AB40" t="e">
        <f t="shared" si="45"/>
        <v>#NUM!</v>
      </c>
      <c r="AC40" t="e">
        <f t="shared" si="46"/>
        <v>#NUM!</v>
      </c>
      <c r="AE40">
        <v>3.2153875902064446E-6</v>
      </c>
      <c r="AF40">
        <v>-59.999999999999922</v>
      </c>
      <c r="AH40" s="1">
        <v>34</v>
      </c>
      <c r="AI40" s="1">
        <f t="shared" si="47"/>
        <v>0</v>
      </c>
      <c r="AJ40" s="1">
        <f t="shared" si="48"/>
        <v>0</v>
      </c>
      <c r="AK40" s="2" t="e">
        <f t="shared" si="49"/>
        <v>#NUM!</v>
      </c>
      <c r="AL40" s="2" t="e">
        <f t="shared" si="50"/>
        <v>#NUM!</v>
      </c>
      <c r="AY40">
        <v>-31.075616629919871</v>
      </c>
      <c r="BD40">
        <v>59.22644512012225</v>
      </c>
    </row>
    <row r="41" spans="1:57" x14ac:dyDescent="0.25">
      <c r="B41" t="e">
        <f t="shared" si="23"/>
        <v>#NUM!</v>
      </c>
      <c r="C41" t="e">
        <f t="shared" si="24"/>
        <v>#NUM!</v>
      </c>
      <c r="D41" t="e">
        <f t="shared" si="25"/>
        <v>#NUM!</v>
      </c>
      <c r="E41" t="e">
        <f t="shared" si="26"/>
        <v>#NUM!</v>
      </c>
      <c r="F41" t="e">
        <f t="shared" si="27"/>
        <v>#NUM!</v>
      </c>
      <c r="G41" t="e">
        <f t="shared" si="28"/>
        <v>#NUM!</v>
      </c>
      <c r="H41" t="e">
        <f t="shared" si="29"/>
        <v>#NUM!</v>
      </c>
      <c r="J41" t="e">
        <f t="shared" si="30"/>
        <v>#NUM!</v>
      </c>
      <c r="K41" t="e">
        <f t="shared" si="31"/>
        <v>#NUM!</v>
      </c>
      <c r="L41" t="e">
        <f t="shared" si="32"/>
        <v>#NUM!</v>
      </c>
      <c r="M41" t="e">
        <f t="shared" si="33"/>
        <v>#NUM!</v>
      </c>
      <c r="N41" t="e">
        <f t="shared" si="34"/>
        <v>#NUM!</v>
      </c>
      <c r="O41" t="e">
        <f t="shared" si="35"/>
        <v>#NUM!</v>
      </c>
      <c r="P41" t="e">
        <f t="shared" si="36"/>
        <v>#NUM!</v>
      </c>
      <c r="Q41" t="e">
        <f t="shared" si="37"/>
        <v>#NUM!</v>
      </c>
      <c r="R41" t="e">
        <f t="shared" si="38"/>
        <v>#NUM!</v>
      </c>
      <c r="S41" t="e">
        <f t="shared" si="39"/>
        <v>#NUM!</v>
      </c>
      <c r="W41" t="e">
        <f t="shared" si="40"/>
        <v>#NUM!</v>
      </c>
      <c r="X41">
        <f t="shared" si="41"/>
        <v>61.570799515387513</v>
      </c>
      <c r="Y41">
        <f t="shared" si="42"/>
        <v>9</v>
      </c>
      <c r="Z41">
        <f t="shared" si="43"/>
        <v>-1.5707963267948966</v>
      </c>
      <c r="AA41" t="e">
        <f t="shared" si="44"/>
        <v>#NUM!</v>
      </c>
      <c r="AB41" t="e">
        <f t="shared" si="45"/>
        <v>#NUM!</v>
      </c>
      <c r="AC41" t="e">
        <f t="shared" si="46"/>
        <v>#NUM!</v>
      </c>
      <c r="AE41">
        <v>3.2153875902064446E-6</v>
      </c>
      <c r="AF41">
        <v>-59.999999999999922</v>
      </c>
      <c r="AH41" s="1">
        <v>35</v>
      </c>
      <c r="AI41" s="1">
        <f t="shared" si="47"/>
        <v>0</v>
      </c>
      <c r="AJ41" s="1">
        <f t="shared" si="48"/>
        <v>0</v>
      </c>
      <c r="AK41" s="2" t="e">
        <f t="shared" si="49"/>
        <v>#NUM!</v>
      </c>
      <c r="AL41" s="2" t="e">
        <f t="shared" si="50"/>
        <v>#NUM!</v>
      </c>
      <c r="AY41">
        <v>25.581924896199304</v>
      </c>
      <c r="BD41">
        <v>27.368590879634372</v>
      </c>
    </row>
    <row r="42" spans="1:57" x14ac:dyDescent="0.25">
      <c r="B42" t="e">
        <f t="shared" si="23"/>
        <v>#NUM!</v>
      </c>
      <c r="C42" t="e">
        <f t="shared" si="24"/>
        <v>#NUM!</v>
      </c>
      <c r="D42" t="e">
        <f t="shared" si="25"/>
        <v>#NUM!</v>
      </c>
      <c r="E42" t="e">
        <f t="shared" si="26"/>
        <v>#NUM!</v>
      </c>
      <c r="F42" t="e">
        <f t="shared" si="27"/>
        <v>#NUM!</v>
      </c>
      <c r="G42" t="e">
        <f t="shared" si="28"/>
        <v>#NUM!</v>
      </c>
      <c r="H42" t="e">
        <f t="shared" si="29"/>
        <v>#NUM!</v>
      </c>
      <c r="J42" t="e">
        <f t="shared" si="30"/>
        <v>#NUM!</v>
      </c>
      <c r="K42" t="e">
        <f t="shared" si="31"/>
        <v>#NUM!</v>
      </c>
      <c r="L42" t="e">
        <f t="shared" si="32"/>
        <v>#NUM!</v>
      </c>
      <c r="M42" t="e">
        <f t="shared" si="33"/>
        <v>#NUM!</v>
      </c>
      <c r="N42" t="e">
        <f t="shared" si="34"/>
        <v>#NUM!</v>
      </c>
      <c r="O42" t="e">
        <f t="shared" si="35"/>
        <v>#NUM!</v>
      </c>
      <c r="P42" t="e">
        <f t="shared" si="36"/>
        <v>#NUM!</v>
      </c>
      <c r="Q42" t="e">
        <f t="shared" si="37"/>
        <v>#NUM!</v>
      </c>
      <c r="R42" t="e">
        <f t="shared" si="38"/>
        <v>#NUM!</v>
      </c>
      <c r="S42" t="e">
        <f t="shared" si="39"/>
        <v>#NUM!</v>
      </c>
      <c r="W42" t="e">
        <f t="shared" si="40"/>
        <v>#NUM!</v>
      </c>
      <c r="X42">
        <f t="shared" si="41"/>
        <v>61.570799515387513</v>
      </c>
      <c r="Y42">
        <f t="shared" si="42"/>
        <v>9</v>
      </c>
      <c r="Z42">
        <f t="shared" si="43"/>
        <v>-1.5707963267948966</v>
      </c>
      <c r="AA42" t="e">
        <f t="shared" si="44"/>
        <v>#NUM!</v>
      </c>
      <c r="AB42" t="e">
        <f t="shared" si="45"/>
        <v>#NUM!</v>
      </c>
      <c r="AC42" t="e">
        <f t="shared" si="46"/>
        <v>#NUM!</v>
      </c>
      <c r="AE42">
        <v>3.2153875902064446E-6</v>
      </c>
      <c r="AF42">
        <v>-59.999999999999922</v>
      </c>
      <c r="AH42" s="1">
        <v>36</v>
      </c>
      <c r="AI42" s="1">
        <f t="shared" si="47"/>
        <v>0</v>
      </c>
      <c r="AJ42" s="1">
        <f t="shared" si="48"/>
        <v>0</v>
      </c>
      <c r="AK42" s="2" t="e">
        <f t="shared" si="49"/>
        <v>#NUM!</v>
      </c>
      <c r="AL42" s="2" t="e">
        <f t="shared" si="50"/>
        <v>#NUM!</v>
      </c>
      <c r="AY42">
        <v>9</v>
      </c>
      <c r="BD42">
        <v>0</v>
      </c>
    </row>
    <row r="43" spans="1:57" x14ac:dyDescent="0.25">
      <c r="B43" t="e">
        <f t="shared" si="23"/>
        <v>#NUM!</v>
      </c>
      <c r="C43" t="e">
        <f t="shared" si="24"/>
        <v>#NUM!</v>
      </c>
      <c r="D43" t="e">
        <f t="shared" si="25"/>
        <v>#NUM!</v>
      </c>
      <c r="E43" t="e">
        <f t="shared" si="26"/>
        <v>#NUM!</v>
      </c>
      <c r="F43" t="e">
        <f t="shared" si="27"/>
        <v>#NUM!</v>
      </c>
      <c r="G43" t="e">
        <f t="shared" si="28"/>
        <v>#NUM!</v>
      </c>
      <c r="H43" t="e">
        <f t="shared" si="29"/>
        <v>#NUM!</v>
      </c>
      <c r="J43" t="e">
        <f t="shared" si="30"/>
        <v>#NUM!</v>
      </c>
      <c r="K43" t="e">
        <f t="shared" si="31"/>
        <v>#NUM!</v>
      </c>
      <c r="L43" t="e">
        <f t="shared" si="32"/>
        <v>#NUM!</v>
      </c>
      <c r="M43" t="e">
        <f t="shared" si="33"/>
        <v>#NUM!</v>
      </c>
      <c r="N43" t="e">
        <f t="shared" si="34"/>
        <v>#NUM!</v>
      </c>
      <c r="O43" t="e">
        <f t="shared" si="35"/>
        <v>#NUM!</v>
      </c>
      <c r="P43" t="e">
        <f t="shared" si="36"/>
        <v>#NUM!</v>
      </c>
      <c r="Q43" t="e">
        <f t="shared" si="37"/>
        <v>#NUM!</v>
      </c>
      <c r="R43" t="e">
        <f t="shared" si="38"/>
        <v>#NUM!</v>
      </c>
      <c r="S43" t="e">
        <f t="shared" si="39"/>
        <v>#NUM!</v>
      </c>
      <c r="W43" t="e">
        <f t="shared" si="40"/>
        <v>#NUM!</v>
      </c>
      <c r="X43">
        <f t="shared" si="41"/>
        <v>61.570799515387513</v>
      </c>
      <c r="Y43">
        <f t="shared" si="42"/>
        <v>9</v>
      </c>
      <c r="Z43">
        <f t="shared" si="43"/>
        <v>-1.5707963267948966</v>
      </c>
      <c r="AA43" t="e">
        <f t="shared" si="44"/>
        <v>#NUM!</v>
      </c>
      <c r="AB43" t="e">
        <f t="shared" si="45"/>
        <v>#NUM!</v>
      </c>
      <c r="AC43" t="e">
        <f t="shared" si="46"/>
        <v>#NUM!</v>
      </c>
      <c r="AE43">
        <v>3.2153875902064446E-6</v>
      </c>
      <c r="AF43">
        <v>-59.999999999999922</v>
      </c>
      <c r="AH43" s="1">
        <v>37</v>
      </c>
      <c r="AI43" s="1">
        <f t="shared" si="47"/>
        <v>0</v>
      </c>
      <c r="AJ43" s="1">
        <f t="shared" si="48"/>
        <v>0</v>
      </c>
      <c r="AK43" s="2" t="e">
        <f t="shared" si="49"/>
        <v>#NUM!</v>
      </c>
      <c r="AL43" s="2" t="e">
        <f t="shared" si="50"/>
        <v>#NUM!</v>
      </c>
      <c r="AY43">
        <v>-9</v>
      </c>
      <c r="BE43">
        <v>0</v>
      </c>
    </row>
    <row r="44" spans="1:57" x14ac:dyDescent="0.25">
      <c r="B44" t="e">
        <f t="shared" si="23"/>
        <v>#NUM!</v>
      </c>
      <c r="C44" t="e">
        <f t="shared" si="24"/>
        <v>#NUM!</v>
      </c>
      <c r="D44" t="e">
        <f t="shared" si="25"/>
        <v>#NUM!</v>
      </c>
      <c r="E44" t="e">
        <f t="shared" si="26"/>
        <v>#NUM!</v>
      </c>
      <c r="F44" t="e">
        <f t="shared" si="27"/>
        <v>#NUM!</v>
      </c>
      <c r="G44" t="e">
        <f t="shared" si="28"/>
        <v>#NUM!</v>
      </c>
      <c r="H44" t="e">
        <f t="shared" si="29"/>
        <v>#NUM!</v>
      </c>
      <c r="J44" t="e">
        <f t="shared" si="30"/>
        <v>#NUM!</v>
      </c>
      <c r="K44" t="e">
        <f t="shared" si="31"/>
        <v>#NUM!</v>
      </c>
      <c r="L44" t="e">
        <f t="shared" si="32"/>
        <v>#NUM!</v>
      </c>
      <c r="M44" t="e">
        <f t="shared" si="33"/>
        <v>#NUM!</v>
      </c>
      <c r="N44" t="e">
        <f t="shared" si="34"/>
        <v>#NUM!</v>
      </c>
      <c r="O44" t="e">
        <f t="shared" si="35"/>
        <v>#NUM!</v>
      </c>
      <c r="P44" t="e">
        <f t="shared" si="36"/>
        <v>#NUM!</v>
      </c>
      <c r="Q44" t="e">
        <f t="shared" si="37"/>
        <v>#NUM!</v>
      </c>
      <c r="R44" t="e">
        <f t="shared" si="38"/>
        <v>#NUM!</v>
      </c>
      <c r="S44" t="e">
        <f t="shared" si="39"/>
        <v>#NUM!</v>
      </c>
      <c r="W44" t="e">
        <f t="shared" si="40"/>
        <v>#NUM!</v>
      </c>
      <c r="X44">
        <f t="shared" si="41"/>
        <v>61.570799515387513</v>
      </c>
      <c r="Y44">
        <f t="shared" si="42"/>
        <v>9</v>
      </c>
      <c r="Z44">
        <f t="shared" si="43"/>
        <v>-1.5707963267948966</v>
      </c>
      <c r="AA44" t="e">
        <f t="shared" si="44"/>
        <v>#NUM!</v>
      </c>
      <c r="AB44" t="e">
        <f t="shared" si="45"/>
        <v>#NUM!</v>
      </c>
      <c r="AC44" t="e">
        <f t="shared" si="46"/>
        <v>#NUM!</v>
      </c>
      <c r="AE44">
        <v>3.2153875902064446E-6</v>
      </c>
      <c r="AF44">
        <v>-59.999999999999922</v>
      </c>
      <c r="AH44" s="1">
        <v>38</v>
      </c>
      <c r="AI44" s="1">
        <f t="shared" si="47"/>
        <v>0</v>
      </c>
      <c r="AJ44" s="1">
        <f t="shared" si="48"/>
        <v>0</v>
      </c>
      <c r="AK44" s="2" t="e">
        <f t="shared" si="49"/>
        <v>#NUM!</v>
      </c>
      <c r="AL44" s="2" t="e">
        <f t="shared" si="50"/>
        <v>#NUM!</v>
      </c>
      <c r="AY44">
        <v>-40.956600553448808</v>
      </c>
      <c r="BE44">
        <v>-1.6660375347858742</v>
      </c>
    </row>
    <row r="45" spans="1:57" x14ac:dyDescent="0.25">
      <c r="B45" t="e">
        <f t="shared" si="23"/>
        <v>#NUM!</v>
      </c>
      <c r="C45" t="e">
        <f t="shared" si="24"/>
        <v>#NUM!</v>
      </c>
      <c r="D45" t="e">
        <f t="shared" si="25"/>
        <v>#NUM!</v>
      </c>
      <c r="E45" t="e">
        <f t="shared" si="26"/>
        <v>#NUM!</v>
      </c>
      <c r="F45" t="e">
        <f t="shared" si="27"/>
        <v>#NUM!</v>
      </c>
      <c r="G45" t="e">
        <f t="shared" si="28"/>
        <v>#NUM!</v>
      </c>
      <c r="H45" t="e">
        <f t="shared" si="29"/>
        <v>#NUM!</v>
      </c>
      <c r="J45" t="e">
        <f t="shared" si="30"/>
        <v>#NUM!</v>
      </c>
      <c r="K45" t="e">
        <f t="shared" si="31"/>
        <v>#NUM!</v>
      </c>
      <c r="L45" t="e">
        <f t="shared" si="32"/>
        <v>#NUM!</v>
      </c>
      <c r="M45" t="e">
        <f t="shared" si="33"/>
        <v>#NUM!</v>
      </c>
      <c r="N45" t="e">
        <f t="shared" si="34"/>
        <v>#NUM!</v>
      </c>
      <c r="O45" t="e">
        <f t="shared" si="35"/>
        <v>#NUM!</v>
      </c>
      <c r="P45" t="e">
        <f t="shared" si="36"/>
        <v>#NUM!</v>
      </c>
      <c r="Q45" t="e">
        <f t="shared" si="37"/>
        <v>#NUM!</v>
      </c>
      <c r="R45" t="e">
        <f t="shared" si="38"/>
        <v>#NUM!</v>
      </c>
      <c r="S45" t="e">
        <f t="shared" si="39"/>
        <v>#NUM!</v>
      </c>
      <c r="W45" t="e">
        <f t="shared" si="40"/>
        <v>#NUM!</v>
      </c>
      <c r="X45">
        <f t="shared" si="41"/>
        <v>61.570799515387513</v>
      </c>
      <c r="Y45">
        <f t="shared" si="42"/>
        <v>9</v>
      </c>
      <c r="Z45">
        <f t="shared" si="43"/>
        <v>-1.5707963267948966</v>
      </c>
      <c r="AA45" t="e">
        <f t="shared" si="44"/>
        <v>#NUM!</v>
      </c>
      <c r="AB45" t="e">
        <f t="shared" si="45"/>
        <v>#NUM!</v>
      </c>
      <c r="AC45" t="e">
        <f t="shared" si="46"/>
        <v>#NUM!</v>
      </c>
      <c r="AE45">
        <v>3.2153875902064446E-6</v>
      </c>
      <c r="AF45">
        <v>-59.999999999999922</v>
      </c>
      <c r="AH45" s="1">
        <v>39</v>
      </c>
      <c r="AI45" s="1">
        <f t="shared" si="47"/>
        <v>0</v>
      </c>
      <c r="AJ45" s="1">
        <f t="shared" si="48"/>
        <v>0</v>
      </c>
      <c r="AK45" s="2" t="e">
        <f t="shared" si="49"/>
        <v>#NUM!</v>
      </c>
      <c r="AL45" s="2" t="e">
        <f t="shared" si="50"/>
        <v>#NUM!</v>
      </c>
      <c r="AY45">
        <v>-14</v>
      </c>
      <c r="BE45">
        <v>80</v>
      </c>
    </row>
    <row r="46" spans="1:57" x14ac:dyDescent="0.25">
      <c r="B46" t="e">
        <f t="shared" si="23"/>
        <v>#NUM!</v>
      </c>
      <c r="C46" t="e">
        <f t="shared" si="24"/>
        <v>#NUM!</v>
      </c>
      <c r="D46" t="e">
        <f t="shared" si="25"/>
        <v>#NUM!</v>
      </c>
      <c r="E46" t="e">
        <f t="shared" si="26"/>
        <v>#NUM!</v>
      </c>
      <c r="F46" t="e">
        <f t="shared" si="27"/>
        <v>#NUM!</v>
      </c>
      <c r="G46" t="e">
        <f t="shared" si="28"/>
        <v>#NUM!</v>
      </c>
      <c r="H46" t="e">
        <f t="shared" si="29"/>
        <v>#NUM!</v>
      </c>
      <c r="J46" t="e">
        <f t="shared" si="30"/>
        <v>#NUM!</v>
      </c>
      <c r="K46" t="e">
        <f t="shared" si="31"/>
        <v>#NUM!</v>
      </c>
      <c r="L46" t="e">
        <f t="shared" si="32"/>
        <v>#NUM!</v>
      </c>
      <c r="M46" t="e">
        <f t="shared" si="33"/>
        <v>#NUM!</v>
      </c>
      <c r="N46" t="e">
        <f t="shared" si="34"/>
        <v>#NUM!</v>
      </c>
      <c r="O46" t="e">
        <f t="shared" si="35"/>
        <v>#NUM!</v>
      </c>
      <c r="P46" t="e">
        <f t="shared" si="36"/>
        <v>#NUM!</v>
      </c>
      <c r="Q46" t="e">
        <f t="shared" si="37"/>
        <v>#NUM!</v>
      </c>
      <c r="R46" t="e">
        <f t="shared" si="38"/>
        <v>#NUM!</v>
      </c>
      <c r="S46" t="e">
        <f t="shared" si="39"/>
        <v>#NUM!</v>
      </c>
      <c r="W46" t="e">
        <f t="shared" si="40"/>
        <v>#NUM!</v>
      </c>
      <c r="X46">
        <f t="shared" si="41"/>
        <v>61.570799515387513</v>
      </c>
      <c r="Y46">
        <f t="shared" si="42"/>
        <v>9</v>
      </c>
      <c r="Z46">
        <f t="shared" si="43"/>
        <v>-1.5707963267948966</v>
      </c>
      <c r="AA46" t="e">
        <f t="shared" si="44"/>
        <v>#NUM!</v>
      </c>
      <c r="AB46" t="e">
        <f t="shared" si="45"/>
        <v>#NUM!</v>
      </c>
      <c r="AC46" t="e">
        <f t="shared" si="46"/>
        <v>#NUM!</v>
      </c>
      <c r="AE46">
        <v>3.2153875902064446E-6</v>
      </c>
      <c r="AF46">
        <v>-59.999999999999922</v>
      </c>
      <c r="AH46" s="1">
        <v>40</v>
      </c>
      <c r="AI46" s="1">
        <f t="shared" si="47"/>
        <v>0</v>
      </c>
      <c r="AJ46" s="1">
        <f t="shared" si="48"/>
        <v>0</v>
      </c>
      <c r="AK46" s="2" t="e">
        <f t="shared" si="49"/>
        <v>#NUM!</v>
      </c>
      <c r="AL46" s="2" t="e">
        <f t="shared" si="50"/>
        <v>#NUM!</v>
      </c>
      <c r="AY46">
        <v>-20.582425716540314</v>
      </c>
      <c r="BE46">
        <v>60.058293160119753</v>
      </c>
    </row>
    <row r="47" spans="1:57" x14ac:dyDescent="0.25">
      <c r="B47" t="e">
        <f t="shared" si="23"/>
        <v>#NUM!</v>
      </c>
      <c r="C47" t="e">
        <f t="shared" si="24"/>
        <v>#NUM!</v>
      </c>
      <c r="D47" t="e">
        <f t="shared" si="25"/>
        <v>#NUM!</v>
      </c>
      <c r="E47" t="e">
        <f t="shared" si="26"/>
        <v>#NUM!</v>
      </c>
      <c r="F47" t="e">
        <f t="shared" si="27"/>
        <v>#NUM!</v>
      </c>
      <c r="G47" t="e">
        <f t="shared" si="28"/>
        <v>#NUM!</v>
      </c>
      <c r="H47" t="e">
        <f t="shared" si="29"/>
        <v>#NUM!</v>
      </c>
      <c r="J47" t="e">
        <f t="shared" si="30"/>
        <v>#NUM!</v>
      </c>
      <c r="K47" t="e">
        <f t="shared" si="31"/>
        <v>#NUM!</v>
      </c>
      <c r="L47" t="e">
        <f t="shared" si="32"/>
        <v>#NUM!</v>
      </c>
      <c r="M47" t="e">
        <f t="shared" si="33"/>
        <v>#NUM!</v>
      </c>
      <c r="N47" t="e">
        <f t="shared" si="34"/>
        <v>#NUM!</v>
      </c>
      <c r="O47" t="e">
        <f t="shared" si="35"/>
        <v>#NUM!</v>
      </c>
      <c r="P47" t="e">
        <f t="shared" si="36"/>
        <v>#NUM!</v>
      </c>
      <c r="Q47" t="e">
        <f t="shared" si="37"/>
        <v>#NUM!</v>
      </c>
      <c r="R47" t="e">
        <f t="shared" si="38"/>
        <v>#NUM!</v>
      </c>
      <c r="S47" t="e">
        <f t="shared" si="39"/>
        <v>#NUM!</v>
      </c>
      <c r="W47" t="e">
        <f t="shared" si="40"/>
        <v>#NUM!</v>
      </c>
      <c r="X47">
        <f t="shared" si="41"/>
        <v>61.570799515387513</v>
      </c>
      <c r="Y47">
        <f t="shared" si="42"/>
        <v>9</v>
      </c>
      <c r="Z47">
        <f t="shared" si="43"/>
        <v>-1.5707963267948966</v>
      </c>
      <c r="AA47" t="e">
        <f t="shared" si="44"/>
        <v>#NUM!</v>
      </c>
      <c r="AB47" t="e">
        <f t="shared" si="45"/>
        <v>#NUM!</v>
      </c>
      <c r="AC47" t="e">
        <f t="shared" si="46"/>
        <v>#NUM!</v>
      </c>
      <c r="AE47">
        <v>3.2153875902064446E-6</v>
      </c>
      <c r="AF47">
        <v>-59.999999999999922</v>
      </c>
      <c r="AH47" s="1">
        <v>41</v>
      </c>
      <c r="AI47" s="1">
        <f t="shared" si="47"/>
        <v>0</v>
      </c>
      <c r="AJ47" s="1">
        <f t="shared" si="48"/>
        <v>0</v>
      </c>
      <c r="AK47" s="2" t="e">
        <f t="shared" si="49"/>
        <v>#NUM!</v>
      </c>
      <c r="AL47" s="2" t="e">
        <f t="shared" si="50"/>
        <v>#NUM!</v>
      </c>
      <c r="AY47">
        <v>32.165600148691183</v>
      </c>
      <c r="BE47">
        <v>22.076117633111103</v>
      </c>
    </row>
    <row r="48" spans="1:57" x14ac:dyDescent="0.25">
      <c r="B48" t="e">
        <f t="shared" si="23"/>
        <v>#NUM!</v>
      </c>
      <c r="C48" t="e">
        <f t="shared" si="24"/>
        <v>#NUM!</v>
      </c>
      <c r="D48" t="e">
        <f t="shared" si="25"/>
        <v>#NUM!</v>
      </c>
      <c r="E48" t="e">
        <f t="shared" si="26"/>
        <v>#NUM!</v>
      </c>
      <c r="F48" t="e">
        <f t="shared" si="27"/>
        <v>#NUM!</v>
      </c>
      <c r="G48" t="e">
        <f t="shared" si="28"/>
        <v>#NUM!</v>
      </c>
      <c r="H48" t="e">
        <f t="shared" si="29"/>
        <v>#NUM!</v>
      </c>
      <c r="J48" t="e">
        <f t="shared" si="30"/>
        <v>#NUM!</v>
      </c>
      <c r="K48" t="e">
        <f t="shared" si="31"/>
        <v>#NUM!</v>
      </c>
      <c r="L48" t="e">
        <f t="shared" si="32"/>
        <v>#NUM!</v>
      </c>
      <c r="M48" t="e">
        <f t="shared" si="33"/>
        <v>#NUM!</v>
      </c>
      <c r="N48" t="e">
        <f t="shared" si="34"/>
        <v>#NUM!</v>
      </c>
      <c r="O48" t="e">
        <f t="shared" si="35"/>
        <v>#NUM!</v>
      </c>
      <c r="P48" t="e">
        <f t="shared" si="36"/>
        <v>#NUM!</v>
      </c>
      <c r="Q48" t="e">
        <f t="shared" si="37"/>
        <v>#NUM!</v>
      </c>
      <c r="R48" t="e">
        <f t="shared" si="38"/>
        <v>#NUM!</v>
      </c>
      <c r="S48" t="e">
        <f t="shared" si="39"/>
        <v>#NUM!</v>
      </c>
      <c r="W48" t="e">
        <f t="shared" si="40"/>
        <v>#NUM!</v>
      </c>
      <c r="X48">
        <f t="shared" si="41"/>
        <v>61.570799515387513</v>
      </c>
      <c r="Y48">
        <f t="shared" si="42"/>
        <v>9</v>
      </c>
      <c r="Z48">
        <f t="shared" si="43"/>
        <v>-1.5707963267948966</v>
      </c>
      <c r="AA48" t="e">
        <f t="shared" si="44"/>
        <v>#NUM!</v>
      </c>
      <c r="AB48" t="e">
        <f t="shared" si="45"/>
        <v>#NUM!</v>
      </c>
      <c r="AC48" t="e">
        <f t="shared" si="46"/>
        <v>#NUM!</v>
      </c>
      <c r="AE48">
        <v>3.2153875902064446E-6</v>
      </c>
      <c r="AF48">
        <v>-59.999999999999922</v>
      </c>
      <c r="AH48" s="1">
        <v>42</v>
      </c>
      <c r="AI48" s="1">
        <f t="shared" si="47"/>
        <v>0</v>
      </c>
      <c r="AJ48" s="1">
        <f t="shared" si="48"/>
        <v>0</v>
      </c>
      <c r="AK48" s="2" t="e">
        <f t="shared" si="49"/>
        <v>#NUM!</v>
      </c>
      <c r="AL48" s="2" t="e">
        <f t="shared" si="50"/>
        <v>#NUM!</v>
      </c>
      <c r="AY48">
        <v>9</v>
      </c>
      <c r="BE48">
        <v>0</v>
      </c>
    </row>
    <row r="49" spans="2:60" x14ac:dyDescent="0.25">
      <c r="B49" t="e">
        <f t="shared" si="23"/>
        <v>#NUM!</v>
      </c>
      <c r="C49" t="e">
        <f t="shared" si="24"/>
        <v>#NUM!</v>
      </c>
      <c r="D49" t="e">
        <f t="shared" si="25"/>
        <v>#NUM!</v>
      </c>
      <c r="E49" t="e">
        <f t="shared" si="26"/>
        <v>#NUM!</v>
      </c>
      <c r="F49" t="e">
        <f t="shared" si="27"/>
        <v>#NUM!</v>
      </c>
      <c r="G49" t="e">
        <f t="shared" si="28"/>
        <v>#NUM!</v>
      </c>
      <c r="H49" t="e">
        <f t="shared" si="29"/>
        <v>#NUM!</v>
      </c>
      <c r="J49" t="e">
        <f t="shared" si="30"/>
        <v>#NUM!</v>
      </c>
      <c r="K49" t="e">
        <f t="shared" si="31"/>
        <v>#NUM!</v>
      </c>
      <c r="L49" t="e">
        <f t="shared" si="32"/>
        <v>#NUM!</v>
      </c>
      <c r="M49" t="e">
        <f t="shared" si="33"/>
        <v>#NUM!</v>
      </c>
      <c r="N49" t="e">
        <f t="shared" si="34"/>
        <v>#NUM!</v>
      </c>
      <c r="O49" t="e">
        <f t="shared" si="35"/>
        <v>#NUM!</v>
      </c>
      <c r="P49" t="e">
        <f t="shared" si="36"/>
        <v>#NUM!</v>
      </c>
      <c r="Q49" t="e">
        <f t="shared" si="37"/>
        <v>#NUM!</v>
      </c>
      <c r="R49" t="e">
        <f t="shared" si="38"/>
        <v>#NUM!</v>
      </c>
      <c r="S49" t="e">
        <f t="shared" si="39"/>
        <v>#NUM!</v>
      </c>
      <c r="W49" t="e">
        <f t="shared" si="40"/>
        <v>#NUM!</v>
      </c>
      <c r="X49">
        <f t="shared" si="41"/>
        <v>61.570799515387513</v>
      </c>
      <c r="Y49">
        <f t="shared" si="42"/>
        <v>9</v>
      </c>
      <c r="Z49">
        <f t="shared" si="43"/>
        <v>-1.5707963267948966</v>
      </c>
      <c r="AA49" t="e">
        <f t="shared" si="44"/>
        <v>#NUM!</v>
      </c>
      <c r="AB49" t="e">
        <f t="shared" si="45"/>
        <v>#NUM!</v>
      </c>
      <c r="AC49" t="e">
        <f t="shared" si="46"/>
        <v>#NUM!</v>
      </c>
      <c r="AE49">
        <v>3.2153875902064446E-6</v>
      </c>
      <c r="AF49">
        <v>-59.999999999999922</v>
      </c>
      <c r="AH49" s="1">
        <v>43</v>
      </c>
      <c r="AI49" s="1">
        <f t="shared" si="47"/>
        <v>0</v>
      </c>
      <c r="AJ49" s="1">
        <f t="shared" si="48"/>
        <v>0</v>
      </c>
      <c r="AK49" s="2" t="e">
        <f t="shared" si="49"/>
        <v>#NUM!</v>
      </c>
      <c r="AL49" s="2" t="e">
        <f t="shared" si="50"/>
        <v>#NUM!</v>
      </c>
      <c r="AY49">
        <v>-9</v>
      </c>
      <c r="BF49">
        <v>0</v>
      </c>
    </row>
    <row r="50" spans="2:60" x14ac:dyDescent="0.25">
      <c r="B50" t="e">
        <f t="shared" si="23"/>
        <v>#NUM!</v>
      </c>
      <c r="C50" t="e">
        <f t="shared" si="24"/>
        <v>#NUM!</v>
      </c>
      <c r="D50" t="e">
        <f t="shared" si="25"/>
        <v>#NUM!</v>
      </c>
      <c r="E50" t="e">
        <f t="shared" si="26"/>
        <v>#NUM!</v>
      </c>
      <c r="F50" t="e">
        <f t="shared" si="27"/>
        <v>#NUM!</v>
      </c>
      <c r="G50" t="e">
        <f t="shared" si="28"/>
        <v>#NUM!</v>
      </c>
      <c r="H50" t="e">
        <f t="shared" si="29"/>
        <v>#NUM!</v>
      </c>
      <c r="J50" t="e">
        <f t="shared" si="30"/>
        <v>#NUM!</v>
      </c>
      <c r="K50" t="e">
        <f t="shared" si="31"/>
        <v>#NUM!</v>
      </c>
      <c r="L50" t="e">
        <f t="shared" si="32"/>
        <v>#NUM!</v>
      </c>
      <c r="M50" t="e">
        <f t="shared" si="33"/>
        <v>#NUM!</v>
      </c>
      <c r="N50" t="e">
        <f t="shared" si="34"/>
        <v>#NUM!</v>
      </c>
      <c r="O50" t="e">
        <f t="shared" si="35"/>
        <v>#NUM!</v>
      </c>
      <c r="P50" t="e">
        <f t="shared" si="36"/>
        <v>#NUM!</v>
      </c>
      <c r="Q50" t="e">
        <f t="shared" si="37"/>
        <v>#NUM!</v>
      </c>
      <c r="R50" t="e">
        <f t="shared" si="38"/>
        <v>#NUM!</v>
      </c>
      <c r="S50" t="e">
        <f t="shared" si="39"/>
        <v>#NUM!</v>
      </c>
      <c r="W50" t="e">
        <f t="shared" si="40"/>
        <v>#NUM!</v>
      </c>
      <c r="X50">
        <f t="shared" si="41"/>
        <v>61.570799515387513</v>
      </c>
      <c r="Y50">
        <f t="shared" si="42"/>
        <v>9</v>
      </c>
      <c r="Z50">
        <f t="shared" si="43"/>
        <v>-1.5707963267948966</v>
      </c>
      <c r="AA50" t="e">
        <f t="shared" si="44"/>
        <v>#NUM!</v>
      </c>
      <c r="AB50" t="e">
        <f t="shared" si="45"/>
        <v>#NUM!</v>
      </c>
      <c r="AC50" t="e">
        <f t="shared" si="46"/>
        <v>#NUM!</v>
      </c>
      <c r="AE50">
        <v>3.2153875902064446E-6</v>
      </c>
      <c r="AF50">
        <v>-59.999999999999922</v>
      </c>
      <c r="AH50" s="1">
        <v>44</v>
      </c>
      <c r="AI50" s="1">
        <f t="shared" si="47"/>
        <v>0</v>
      </c>
      <c r="AJ50" s="1">
        <f t="shared" si="48"/>
        <v>0</v>
      </c>
      <c r="AK50" s="2" t="e">
        <f t="shared" si="49"/>
        <v>#NUM!</v>
      </c>
      <c r="AL50" s="2" t="e">
        <f t="shared" si="50"/>
        <v>#NUM!</v>
      </c>
      <c r="AY50">
        <v>-40.71660248941339</v>
      </c>
      <c r="BF50">
        <v>4.2493677798628635</v>
      </c>
    </row>
    <row r="51" spans="2:60" x14ac:dyDescent="0.25">
      <c r="B51" t="e">
        <f t="shared" si="23"/>
        <v>#NUM!</v>
      </c>
      <c r="C51" t="e">
        <f t="shared" si="24"/>
        <v>#NUM!</v>
      </c>
      <c r="D51" t="e">
        <f t="shared" si="25"/>
        <v>#NUM!</v>
      </c>
      <c r="E51" t="e">
        <f t="shared" si="26"/>
        <v>#NUM!</v>
      </c>
      <c r="F51" t="e">
        <f t="shared" si="27"/>
        <v>#NUM!</v>
      </c>
      <c r="G51" t="e">
        <f t="shared" si="28"/>
        <v>#NUM!</v>
      </c>
      <c r="H51" t="e">
        <f t="shared" si="29"/>
        <v>#NUM!</v>
      </c>
      <c r="J51" t="e">
        <f t="shared" si="30"/>
        <v>#NUM!</v>
      </c>
      <c r="K51" t="e">
        <f t="shared" si="31"/>
        <v>#NUM!</v>
      </c>
      <c r="L51" t="e">
        <f t="shared" si="32"/>
        <v>#NUM!</v>
      </c>
      <c r="M51" t="e">
        <f t="shared" si="33"/>
        <v>#NUM!</v>
      </c>
      <c r="N51" t="e">
        <f t="shared" si="34"/>
        <v>#NUM!</v>
      </c>
      <c r="O51" t="e">
        <f t="shared" si="35"/>
        <v>#NUM!</v>
      </c>
      <c r="P51" t="e">
        <f t="shared" si="36"/>
        <v>#NUM!</v>
      </c>
      <c r="Q51" t="e">
        <f t="shared" si="37"/>
        <v>#NUM!</v>
      </c>
      <c r="R51" t="e">
        <f t="shared" si="38"/>
        <v>#NUM!</v>
      </c>
      <c r="S51" t="e">
        <f t="shared" si="39"/>
        <v>#NUM!</v>
      </c>
      <c r="W51" t="e">
        <f t="shared" si="40"/>
        <v>#NUM!</v>
      </c>
      <c r="X51">
        <f t="shared" si="41"/>
        <v>61.570799515387513</v>
      </c>
      <c r="Y51">
        <f t="shared" si="42"/>
        <v>9</v>
      </c>
      <c r="Z51">
        <f t="shared" si="43"/>
        <v>-1.5707963267948966</v>
      </c>
      <c r="AA51" t="e">
        <f t="shared" si="44"/>
        <v>#NUM!</v>
      </c>
      <c r="AB51" t="e">
        <f t="shared" si="45"/>
        <v>#NUM!</v>
      </c>
      <c r="AC51" t="e">
        <f t="shared" si="46"/>
        <v>#NUM!</v>
      </c>
      <c r="AE51">
        <v>3.2153875902064446E-6</v>
      </c>
      <c r="AF51">
        <v>-59.999999999999922</v>
      </c>
      <c r="AH51" s="1">
        <v>45</v>
      </c>
      <c r="AI51" s="1">
        <f t="shared" si="47"/>
        <v>0</v>
      </c>
      <c r="AJ51" s="1">
        <f t="shared" si="48"/>
        <v>0</v>
      </c>
      <c r="AK51" s="2" t="e">
        <f t="shared" si="49"/>
        <v>#NUM!</v>
      </c>
      <c r="AL51" s="2" t="e">
        <f t="shared" si="50"/>
        <v>#NUM!</v>
      </c>
      <c r="AY51">
        <v>0</v>
      </c>
      <c r="BF51">
        <v>80</v>
      </c>
    </row>
    <row r="52" spans="2:60" x14ac:dyDescent="0.25">
      <c r="B52" t="e">
        <f t="shared" si="23"/>
        <v>#NUM!</v>
      </c>
      <c r="C52" t="e">
        <f t="shared" si="24"/>
        <v>#NUM!</v>
      </c>
      <c r="D52" t="e">
        <f t="shared" si="25"/>
        <v>#NUM!</v>
      </c>
      <c r="E52" t="e">
        <f t="shared" si="26"/>
        <v>#NUM!</v>
      </c>
      <c r="F52" t="e">
        <f t="shared" si="27"/>
        <v>#NUM!</v>
      </c>
      <c r="G52" t="e">
        <f t="shared" si="28"/>
        <v>#NUM!</v>
      </c>
      <c r="H52" t="e">
        <f t="shared" si="29"/>
        <v>#NUM!</v>
      </c>
      <c r="J52" t="e">
        <f t="shared" si="30"/>
        <v>#NUM!</v>
      </c>
      <c r="K52" t="e">
        <f t="shared" si="31"/>
        <v>#NUM!</v>
      </c>
      <c r="L52" t="e">
        <f t="shared" si="32"/>
        <v>#NUM!</v>
      </c>
      <c r="M52" t="e">
        <f t="shared" si="33"/>
        <v>#NUM!</v>
      </c>
      <c r="N52" t="e">
        <f t="shared" si="34"/>
        <v>#NUM!</v>
      </c>
      <c r="O52" t="e">
        <f t="shared" si="35"/>
        <v>#NUM!</v>
      </c>
      <c r="P52" t="e">
        <f t="shared" si="36"/>
        <v>#NUM!</v>
      </c>
      <c r="Q52" t="e">
        <f t="shared" si="37"/>
        <v>#NUM!</v>
      </c>
      <c r="R52" t="e">
        <f t="shared" si="38"/>
        <v>#NUM!</v>
      </c>
      <c r="S52" t="e">
        <f t="shared" si="39"/>
        <v>#NUM!</v>
      </c>
      <c r="W52" t="e">
        <f t="shared" si="40"/>
        <v>#NUM!</v>
      </c>
      <c r="X52">
        <f t="shared" si="41"/>
        <v>61.570799515387513</v>
      </c>
      <c r="Y52">
        <f t="shared" si="42"/>
        <v>9</v>
      </c>
      <c r="Z52">
        <f t="shared" si="43"/>
        <v>-1.5707963267948966</v>
      </c>
      <c r="AA52" t="e">
        <f t="shared" si="44"/>
        <v>#NUM!</v>
      </c>
      <c r="AB52" t="e">
        <f t="shared" si="45"/>
        <v>#NUM!</v>
      </c>
      <c r="AC52" t="e">
        <f t="shared" si="46"/>
        <v>#NUM!</v>
      </c>
      <c r="AE52">
        <v>3.2153875902064446E-6</v>
      </c>
      <c r="AF52">
        <v>-59.999999999999922</v>
      </c>
      <c r="AH52" s="1">
        <v>46</v>
      </c>
      <c r="AI52" s="1">
        <f t="shared" si="47"/>
        <v>0</v>
      </c>
      <c r="AJ52" s="1">
        <f t="shared" si="48"/>
        <v>0</v>
      </c>
      <c r="AK52" s="2" t="e">
        <f t="shared" si="49"/>
        <v>#NUM!</v>
      </c>
      <c r="AL52" s="2" t="e">
        <f t="shared" si="50"/>
        <v>#NUM!</v>
      </c>
      <c r="AY52">
        <v>-9.9424261892741228</v>
      </c>
      <c r="BF52">
        <v>61.502752597417626</v>
      </c>
    </row>
    <row r="53" spans="2:60" x14ac:dyDescent="0.25">
      <c r="B53" t="e">
        <f t="shared" si="23"/>
        <v>#NUM!</v>
      </c>
      <c r="C53" t="e">
        <f t="shared" si="24"/>
        <v>#NUM!</v>
      </c>
      <c r="D53" t="e">
        <f t="shared" si="25"/>
        <v>#NUM!</v>
      </c>
      <c r="E53" t="e">
        <f t="shared" si="26"/>
        <v>#NUM!</v>
      </c>
      <c r="F53" t="e">
        <f t="shared" si="27"/>
        <v>#NUM!</v>
      </c>
      <c r="G53" t="e">
        <f t="shared" si="28"/>
        <v>#NUM!</v>
      </c>
      <c r="H53" t="e">
        <f t="shared" si="29"/>
        <v>#NUM!</v>
      </c>
      <c r="J53" t="e">
        <f t="shared" si="30"/>
        <v>#NUM!</v>
      </c>
      <c r="K53" t="e">
        <f t="shared" si="31"/>
        <v>#NUM!</v>
      </c>
      <c r="L53" t="e">
        <f t="shared" si="32"/>
        <v>#NUM!</v>
      </c>
      <c r="M53" t="e">
        <f t="shared" si="33"/>
        <v>#NUM!</v>
      </c>
      <c r="N53" t="e">
        <f t="shared" si="34"/>
        <v>#NUM!</v>
      </c>
      <c r="O53" t="e">
        <f t="shared" si="35"/>
        <v>#NUM!</v>
      </c>
      <c r="P53" t="e">
        <f t="shared" si="36"/>
        <v>#NUM!</v>
      </c>
      <c r="Q53" t="e">
        <f t="shared" si="37"/>
        <v>#NUM!</v>
      </c>
      <c r="R53" t="e">
        <f t="shared" si="38"/>
        <v>#NUM!</v>
      </c>
      <c r="S53" t="e">
        <f t="shared" si="39"/>
        <v>#NUM!</v>
      </c>
      <c r="W53" t="e">
        <f t="shared" si="40"/>
        <v>#NUM!</v>
      </c>
      <c r="X53">
        <f t="shared" si="41"/>
        <v>61.570799515387513</v>
      </c>
      <c r="Y53">
        <f t="shared" si="42"/>
        <v>9</v>
      </c>
      <c r="Z53">
        <f t="shared" si="43"/>
        <v>-1.5707963267948966</v>
      </c>
      <c r="AA53" t="e">
        <f t="shared" si="44"/>
        <v>#NUM!</v>
      </c>
      <c r="AB53" t="e">
        <f t="shared" si="45"/>
        <v>#NUM!</v>
      </c>
      <c r="AC53" t="e">
        <f t="shared" si="46"/>
        <v>#NUM!</v>
      </c>
      <c r="AE53">
        <v>3.2153875902064446E-6</v>
      </c>
      <c r="AF53">
        <v>-59.999999999999922</v>
      </c>
      <c r="AH53" s="1">
        <v>47</v>
      </c>
      <c r="AI53" s="1">
        <f t="shared" si="47"/>
        <v>0</v>
      </c>
      <c r="AJ53" s="1">
        <f t="shared" si="48"/>
        <v>0</v>
      </c>
      <c r="AK53" s="2" t="e">
        <f t="shared" si="49"/>
        <v>#NUM!</v>
      </c>
      <c r="AL53" s="2" t="e">
        <f t="shared" si="50"/>
        <v>#NUM!</v>
      </c>
      <c r="AY53">
        <v>36.623816105831878</v>
      </c>
      <c r="BF53">
        <v>16.153166369204001</v>
      </c>
    </row>
    <row r="54" spans="2:60" x14ac:dyDescent="0.25">
      <c r="B54" t="e">
        <f t="shared" si="23"/>
        <v>#NUM!</v>
      </c>
      <c r="C54" t="e">
        <f t="shared" si="24"/>
        <v>#NUM!</v>
      </c>
      <c r="D54" t="e">
        <f t="shared" si="25"/>
        <v>#NUM!</v>
      </c>
      <c r="E54" t="e">
        <f t="shared" si="26"/>
        <v>#NUM!</v>
      </c>
      <c r="F54" t="e">
        <f t="shared" si="27"/>
        <v>#NUM!</v>
      </c>
      <c r="G54" t="e">
        <f t="shared" si="28"/>
        <v>#NUM!</v>
      </c>
      <c r="H54" t="e">
        <f t="shared" si="29"/>
        <v>#NUM!</v>
      </c>
      <c r="J54" t="e">
        <f t="shared" si="30"/>
        <v>#NUM!</v>
      </c>
      <c r="K54" t="e">
        <f t="shared" si="31"/>
        <v>#NUM!</v>
      </c>
      <c r="L54" t="e">
        <f t="shared" si="32"/>
        <v>#NUM!</v>
      </c>
      <c r="M54" t="e">
        <f t="shared" si="33"/>
        <v>#NUM!</v>
      </c>
      <c r="N54" t="e">
        <f t="shared" si="34"/>
        <v>#NUM!</v>
      </c>
      <c r="O54" t="e">
        <f t="shared" si="35"/>
        <v>#NUM!</v>
      </c>
      <c r="P54" t="e">
        <f t="shared" si="36"/>
        <v>#NUM!</v>
      </c>
      <c r="Q54" t="e">
        <f t="shared" si="37"/>
        <v>#NUM!</v>
      </c>
      <c r="R54" t="e">
        <f t="shared" si="38"/>
        <v>#NUM!</v>
      </c>
      <c r="S54" t="e">
        <f t="shared" si="39"/>
        <v>#NUM!</v>
      </c>
      <c r="W54" t="e">
        <f t="shared" si="40"/>
        <v>#NUM!</v>
      </c>
      <c r="X54">
        <f t="shared" si="41"/>
        <v>61.570799515387513</v>
      </c>
      <c r="Y54">
        <f t="shared" si="42"/>
        <v>9</v>
      </c>
      <c r="Z54">
        <f t="shared" si="43"/>
        <v>-1.5707963267948966</v>
      </c>
      <c r="AA54" t="e">
        <f t="shared" si="44"/>
        <v>#NUM!</v>
      </c>
      <c r="AB54" t="e">
        <f t="shared" si="45"/>
        <v>#NUM!</v>
      </c>
      <c r="AC54" t="e">
        <f t="shared" si="46"/>
        <v>#NUM!</v>
      </c>
      <c r="AE54">
        <v>3.2153875902064446E-6</v>
      </c>
      <c r="AF54">
        <v>-59.999999999999922</v>
      </c>
      <c r="AH54" s="1">
        <v>48</v>
      </c>
      <c r="AI54" s="1">
        <f t="shared" si="47"/>
        <v>0</v>
      </c>
      <c r="AJ54" s="1">
        <f t="shared" si="48"/>
        <v>0</v>
      </c>
      <c r="AK54" s="2" t="e">
        <f t="shared" si="49"/>
        <v>#NUM!</v>
      </c>
      <c r="AL54" s="2" t="e">
        <f t="shared" si="50"/>
        <v>#NUM!</v>
      </c>
      <c r="AY54">
        <v>9</v>
      </c>
      <c r="BF54">
        <v>0</v>
      </c>
    </row>
    <row r="55" spans="2:60" x14ac:dyDescent="0.25">
      <c r="B55" t="e">
        <f t="shared" si="23"/>
        <v>#NUM!</v>
      </c>
      <c r="C55" t="e">
        <f t="shared" si="24"/>
        <v>#NUM!</v>
      </c>
      <c r="D55" t="e">
        <f t="shared" si="25"/>
        <v>#NUM!</v>
      </c>
      <c r="E55" t="e">
        <f t="shared" si="26"/>
        <v>#NUM!</v>
      </c>
      <c r="F55" t="e">
        <f t="shared" si="27"/>
        <v>#NUM!</v>
      </c>
      <c r="G55" t="e">
        <f t="shared" si="28"/>
        <v>#NUM!</v>
      </c>
      <c r="H55" t="e">
        <f t="shared" si="29"/>
        <v>#NUM!</v>
      </c>
      <c r="J55" t="e">
        <f t="shared" si="30"/>
        <v>#NUM!</v>
      </c>
      <c r="K55" t="e">
        <f t="shared" si="31"/>
        <v>#NUM!</v>
      </c>
      <c r="L55" t="e">
        <f t="shared" si="32"/>
        <v>#NUM!</v>
      </c>
      <c r="M55" t="e">
        <f t="shared" si="33"/>
        <v>#NUM!</v>
      </c>
      <c r="N55" t="e">
        <f t="shared" si="34"/>
        <v>#NUM!</v>
      </c>
      <c r="O55" t="e">
        <f t="shared" si="35"/>
        <v>#NUM!</v>
      </c>
      <c r="P55" t="e">
        <f t="shared" si="36"/>
        <v>#NUM!</v>
      </c>
      <c r="Q55" t="e">
        <f t="shared" si="37"/>
        <v>#NUM!</v>
      </c>
      <c r="R55" t="e">
        <f t="shared" si="38"/>
        <v>#NUM!</v>
      </c>
      <c r="S55" t="e">
        <f t="shared" si="39"/>
        <v>#NUM!</v>
      </c>
      <c r="W55" t="e">
        <f t="shared" si="40"/>
        <v>#NUM!</v>
      </c>
      <c r="X55">
        <f t="shared" si="41"/>
        <v>61.570799515387513</v>
      </c>
      <c r="Y55">
        <f t="shared" si="42"/>
        <v>9</v>
      </c>
      <c r="Z55">
        <f t="shared" si="43"/>
        <v>-1.5707963267948966</v>
      </c>
      <c r="AA55" t="e">
        <f t="shared" si="44"/>
        <v>#NUM!</v>
      </c>
      <c r="AB55" t="e">
        <f t="shared" si="45"/>
        <v>#NUM!</v>
      </c>
      <c r="AC55" t="e">
        <f t="shared" si="46"/>
        <v>#NUM!</v>
      </c>
      <c r="AE55">
        <v>3.2153875902064446E-6</v>
      </c>
      <c r="AF55">
        <v>-59.999999999999922</v>
      </c>
      <c r="AH55" s="1">
        <v>49</v>
      </c>
      <c r="AI55" s="1">
        <f t="shared" si="47"/>
        <v>0</v>
      </c>
      <c r="AJ55" s="1">
        <f t="shared" si="48"/>
        <v>0</v>
      </c>
      <c r="AK55" s="2" t="e">
        <f t="shared" si="49"/>
        <v>#NUM!</v>
      </c>
      <c r="AL55" s="2" t="e">
        <f t="shared" si="50"/>
        <v>#NUM!</v>
      </c>
      <c r="AY55">
        <v>-9</v>
      </c>
      <c r="BG55">
        <v>0</v>
      </c>
    </row>
    <row r="56" spans="2:60" x14ac:dyDescent="0.25">
      <c r="B56" t="e">
        <f t="shared" si="23"/>
        <v>#NUM!</v>
      </c>
      <c r="C56" t="e">
        <f t="shared" si="24"/>
        <v>#NUM!</v>
      </c>
      <c r="D56" t="e">
        <f t="shared" si="25"/>
        <v>#NUM!</v>
      </c>
      <c r="E56" t="e">
        <f t="shared" si="26"/>
        <v>#NUM!</v>
      </c>
      <c r="F56" t="e">
        <f t="shared" si="27"/>
        <v>#NUM!</v>
      </c>
      <c r="G56" t="e">
        <f t="shared" si="28"/>
        <v>#NUM!</v>
      </c>
      <c r="H56" t="e">
        <f t="shared" si="29"/>
        <v>#NUM!</v>
      </c>
      <c r="J56" t="e">
        <f t="shared" si="30"/>
        <v>#NUM!</v>
      </c>
      <c r="K56" t="e">
        <f t="shared" si="31"/>
        <v>#NUM!</v>
      </c>
      <c r="L56" t="e">
        <f t="shared" si="32"/>
        <v>#NUM!</v>
      </c>
      <c r="M56" t="e">
        <f t="shared" si="33"/>
        <v>#NUM!</v>
      </c>
      <c r="N56" t="e">
        <f t="shared" si="34"/>
        <v>#NUM!</v>
      </c>
      <c r="O56" t="e">
        <f t="shared" si="35"/>
        <v>#NUM!</v>
      </c>
      <c r="P56" t="e">
        <f t="shared" si="36"/>
        <v>#NUM!</v>
      </c>
      <c r="Q56" t="e">
        <f t="shared" si="37"/>
        <v>#NUM!</v>
      </c>
      <c r="R56" t="e">
        <f t="shared" si="38"/>
        <v>#NUM!</v>
      </c>
      <c r="S56" t="e">
        <f t="shared" si="39"/>
        <v>#NUM!</v>
      </c>
      <c r="W56" t="e">
        <f t="shared" si="40"/>
        <v>#NUM!</v>
      </c>
      <c r="X56">
        <f t="shared" si="41"/>
        <v>61.570799515387513</v>
      </c>
      <c r="Y56">
        <f t="shared" si="42"/>
        <v>9</v>
      </c>
      <c r="Z56">
        <f t="shared" si="43"/>
        <v>-1.5707963267948966</v>
      </c>
      <c r="AA56" t="e">
        <f t="shared" si="44"/>
        <v>#NUM!</v>
      </c>
      <c r="AB56" t="e">
        <f t="shared" si="45"/>
        <v>#NUM!</v>
      </c>
      <c r="AC56" t="e">
        <f t="shared" si="46"/>
        <v>#NUM!</v>
      </c>
      <c r="AE56">
        <v>3.2153875902064446E-6</v>
      </c>
      <c r="AF56">
        <v>-59.999999999999922</v>
      </c>
      <c r="AH56" s="1">
        <v>50</v>
      </c>
      <c r="AI56" s="1">
        <f t="shared" si="47"/>
        <v>0</v>
      </c>
      <c r="AJ56" s="1">
        <f t="shared" si="48"/>
        <v>0</v>
      </c>
      <c r="AK56" s="2" t="e">
        <f t="shared" si="49"/>
        <v>#NUM!</v>
      </c>
      <c r="AL56" s="2" t="e">
        <f t="shared" si="50"/>
        <v>#NUM!</v>
      </c>
      <c r="AY56">
        <v>-38.661212930139619</v>
      </c>
      <c r="BG56">
        <v>12.008848717213409</v>
      </c>
    </row>
    <row r="57" spans="2:60" x14ac:dyDescent="0.25">
      <c r="B57" t="e">
        <f t="shared" si="23"/>
        <v>#NUM!</v>
      </c>
      <c r="C57" t="e">
        <f t="shared" si="24"/>
        <v>#NUM!</v>
      </c>
      <c r="D57" t="e">
        <f t="shared" si="25"/>
        <v>#NUM!</v>
      </c>
      <c r="E57" t="e">
        <f t="shared" si="26"/>
        <v>#NUM!</v>
      </c>
      <c r="F57" t="e">
        <f t="shared" si="27"/>
        <v>#NUM!</v>
      </c>
      <c r="G57" t="e">
        <f t="shared" si="28"/>
        <v>#NUM!</v>
      </c>
      <c r="H57" t="e">
        <f t="shared" si="29"/>
        <v>#NUM!</v>
      </c>
      <c r="J57" t="e">
        <f t="shared" si="30"/>
        <v>#NUM!</v>
      </c>
      <c r="K57" t="e">
        <f t="shared" si="31"/>
        <v>#NUM!</v>
      </c>
      <c r="L57" t="e">
        <f t="shared" si="32"/>
        <v>#NUM!</v>
      </c>
      <c r="M57" t="e">
        <f t="shared" si="33"/>
        <v>#NUM!</v>
      </c>
      <c r="N57" t="e">
        <f t="shared" si="34"/>
        <v>#NUM!</v>
      </c>
      <c r="O57" t="e">
        <f t="shared" si="35"/>
        <v>#NUM!</v>
      </c>
      <c r="P57" t="e">
        <f t="shared" si="36"/>
        <v>#NUM!</v>
      </c>
      <c r="Q57" t="e">
        <f t="shared" si="37"/>
        <v>#NUM!</v>
      </c>
      <c r="R57" t="e">
        <f t="shared" si="38"/>
        <v>#NUM!</v>
      </c>
      <c r="S57" t="e">
        <f t="shared" si="39"/>
        <v>#NUM!</v>
      </c>
      <c r="W57" t="e">
        <f t="shared" si="40"/>
        <v>#NUM!</v>
      </c>
      <c r="X57">
        <f t="shared" si="41"/>
        <v>61.570799515387513</v>
      </c>
      <c r="Y57">
        <f t="shared" si="42"/>
        <v>9</v>
      </c>
      <c r="Z57">
        <f t="shared" si="43"/>
        <v>-1.5707963267948966</v>
      </c>
      <c r="AA57" t="e">
        <f t="shared" si="44"/>
        <v>#NUM!</v>
      </c>
      <c r="AB57" t="e">
        <f t="shared" si="45"/>
        <v>#NUM!</v>
      </c>
      <c r="AC57" t="e">
        <f t="shared" si="46"/>
        <v>#NUM!</v>
      </c>
      <c r="AE57">
        <v>3.2153875902064446E-6</v>
      </c>
      <c r="AF57">
        <v>-59.999999999999922</v>
      </c>
      <c r="AH57" s="1">
        <v>51</v>
      </c>
      <c r="AI57" s="1">
        <f t="shared" si="47"/>
        <v>0</v>
      </c>
      <c r="AJ57" s="1">
        <f t="shared" si="48"/>
        <v>0</v>
      </c>
      <c r="AK57" s="2" t="e">
        <f t="shared" si="49"/>
        <v>#NUM!</v>
      </c>
      <c r="AL57" s="2" t="e">
        <f t="shared" si="50"/>
        <v>#NUM!</v>
      </c>
      <c r="AY57">
        <v>14</v>
      </c>
      <c r="BG57">
        <v>80</v>
      </c>
    </row>
    <row r="58" spans="2:60" x14ac:dyDescent="0.25">
      <c r="B58" t="e">
        <f t="shared" si="23"/>
        <v>#NUM!</v>
      </c>
      <c r="C58" t="e">
        <f t="shared" si="24"/>
        <v>#NUM!</v>
      </c>
      <c r="D58" t="e">
        <f t="shared" si="25"/>
        <v>#NUM!</v>
      </c>
      <c r="E58" t="e">
        <f t="shared" si="26"/>
        <v>#NUM!</v>
      </c>
      <c r="F58" t="e">
        <f t="shared" si="27"/>
        <v>#NUM!</v>
      </c>
      <c r="G58" t="e">
        <f t="shared" si="28"/>
        <v>#NUM!</v>
      </c>
      <c r="H58" t="e">
        <f t="shared" si="29"/>
        <v>#NUM!</v>
      </c>
      <c r="J58" t="e">
        <f t="shared" si="30"/>
        <v>#NUM!</v>
      </c>
      <c r="K58" t="e">
        <f t="shared" si="31"/>
        <v>#NUM!</v>
      </c>
      <c r="L58" t="e">
        <f t="shared" si="32"/>
        <v>#NUM!</v>
      </c>
      <c r="M58" t="e">
        <f t="shared" si="33"/>
        <v>#NUM!</v>
      </c>
      <c r="N58" t="e">
        <f t="shared" si="34"/>
        <v>#NUM!</v>
      </c>
      <c r="O58" t="e">
        <f t="shared" si="35"/>
        <v>#NUM!</v>
      </c>
      <c r="P58" t="e">
        <f t="shared" si="36"/>
        <v>#NUM!</v>
      </c>
      <c r="Q58" t="e">
        <f t="shared" si="37"/>
        <v>#NUM!</v>
      </c>
      <c r="R58" t="e">
        <f t="shared" si="38"/>
        <v>#NUM!</v>
      </c>
      <c r="S58" t="e">
        <f t="shared" si="39"/>
        <v>#NUM!</v>
      </c>
      <c r="W58" t="e">
        <f t="shared" si="40"/>
        <v>#NUM!</v>
      </c>
      <c r="X58">
        <f t="shared" si="41"/>
        <v>61.570799515387513</v>
      </c>
      <c r="Y58">
        <f t="shared" si="42"/>
        <v>9</v>
      </c>
      <c r="Z58">
        <f t="shared" si="43"/>
        <v>-1.5707963267948966</v>
      </c>
      <c r="AA58" t="e">
        <f t="shared" si="44"/>
        <v>#NUM!</v>
      </c>
      <c r="AB58" t="e">
        <f t="shared" si="45"/>
        <v>#NUM!</v>
      </c>
      <c r="AC58" t="e">
        <f t="shared" si="46"/>
        <v>#NUM!</v>
      </c>
      <c r="AE58">
        <v>3.2153875902064446E-6</v>
      </c>
      <c r="AF58">
        <v>-59.999999999999922</v>
      </c>
      <c r="AH58" s="1">
        <v>52</v>
      </c>
      <c r="AI58" s="1">
        <f t="shared" si="47"/>
        <v>0</v>
      </c>
      <c r="AJ58" s="1">
        <f t="shared" si="48"/>
        <v>0</v>
      </c>
      <c r="AK58" s="2" t="e">
        <f t="shared" si="49"/>
        <v>#NUM!</v>
      </c>
      <c r="AL58" s="2" t="e">
        <f t="shared" si="50"/>
        <v>#NUM!</v>
      </c>
      <c r="AY58">
        <v>1.1408666100856948</v>
      </c>
      <c r="BG58">
        <v>63.397509570491003</v>
      </c>
    </row>
    <row r="59" spans="2:60" x14ac:dyDescent="0.25">
      <c r="B59" t="e">
        <f t="shared" si="23"/>
        <v>#NUM!</v>
      </c>
      <c r="C59" t="e">
        <f t="shared" si="24"/>
        <v>#NUM!</v>
      </c>
      <c r="D59" t="e">
        <f t="shared" si="25"/>
        <v>#NUM!</v>
      </c>
      <c r="E59" t="e">
        <f t="shared" si="26"/>
        <v>#NUM!</v>
      </c>
      <c r="F59" t="e">
        <f t="shared" si="27"/>
        <v>#NUM!</v>
      </c>
      <c r="G59" t="e">
        <f t="shared" si="28"/>
        <v>#NUM!</v>
      </c>
      <c r="H59" t="e">
        <f t="shared" si="29"/>
        <v>#NUM!</v>
      </c>
      <c r="J59" t="e">
        <f t="shared" si="30"/>
        <v>#NUM!</v>
      </c>
      <c r="K59" t="e">
        <f t="shared" si="31"/>
        <v>#NUM!</v>
      </c>
      <c r="L59" t="e">
        <f t="shared" si="32"/>
        <v>#NUM!</v>
      </c>
      <c r="M59" t="e">
        <f t="shared" si="33"/>
        <v>#NUM!</v>
      </c>
      <c r="N59" t="e">
        <f t="shared" si="34"/>
        <v>#NUM!</v>
      </c>
      <c r="O59" t="e">
        <f t="shared" si="35"/>
        <v>#NUM!</v>
      </c>
      <c r="P59" t="e">
        <f t="shared" si="36"/>
        <v>#NUM!</v>
      </c>
      <c r="Q59" t="e">
        <f t="shared" si="37"/>
        <v>#NUM!</v>
      </c>
      <c r="R59" t="e">
        <f t="shared" si="38"/>
        <v>#NUM!</v>
      </c>
      <c r="S59" t="e">
        <f t="shared" si="39"/>
        <v>#NUM!</v>
      </c>
      <c r="W59" t="e">
        <f t="shared" si="40"/>
        <v>#NUM!</v>
      </c>
      <c r="X59">
        <f t="shared" si="41"/>
        <v>61.570799515387513</v>
      </c>
      <c r="Y59">
        <f t="shared" si="42"/>
        <v>9</v>
      </c>
      <c r="Z59">
        <f t="shared" si="43"/>
        <v>-1.5707963267948966</v>
      </c>
      <c r="AA59" t="e">
        <f t="shared" si="44"/>
        <v>#NUM!</v>
      </c>
      <c r="AB59" t="e">
        <f t="shared" si="45"/>
        <v>#NUM!</v>
      </c>
      <c r="AC59" t="e">
        <f t="shared" si="46"/>
        <v>#NUM!</v>
      </c>
      <c r="AE59">
        <v>3.2153875902064446E-6</v>
      </c>
      <c r="AF59">
        <v>-59.999999999999922</v>
      </c>
      <c r="AH59" s="1">
        <v>53</v>
      </c>
      <c r="AI59" s="1">
        <f t="shared" si="47"/>
        <v>0</v>
      </c>
      <c r="AJ59" s="1">
        <f t="shared" si="48"/>
        <v>0</v>
      </c>
      <c r="AK59" s="2" t="e">
        <f t="shared" si="49"/>
        <v>#NUM!</v>
      </c>
      <c r="AL59" s="2" t="e">
        <f t="shared" si="50"/>
        <v>#NUM!</v>
      </c>
      <c r="AY59">
        <v>39.165215516381885</v>
      </c>
      <c r="BG59">
        <v>10.67987700538885</v>
      </c>
    </row>
    <row r="60" spans="2:60" x14ac:dyDescent="0.25">
      <c r="B60" t="e">
        <f t="shared" si="23"/>
        <v>#NUM!</v>
      </c>
      <c r="C60" t="e">
        <f t="shared" si="24"/>
        <v>#NUM!</v>
      </c>
      <c r="D60" t="e">
        <f t="shared" si="25"/>
        <v>#NUM!</v>
      </c>
      <c r="E60" t="e">
        <f t="shared" si="26"/>
        <v>#NUM!</v>
      </c>
      <c r="F60" t="e">
        <f t="shared" si="27"/>
        <v>#NUM!</v>
      </c>
      <c r="G60" t="e">
        <f t="shared" si="28"/>
        <v>#NUM!</v>
      </c>
      <c r="H60" t="e">
        <f t="shared" si="29"/>
        <v>#NUM!</v>
      </c>
      <c r="J60" t="e">
        <f t="shared" si="30"/>
        <v>#NUM!</v>
      </c>
      <c r="K60" t="e">
        <f t="shared" si="31"/>
        <v>#NUM!</v>
      </c>
      <c r="L60" t="e">
        <f t="shared" si="32"/>
        <v>#NUM!</v>
      </c>
      <c r="M60" t="e">
        <f t="shared" si="33"/>
        <v>#NUM!</v>
      </c>
      <c r="N60" t="e">
        <f t="shared" si="34"/>
        <v>#NUM!</v>
      </c>
      <c r="O60" t="e">
        <f t="shared" si="35"/>
        <v>#NUM!</v>
      </c>
      <c r="P60" t="e">
        <f t="shared" si="36"/>
        <v>#NUM!</v>
      </c>
      <c r="Q60" t="e">
        <f t="shared" si="37"/>
        <v>#NUM!</v>
      </c>
      <c r="R60" t="e">
        <f t="shared" si="38"/>
        <v>#NUM!</v>
      </c>
      <c r="S60" t="e">
        <f t="shared" si="39"/>
        <v>#NUM!</v>
      </c>
      <c r="W60" t="e">
        <f t="shared" si="40"/>
        <v>#NUM!</v>
      </c>
      <c r="X60">
        <f t="shared" si="41"/>
        <v>61.570799515387513</v>
      </c>
      <c r="Y60">
        <f t="shared" si="42"/>
        <v>9</v>
      </c>
      <c r="Z60">
        <f t="shared" si="43"/>
        <v>-1.5707963267948966</v>
      </c>
      <c r="AA60" t="e">
        <f t="shared" si="44"/>
        <v>#NUM!</v>
      </c>
      <c r="AB60" t="e">
        <f t="shared" si="45"/>
        <v>#NUM!</v>
      </c>
      <c r="AC60" t="e">
        <f t="shared" si="46"/>
        <v>#NUM!</v>
      </c>
      <c r="AE60">
        <v>3.2153875902064446E-6</v>
      </c>
      <c r="AF60">
        <v>-59.999999999999922</v>
      </c>
      <c r="AH60" s="1">
        <v>54</v>
      </c>
      <c r="AI60" s="1">
        <f t="shared" si="47"/>
        <v>0</v>
      </c>
      <c r="AJ60" s="1">
        <f t="shared" si="48"/>
        <v>0</v>
      </c>
      <c r="AK60" s="2" t="e">
        <f t="shared" si="49"/>
        <v>#NUM!</v>
      </c>
      <c r="AL60" s="2" t="e">
        <f t="shared" si="50"/>
        <v>#NUM!</v>
      </c>
      <c r="AY60">
        <v>9</v>
      </c>
      <c r="BG60">
        <v>0</v>
      </c>
    </row>
    <row r="61" spans="2:60" x14ac:dyDescent="0.25">
      <c r="B61" t="e">
        <f t="shared" si="23"/>
        <v>#NUM!</v>
      </c>
      <c r="C61" t="e">
        <f t="shared" si="24"/>
        <v>#NUM!</v>
      </c>
      <c r="D61" t="e">
        <f t="shared" si="25"/>
        <v>#NUM!</v>
      </c>
      <c r="E61" t="e">
        <f t="shared" si="26"/>
        <v>#NUM!</v>
      </c>
      <c r="F61" t="e">
        <f t="shared" si="27"/>
        <v>#NUM!</v>
      </c>
      <c r="G61" t="e">
        <f t="shared" si="28"/>
        <v>#NUM!</v>
      </c>
      <c r="H61" t="e">
        <f t="shared" si="29"/>
        <v>#NUM!</v>
      </c>
      <c r="J61" t="e">
        <f t="shared" si="30"/>
        <v>#NUM!</v>
      </c>
      <c r="K61" t="e">
        <f t="shared" si="31"/>
        <v>#NUM!</v>
      </c>
      <c r="L61" t="e">
        <f t="shared" si="32"/>
        <v>#NUM!</v>
      </c>
      <c r="M61" t="e">
        <f t="shared" si="33"/>
        <v>#NUM!</v>
      </c>
      <c r="N61" t="e">
        <f t="shared" si="34"/>
        <v>#NUM!</v>
      </c>
      <c r="O61" t="e">
        <f t="shared" si="35"/>
        <v>#NUM!</v>
      </c>
      <c r="P61" t="e">
        <f t="shared" si="36"/>
        <v>#NUM!</v>
      </c>
      <c r="Q61" t="e">
        <f t="shared" si="37"/>
        <v>#NUM!</v>
      </c>
      <c r="R61" t="e">
        <f t="shared" si="38"/>
        <v>#NUM!</v>
      </c>
      <c r="S61" t="e">
        <f t="shared" si="39"/>
        <v>#NUM!</v>
      </c>
      <c r="W61" t="e">
        <f t="shared" si="40"/>
        <v>#NUM!</v>
      </c>
      <c r="X61">
        <f t="shared" si="41"/>
        <v>61.570799515387513</v>
      </c>
      <c r="Y61">
        <f t="shared" si="42"/>
        <v>9</v>
      </c>
      <c r="Z61">
        <f t="shared" si="43"/>
        <v>-1.5707963267948966</v>
      </c>
      <c r="AA61" t="e">
        <f t="shared" si="44"/>
        <v>#NUM!</v>
      </c>
      <c r="AB61" t="e">
        <f t="shared" si="45"/>
        <v>#NUM!</v>
      </c>
      <c r="AC61" t="e">
        <f t="shared" si="46"/>
        <v>#NUM!</v>
      </c>
      <c r="AE61">
        <v>3.2153875902064446E-6</v>
      </c>
      <c r="AF61">
        <v>-59.999999999999922</v>
      </c>
      <c r="AH61" s="1">
        <v>55</v>
      </c>
      <c r="AI61" s="1">
        <f t="shared" si="47"/>
        <v>0</v>
      </c>
      <c r="AJ61" s="1">
        <f t="shared" si="48"/>
        <v>0</v>
      </c>
      <c r="AK61" s="2" t="e">
        <f t="shared" si="49"/>
        <v>#NUM!</v>
      </c>
      <c r="AL61" s="2" t="e">
        <f t="shared" si="50"/>
        <v>#NUM!</v>
      </c>
      <c r="AY61">
        <v>-9</v>
      </c>
      <c r="BH61">
        <v>0</v>
      </c>
    </row>
    <row r="62" spans="2:60" x14ac:dyDescent="0.25">
      <c r="B62" t="e">
        <f t="shared" si="23"/>
        <v>#NUM!</v>
      </c>
      <c r="C62" t="e">
        <f t="shared" si="24"/>
        <v>#NUM!</v>
      </c>
      <c r="D62" t="e">
        <f t="shared" si="25"/>
        <v>#NUM!</v>
      </c>
      <c r="E62" t="e">
        <f t="shared" si="26"/>
        <v>#NUM!</v>
      </c>
      <c r="F62" t="e">
        <f t="shared" si="27"/>
        <v>#NUM!</v>
      </c>
      <c r="G62" t="e">
        <f t="shared" si="28"/>
        <v>#NUM!</v>
      </c>
      <c r="H62" t="e">
        <f t="shared" si="29"/>
        <v>#NUM!</v>
      </c>
      <c r="J62" t="e">
        <f t="shared" si="30"/>
        <v>#NUM!</v>
      </c>
      <c r="K62" t="e">
        <f t="shared" si="31"/>
        <v>#NUM!</v>
      </c>
      <c r="L62" t="e">
        <f t="shared" si="32"/>
        <v>#NUM!</v>
      </c>
      <c r="M62" t="e">
        <f t="shared" si="33"/>
        <v>#NUM!</v>
      </c>
      <c r="N62" t="e">
        <f t="shared" si="34"/>
        <v>#NUM!</v>
      </c>
      <c r="O62" t="e">
        <f t="shared" si="35"/>
        <v>#NUM!</v>
      </c>
      <c r="P62" t="e">
        <f t="shared" si="36"/>
        <v>#NUM!</v>
      </c>
      <c r="Q62" t="e">
        <f t="shared" si="37"/>
        <v>#NUM!</v>
      </c>
      <c r="R62" t="e">
        <f t="shared" si="38"/>
        <v>#NUM!</v>
      </c>
      <c r="S62" t="e">
        <f t="shared" si="39"/>
        <v>#NUM!</v>
      </c>
      <c r="W62" t="e">
        <f t="shared" si="40"/>
        <v>#NUM!</v>
      </c>
      <c r="X62">
        <f t="shared" si="41"/>
        <v>61.570799515387513</v>
      </c>
      <c r="Y62">
        <f t="shared" si="42"/>
        <v>9</v>
      </c>
      <c r="Z62">
        <f t="shared" si="43"/>
        <v>-1.5707963267948966</v>
      </c>
      <c r="AA62" t="e">
        <f t="shared" si="44"/>
        <v>#NUM!</v>
      </c>
      <c r="AB62" t="e">
        <f t="shared" si="45"/>
        <v>#NUM!</v>
      </c>
      <c r="AC62" t="e">
        <f t="shared" si="46"/>
        <v>#NUM!</v>
      </c>
      <c r="AE62">
        <v>3.2153875902064446E-6</v>
      </c>
      <c r="AF62">
        <v>-59.999999999999922</v>
      </c>
      <c r="AH62" s="1">
        <v>56</v>
      </c>
      <c r="AI62" s="1">
        <f t="shared" si="47"/>
        <v>0</v>
      </c>
      <c r="AJ62" s="1">
        <f t="shared" si="48"/>
        <v>0</v>
      </c>
      <c r="AK62" s="2" t="e">
        <f t="shared" si="49"/>
        <v>#NUM!</v>
      </c>
      <c r="AL62" s="2" t="e">
        <f t="shared" si="50"/>
        <v>#NUM!</v>
      </c>
      <c r="AY62">
        <v>-33.812730277526853</v>
      </c>
      <c r="BH62">
        <v>20.207137753148068</v>
      </c>
    </row>
    <row r="63" spans="2:60" x14ac:dyDescent="0.25">
      <c r="B63" t="e">
        <f t="shared" si="2"/>
        <v>#NUM!</v>
      </c>
      <c r="C63" t="e">
        <f t="shared" si="2"/>
        <v>#NUM!</v>
      </c>
      <c r="W63" t="e">
        <f t="shared" si="40"/>
        <v>#NUM!</v>
      </c>
      <c r="X63">
        <f t="shared" si="41"/>
        <v>61.570799515387513</v>
      </c>
      <c r="Y63">
        <f t="shared" si="42"/>
        <v>9</v>
      </c>
      <c r="Z63">
        <f t="shared" si="43"/>
        <v>-1.5707963267948966</v>
      </c>
      <c r="AA63" t="e">
        <f t="shared" si="44"/>
        <v>#NUM!</v>
      </c>
      <c r="AB63" t="e">
        <f t="shared" si="45"/>
        <v>#NUM!</v>
      </c>
      <c r="AC63" t="e">
        <f t="shared" si="46"/>
        <v>#NUM!</v>
      </c>
      <c r="AE63">
        <v>3.2153875902064446E-6</v>
      </c>
      <c r="AF63">
        <v>-59.999999999999922</v>
      </c>
      <c r="AH63" s="1">
        <v>57</v>
      </c>
      <c r="AI63" s="1">
        <f t="shared" si="47"/>
        <v>0</v>
      </c>
      <c r="AJ63" s="1">
        <f t="shared" si="48"/>
        <v>0</v>
      </c>
      <c r="AK63" s="2">
        <f t="shared" si="49"/>
        <v>0</v>
      </c>
      <c r="AL63" s="2">
        <f t="shared" si="50"/>
        <v>0</v>
      </c>
      <c r="AY63">
        <v>28</v>
      </c>
      <c r="BH63">
        <v>80</v>
      </c>
    </row>
    <row r="64" spans="2:60" x14ac:dyDescent="0.25">
      <c r="B64" t="e">
        <f t="shared" si="2"/>
        <v>#NUM!</v>
      </c>
      <c r="C64" t="e">
        <f t="shared" si="2"/>
        <v>#NUM!</v>
      </c>
      <c r="W64" t="e">
        <f t="shared" si="40"/>
        <v>#NUM!</v>
      </c>
      <c r="X64">
        <f t="shared" si="41"/>
        <v>61.570799515387513</v>
      </c>
      <c r="Y64">
        <f t="shared" si="42"/>
        <v>9</v>
      </c>
      <c r="Z64">
        <f t="shared" si="43"/>
        <v>-1.5707963267948966</v>
      </c>
      <c r="AA64" t="e">
        <f t="shared" si="44"/>
        <v>#NUM!</v>
      </c>
      <c r="AB64" t="e">
        <f t="shared" si="45"/>
        <v>#NUM!</v>
      </c>
      <c r="AC64" t="e">
        <f t="shared" si="46"/>
        <v>#NUM!</v>
      </c>
      <c r="AE64">
        <v>3.2153875902064446E-6</v>
      </c>
      <c r="AF64">
        <v>-59.999999999999922</v>
      </c>
      <c r="AH64" s="1">
        <v>58</v>
      </c>
      <c r="AI64" s="1">
        <f t="shared" si="47"/>
        <v>0</v>
      </c>
      <c r="AJ64" s="1">
        <f t="shared" si="48"/>
        <v>0</v>
      </c>
      <c r="AK64" s="2">
        <f t="shared" si="49"/>
        <v>0</v>
      </c>
      <c r="AL64" s="2">
        <f t="shared" si="50"/>
        <v>0</v>
      </c>
      <c r="AY64">
        <v>12.906193769447022</v>
      </c>
      <c r="BH64">
        <v>65.399417358334091</v>
      </c>
    </row>
    <row r="65" spans="2:63" x14ac:dyDescent="0.25">
      <c r="B65" t="e">
        <f t="shared" si="2"/>
        <v>#NUM!</v>
      </c>
      <c r="C65" t="e">
        <f t="shared" si="2"/>
        <v>#NUM!</v>
      </c>
      <c r="W65" t="e">
        <f t="shared" si="40"/>
        <v>#NUM!</v>
      </c>
      <c r="X65">
        <f t="shared" si="41"/>
        <v>61.570799515387513</v>
      </c>
      <c r="Y65">
        <f t="shared" si="42"/>
        <v>9</v>
      </c>
      <c r="Z65">
        <f t="shared" si="43"/>
        <v>-1.5707963267948966</v>
      </c>
      <c r="AA65" t="e">
        <f t="shared" si="44"/>
        <v>#NUM!</v>
      </c>
      <c r="AB65" t="e">
        <f t="shared" si="45"/>
        <v>#NUM!</v>
      </c>
      <c r="AC65" t="e">
        <f t="shared" si="46"/>
        <v>#NUM!</v>
      </c>
      <c r="AE65">
        <v>3.2153875902064446E-6</v>
      </c>
      <c r="AF65">
        <v>-59.999999999999922</v>
      </c>
      <c r="AH65" s="1">
        <v>59</v>
      </c>
      <c r="AI65" s="1">
        <f t="shared" si="47"/>
        <v>0</v>
      </c>
      <c r="AJ65" s="1">
        <f t="shared" si="48"/>
        <v>0</v>
      </c>
      <c r="AK65" s="2">
        <f t="shared" si="49"/>
        <v>0</v>
      </c>
      <c r="AL65" s="2">
        <f t="shared" si="50"/>
        <v>0</v>
      </c>
      <c r="AY65">
        <v>40.33871401481656</v>
      </c>
      <c r="BH65">
        <v>6.4718624751720384</v>
      </c>
    </row>
    <row r="66" spans="2:63" x14ac:dyDescent="0.25">
      <c r="B66" t="e">
        <f t="shared" si="2"/>
        <v>#NUM!</v>
      </c>
      <c r="C66" t="e">
        <f t="shared" si="2"/>
        <v>#NUM!</v>
      </c>
      <c r="W66" t="e">
        <f t="shared" si="40"/>
        <v>#NUM!</v>
      </c>
      <c r="X66">
        <f t="shared" si="41"/>
        <v>61.570799515387513</v>
      </c>
      <c r="Y66">
        <f t="shared" si="42"/>
        <v>9</v>
      </c>
      <c r="Z66">
        <f t="shared" si="43"/>
        <v>-1.5707963267948966</v>
      </c>
      <c r="AA66" t="e">
        <f t="shared" si="44"/>
        <v>#NUM!</v>
      </c>
      <c r="AB66" t="e">
        <f t="shared" si="45"/>
        <v>#NUM!</v>
      </c>
      <c r="AC66" t="e">
        <f t="shared" si="46"/>
        <v>#NUM!</v>
      </c>
      <c r="AE66">
        <v>3.2153875902064446E-6</v>
      </c>
      <c r="AF66">
        <v>-59.999999999999922</v>
      </c>
      <c r="AH66" s="1">
        <v>60</v>
      </c>
      <c r="AI66" s="1">
        <f t="shared" si="47"/>
        <v>0</v>
      </c>
      <c r="AJ66" s="1">
        <f t="shared" si="48"/>
        <v>0</v>
      </c>
      <c r="AK66" s="2">
        <f t="shared" si="49"/>
        <v>0</v>
      </c>
      <c r="AL66" s="2">
        <f t="shared" si="50"/>
        <v>0</v>
      </c>
      <c r="AY66">
        <v>9</v>
      </c>
      <c r="BH66">
        <v>0</v>
      </c>
    </row>
    <row r="67" spans="2:63" x14ac:dyDescent="0.25">
      <c r="B67" t="e">
        <f t="shared" si="2"/>
        <v>#NUM!</v>
      </c>
      <c r="C67" t="e">
        <f t="shared" si="2"/>
        <v>#NUM!</v>
      </c>
      <c r="W67" t="e">
        <f t="shared" si="40"/>
        <v>#NUM!</v>
      </c>
      <c r="X67">
        <f t="shared" si="41"/>
        <v>61.570799515387513</v>
      </c>
      <c r="Y67">
        <f t="shared" si="42"/>
        <v>9</v>
      </c>
      <c r="Z67">
        <f t="shared" si="43"/>
        <v>-1.5707963267948966</v>
      </c>
      <c r="AA67" t="e">
        <f t="shared" si="44"/>
        <v>#NUM!</v>
      </c>
      <c r="AB67" t="e">
        <f t="shared" si="45"/>
        <v>#NUM!</v>
      </c>
      <c r="AC67" t="e">
        <f t="shared" si="46"/>
        <v>#NUM!</v>
      </c>
      <c r="AE67">
        <v>3.2153875902064446E-6</v>
      </c>
      <c r="AF67">
        <v>-59.999999999999922</v>
      </c>
      <c r="AH67" s="1">
        <v>61</v>
      </c>
      <c r="AI67" s="1">
        <f t="shared" si="47"/>
        <v>0</v>
      </c>
      <c r="AJ67" s="1">
        <f t="shared" si="48"/>
        <v>0</v>
      </c>
      <c r="AK67" s="2">
        <f t="shared" si="49"/>
        <v>0</v>
      </c>
      <c r="AL67" s="2">
        <f t="shared" si="50"/>
        <v>0</v>
      </c>
      <c r="AY67">
        <v>-9</v>
      </c>
      <c r="BI67">
        <v>0</v>
      </c>
    </row>
    <row r="68" spans="2:63" x14ac:dyDescent="0.25">
      <c r="B68" t="e">
        <f t="shared" si="2"/>
        <v>#NUM!</v>
      </c>
      <c r="C68" t="e">
        <f t="shared" si="2"/>
        <v>#NUM!</v>
      </c>
      <c r="W68" t="e">
        <f t="shared" si="40"/>
        <v>#NUM!</v>
      </c>
      <c r="X68">
        <f t="shared" si="41"/>
        <v>61.570799515387513</v>
      </c>
      <c r="Y68">
        <f t="shared" si="42"/>
        <v>9</v>
      </c>
      <c r="Z68">
        <f t="shared" si="43"/>
        <v>-1.5707963267948966</v>
      </c>
      <c r="AA68" t="e">
        <f t="shared" si="44"/>
        <v>#NUM!</v>
      </c>
      <c r="AB68" t="e">
        <f t="shared" si="45"/>
        <v>#NUM!</v>
      </c>
      <c r="AC68" t="e">
        <f t="shared" si="46"/>
        <v>#NUM!</v>
      </c>
      <c r="AE68">
        <v>3.2153875902064446E-6</v>
      </c>
      <c r="AF68">
        <v>-59.999999999999922</v>
      </c>
      <c r="AH68" s="1">
        <v>62</v>
      </c>
      <c r="AI68" s="1">
        <f t="shared" si="47"/>
        <v>0</v>
      </c>
      <c r="AJ68" s="1">
        <f t="shared" si="48"/>
        <v>0</v>
      </c>
      <c r="AK68" s="2">
        <f t="shared" si="49"/>
        <v>0</v>
      </c>
      <c r="AL68" s="2">
        <f t="shared" si="50"/>
        <v>0</v>
      </c>
      <c r="AY68">
        <v>-25.874842951302725</v>
      </c>
      <c r="BI68">
        <v>27.188962381247077</v>
      </c>
    </row>
    <row r="69" spans="2:63" x14ac:dyDescent="0.25">
      <c r="B69" t="e">
        <f t="shared" si="2"/>
        <v>#NUM!</v>
      </c>
      <c r="C69" t="e">
        <f t="shared" si="2"/>
        <v>#NUM!</v>
      </c>
      <c r="W69" t="e">
        <f t="shared" si="40"/>
        <v>#NUM!</v>
      </c>
      <c r="X69">
        <f t="shared" si="41"/>
        <v>61.570799515387513</v>
      </c>
      <c r="Y69">
        <f t="shared" si="42"/>
        <v>9</v>
      </c>
      <c r="Z69">
        <f t="shared" si="43"/>
        <v>-1.5707963267948966</v>
      </c>
      <c r="AA69" t="e">
        <f t="shared" si="44"/>
        <v>#NUM!</v>
      </c>
      <c r="AB69" t="e">
        <f t="shared" si="45"/>
        <v>#NUM!</v>
      </c>
      <c r="AC69" t="e">
        <f t="shared" si="46"/>
        <v>#NUM!</v>
      </c>
      <c r="AE69">
        <v>3.2153875902064446E-6</v>
      </c>
      <c r="AF69">
        <v>-59.999999999999922</v>
      </c>
      <c r="AH69" s="1">
        <v>63</v>
      </c>
      <c r="AI69" s="1">
        <f t="shared" si="47"/>
        <v>0</v>
      </c>
      <c r="AJ69" s="1">
        <f t="shared" si="48"/>
        <v>0</v>
      </c>
      <c r="AK69" s="2">
        <f t="shared" si="49"/>
        <v>0</v>
      </c>
      <c r="AL69" s="2">
        <f t="shared" si="50"/>
        <v>0</v>
      </c>
      <c r="AY69">
        <v>42</v>
      </c>
      <c r="BI69">
        <v>80</v>
      </c>
    </row>
    <row r="70" spans="2:63" x14ac:dyDescent="0.25">
      <c r="B70" t="e">
        <f t="shared" si="2"/>
        <v>#NUM!</v>
      </c>
      <c r="C70" t="e">
        <f t="shared" si="2"/>
        <v>#NUM!</v>
      </c>
      <c r="W70" t="e">
        <f t="shared" si="40"/>
        <v>#NUM!</v>
      </c>
      <c r="X70">
        <f t="shared" si="41"/>
        <v>61.570799515387513</v>
      </c>
      <c r="Y70">
        <f t="shared" si="42"/>
        <v>9</v>
      </c>
      <c r="Z70">
        <f t="shared" si="43"/>
        <v>-1.5707963267948966</v>
      </c>
      <c r="AA70" t="e">
        <f t="shared" si="44"/>
        <v>#NUM!</v>
      </c>
      <c r="AB70" t="e">
        <f t="shared" si="45"/>
        <v>#NUM!</v>
      </c>
      <c r="AC70" t="e">
        <f t="shared" si="46"/>
        <v>#NUM!</v>
      </c>
      <c r="AE70">
        <v>3.2153875902064446E-6</v>
      </c>
      <c r="AF70">
        <v>-59.999999999999922</v>
      </c>
      <c r="AH70" s="1">
        <v>64</v>
      </c>
      <c r="AI70" s="1">
        <f t="shared" si="47"/>
        <v>0</v>
      </c>
      <c r="AJ70" s="1">
        <f t="shared" si="48"/>
        <v>0</v>
      </c>
      <c r="AK70" s="2">
        <f t="shared" si="49"/>
        <v>0</v>
      </c>
      <c r="AL70" s="2">
        <f t="shared" si="50"/>
        <v>0</v>
      </c>
      <c r="AY70">
        <v>25.425910442131688</v>
      </c>
      <c r="BI70">
        <v>67.104281511704798</v>
      </c>
    </row>
    <row r="71" spans="2:63" x14ac:dyDescent="0.25">
      <c r="B71" t="e">
        <f t="shared" ref="B71:C134" si="51">AB71</f>
        <v>#NUM!</v>
      </c>
      <c r="C71" t="e">
        <f t="shared" si="51"/>
        <v>#NUM!</v>
      </c>
      <c r="W71" t="e">
        <f t="shared" si="40"/>
        <v>#NUM!</v>
      </c>
      <c r="X71">
        <f t="shared" si="41"/>
        <v>61.570799515387513</v>
      </c>
      <c r="Y71">
        <f t="shared" si="42"/>
        <v>9</v>
      </c>
      <c r="Z71">
        <f t="shared" si="43"/>
        <v>-1.5707963267948966</v>
      </c>
      <c r="AA71" t="e">
        <f t="shared" si="44"/>
        <v>#NUM!</v>
      </c>
      <c r="AB71" t="e">
        <f t="shared" si="45"/>
        <v>#NUM!</v>
      </c>
      <c r="AC71" t="e">
        <f t="shared" si="46"/>
        <v>#NUM!</v>
      </c>
      <c r="AE71">
        <v>3.2153875902064446E-6</v>
      </c>
      <c r="AF71">
        <v>-59.999999999999922</v>
      </c>
      <c r="AH71" s="1">
        <v>65</v>
      </c>
      <c r="AI71" s="1">
        <f t="shared" si="47"/>
        <v>0</v>
      </c>
      <c r="AJ71" s="1">
        <f t="shared" si="48"/>
        <v>0</v>
      </c>
      <c r="AK71" s="2">
        <f t="shared" si="49"/>
        <v>0</v>
      </c>
      <c r="AL71" s="2">
        <f t="shared" si="50"/>
        <v>0</v>
      </c>
      <c r="AY71">
        <v>40.756751843001304</v>
      </c>
      <c r="BI71">
        <v>3.9381102551900797</v>
      </c>
    </row>
    <row r="72" spans="2:63" x14ac:dyDescent="0.25">
      <c r="B72" t="e">
        <f t="shared" si="51"/>
        <v>#NUM!</v>
      </c>
      <c r="C72" t="e">
        <f t="shared" si="51"/>
        <v>#NUM!</v>
      </c>
      <c r="W72" t="e">
        <f t="shared" si="40"/>
        <v>#NUM!</v>
      </c>
      <c r="X72">
        <f t="shared" si="41"/>
        <v>61.570799515387513</v>
      </c>
      <c r="Y72">
        <f t="shared" si="42"/>
        <v>9</v>
      </c>
      <c r="Z72">
        <f t="shared" si="43"/>
        <v>-1.5707963267948966</v>
      </c>
      <c r="AA72" t="e">
        <f t="shared" si="44"/>
        <v>#NUM!</v>
      </c>
      <c r="AB72" t="e">
        <f t="shared" si="45"/>
        <v>#NUM!</v>
      </c>
      <c r="AC72" t="e">
        <f t="shared" si="46"/>
        <v>#NUM!</v>
      </c>
      <c r="AE72">
        <v>3.2153875902064446E-6</v>
      </c>
      <c r="AF72">
        <v>-59.999999999999922</v>
      </c>
      <c r="AH72" s="1">
        <v>66</v>
      </c>
      <c r="AI72" s="1">
        <f t="shared" si="47"/>
        <v>0</v>
      </c>
      <c r="AJ72" s="1">
        <f t="shared" si="48"/>
        <v>0</v>
      </c>
      <c r="AK72" s="2">
        <f t="shared" si="49"/>
        <v>0</v>
      </c>
      <c r="AL72" s="2">
        <f t="shared" si="50"/>
        <v>0</v>
      </c>
      <c r="AY72">
        <v>9</v>
      </c>
      <c r="BI72">
        <v>0</v>
      </c>
    </row>
    <row r="73" spans="2:63" x14ac:dyDescent="0.25">
      <c r="B73" t="e">
        <f t="shared" si="51"/>
        <v>#NUM!</v>
      </c>
      <c r="C73" t="e">
        <f t="shared" si="51"/>
        <v>#NUM!</v>
      </c>
      <c r="W73" t="e">
        <f t="shared" si="40"/>
        <v>#NUM!</v>
      </c>
      <c r="X73">
        <f t="shared" si="41"/>
        <v>61.570799515387513</v>
      </c>
      <c r="Y73">
        <f t="shared" si="42"/>
        <v>9</v>
      </c>
      <c r="Z73">
        <f t="shared" si="43"/>
        <v>-1.5707963267948966</v>
      </c>
      <c r="AA73" t="e">
        <f t="shared" si="44"/>
        <v>#NUM!</v>
      </c>
      <c r="AB73" t="e">
        <f t="shared" si="45"/>
        <v>#NUM!</v>
      </c>
      <c r="AC73" t="e">
        <f t="shared" si="46"/>
        <v>#NUM!</v>
      </c>
      <c r="AE73">
        <v>3.2153875902064446E-6</v>
      </c>
      <c r="AF73">
        <v>-59.999999999999922</v>
      </c>
      <c r="AH73" s="1">
        <v>67</v>
      </c>
      <c r="AI73" s="1">
        <f t="shared" si="47"/>
        <v>0</v>
      </c>
      <c r="AJ73" s="1">
        <f t="shared" si="48"/>
        <v>0</v>
      </c>
      <c r="AK73" s="2">
        <f t="shared" si="49"/>
        <v>0</v>
      </c>
      <c r="AL73" s="2">
        <f t="shared" si="50"/>
        <v>0</v>
      </c>
      <c r="AY73">
        <v>-9</v>
      </c>
      <c r="BJ73">
        <v>0</v>
      </c>
    </row>
    <row r="74" spans="2:63" x14ac:dyDescent="0.25">
      <c r="B74" t="e">
        <f t="shared" si="51"/>
        <v>#NUM!</v>
      </c>
      <c r="C74" t="e">
        <f t="shared" si="51"/>
        <v>#NUM!</v>
      </c>
      <c r="W74" t="e">
        <f t="shared" si="40"/>
        <v>#NUM!</v>
      </c>
      <c r="X74">
        <f t="shared" si="41"/>
        <v>61.570799515387513</v>
      </c>
      <c r="Y74">
        <f t="shared" si="42"/>
        <v>9</v>
      </c>
      <c r="Z74">
        <f t="shared" si="43"/>
        <v>-1.5707963267948966</v>
      </c>
      <c r="AA74" t="e">
        <f t="shared" si="44"/>
        <v>#NUM!</v>
      </c>
      <c r="AB74" t="e">
        <f t="shared" si="45"/>
        <v>#NUM!</v>
      </c>
      <c r="AC74" t="e">
        <f t="shared" si="46"/>
        <v>#NUM!</v>
      </c>
      <c r="AE74">
        <v>3.2153875902064446E-6</v>
      </c>
      <c r="AF74">
        <v>-59.999999999999922</v>
      </c>
      <c r="AH74" s="1">
        <v>68</v>
      </c>
      <c r="AI74" s="1">
        <f t="shared" si="47"/>
        <v>0</v>
      </c>
      <c r="AJ74" s="1">
        <f t="shared" si="48"/>
        <v>0</v>
      </c>
      <c r="AK74" s="2">
        <f t="shared" si="49"/>
        <v>0</v>
      </c>
      <c r="AL74" s="2">
        <f t="shared" si="50"/>
        <v>0</v>
      </c>
      <c r="AY74">
        <v>-14.976288297232923</v>
      </c>
      <c r="BJ74">
        <v>31.436984241309737</v>
      </c>
    </row>
    <row r="75" spans="2:63" x14ac:dyDescent="0.25">
      <c r="B75" t="e">
        <f t="shared" si="51"/>
        <v>#NUM!</v>
      </c>
      <c r="C75" t="e">
        <f t="shared" si="51"/>
        <v>#NUM!</v>
      </c>
      <c r="W75" t="e">
        <f t="shared" si="40"/>
        <v>#NUM!</v>
      </c>
      <c r="X75">
        <f t="shared" si="41"/>
        <v>61.570799515387513</v>
      </c>
      <c r="Y75">
        <f t="shared" si="42"/>
        <v>9</v>
      </c>
      <c r="Z75">
        <f t="shared" si="43"/>
        <v>-1.5707963267948966</v>
      </c>
      <c r="AA75" t="e">
        <f t="shared" si="44"/>
        <v>#NUM!</v>
      </c>
      <c r="AB75" t="e">
        <f t="shared" si="45"/>
        <v>#NUM!</v>
      </c>
      <c r="AC75" t="e">
        <f t="shared" si="46"/>
        <v>#NUM!</v>
      </c>
      <c r="AE75">
        <v>3.2153875902064446E-6</v>
      </c>
      <c r="AF75">
        <v>-59.999999999999922</v>
      </c>
      <c r="AH75" s="1">
        <v>69</v>
      </c>
      <c r="AI75" s="1">
        <f t="shared" si="47"/>
        <v>0</v>
      </c>
      <c r="AJ75" s="1">
        <f t="shared" si="48"/>
        <v>0</v>
      </c>
      <c r="AK75" s="2">
        <f t="shared" si="49"/>
        <v>0</v>
      </c>
      <c r="AL75" s="2">
        <f t="shared" si="50"/>
        <v>0</v>
      </c>
      <c r="AY75">
        <v>56</v>
      </c>
      <c r="BJ75">
        <v>80</v>
      </c>
    </row>
    <row r="76" spans="2:63" x14ac:dyDescent="0.25">
      <c r="B76" t="e">
        <f t="shared" si="51"/>
        <v>#NUM!</v>
      </c>
      <c r="C76" t="e">
        <f t="shared" si="51"/>
        <v>#NUM!</v>
      </c>
      <c r="W76" t="e">
        <f t="shared" si="40"/>
        <v>#NUM!</v>
      </c>
      <c r="X76">
        <f t="shared" si="41"/>
        <v>61.570799515387513</v>
      </c>
      <c r="Y76">
        <f t="shared" si="42"/>
        <v>9</v>
      </c>
      <c r="Z76">
        <f t="shared" si="43"/>
        <v>-1.5707963267948966</v>
      </c>
      <c r="AA76" t="e">
        <f t="shared" si="44"/>
        <v>#NUM!</v>
      </c>
      <c r="AB76" t="e">
        <f t="shared" si="45"/>
        <v>#NUM!</v>
      </c>
      <c r="AC76" t="e">
        <f t="shared" si="46"/>
        <v>#NUM!</v>
      </c>
      <c r="AE76">
        <v>3.2153875902064446E-6</v>
      </c>
      <c r="AF76">
        <v>-59.999999999999922</v>
      </c>
      <c r="AH76" s="1">
        <v>70</v>
      </c>
      <c r="AI76" s="1">
        <f t="shared" si="47"/>
        <v>0</v>
      </c>
      <c r="AJ76" s="1">
        <f t="shared" si="48"/>
        <v>0</v>
      </c>
      <c r="AK76" s="2">
        <f t="shared" si="49"/>
        <v>0</v>
      </c>
      <c r="AL76" s="2">
        <f t="shared" si="50"/>
        <v>0</v>
      </c>
      <c r="AY76">
        <v>38.668580764638349</v>
      </c>
      <c r="BJ76">
        <v>68.141589175205283</v>
      </c>
    </row>
    <row r="77" spans="2:63" x14ac:dyDescent="0.25">
      <c r="B77" t="e">
        <f t="shared" si="51"/>
        <v>#NUM!</v>
      </c>
      <c r="C77" t="e">
        <f t="shared" si="51"/>
        <v>#NUM!</v>
      </c>
      <c r="W77" t="e">
        <f t="shared" si="40"/>
        <v>#NUM!</v>
      </c>
      <c r="X77">
        <f t="shared" si="41"/>
        <v>61.570799515387513</v>
      </c>
      <c r="Y77">
        <f t="shared" si="42"/>
        <v>9</v>
      </c>
      <c r="Z77">
        <f t="shared" si="43"/>
        <v>-1.5707963267948966</v>
      </c>
      <c r="AA77" t="e">
        <f t="shared" si="44"/>
        <v>#NUM!</v>
      </c>
      <c r="AB77" t="e">
        <f t="shared" si="45"/>
        <v>#NUM!</v>
      </c>
      <c r="AC77" t="e">
        <f t="shared" si="46"/>
        <v>#NUM!</v>
      </c>
      <c r="AE77">
        <v>3.2153875902064446E-6</v>
      </c>
      <c r="AF77">
        <v>-59.999999999999922</v>
      </c>
      <c r="AH77" s="1">
        <v>71</v>
      </c>
      <c r="AI77" s="1">
        <f t="shared" si="47"/>
        <v>0</v>
      </c>
      <c r="AJ77" s="1">
        <f t="shared" si="48"/>
        <v>0</v>
      </c>
      <c r="AK77" s="2">
        <f t="shared" si="49"/>
        <v>0</v>
      </c>
      <c r="AL77" s="2">
        <f t="shared" si="50"/>
        <v>0</v>
      </c>
      <c r="AY77">
        <v>40.841808347238583</v>
      </c>
      <c r="BJ77">
        <v>3.1779303292751959</v>
      </c>
    </row>
    <row r="78" spans="2:63" x14ac:dyDescent="0.25">
      <c r="B78" t="e">
        <f t="shared" si="51"/>
        <v>#NUM!</v>
      </c>
      <c r="C78" t="e">
        <f t="shared" si="51"/>
        <v>#NUM!</v>
      </c>
      <c r="W78" t="e">
        <f t="shared" si="40"/>
        <v>#NUM!</v>
      </c>
      <c r="X78">
        <f t="shared" si="41"/>
        <v>61.570799515387513</v>
      </c>
      <c r="Y78">
        <f t="shared" si="42"/>
        <v>9</v>
      </c>
      <c r="Z78">
        <f t="shared" si="43"/>
        <v>-1.5707963267948966</v>
      </c>
      <c r="AA78" t="e">
        <f t="shared" si="44"/>
        <v>#NUM!</v>
      </c>
      <c r="AB78" t="e">
        <f t="shared" si="45"/>
        <v>#NUM!</v>
      </c>
      <c r="AC78" t="e">
        <f t="shared" si="46"/>
        <v>#NUM!</v>
      </c>
      <c r="AE78">
        <v>3.2153875902064446E-6</v>
      </c>
      <c r="AF78">
        <v>-59.999999999999922</v>
      </c>
      <c r="AH78" s="1">
        <v>72</v>
      </c>
      <c r="AI78" s="1">
        <f t="shared" si="47"/>
        <v>0</v>
      </c>
      <c r="AJ78" s="1">
        <f t="shared" si="48"/>
        <v>0</v>
      </c>
      <c r="AK78" s="2">
        <f t="shared" si="49"/>
        <v>0</v>
      </c>
      <c r="AL78" s="2">
        <f t="shared" si="50"/>
        <v>0</v>
      </c>
      <c r="AY78">
        <v>9</v>
      </c>
      <c r="BJ78">
        <v>0</v>
      </c>
    </row>
    <row r="79" spans="2:63" x14ac:dyDescent="0.25">
      <c r="B79" t="e">
        <f t="shared" si="51"/>
        <v>#NUM!</v>
      </c>
      <c r="C79" t="e">
        <f t="shared" si="51"/>
        <v>#NUM!</v>
      </c>
      <c r="W79" t="e">
        <f t="shared" si="40"/>
        <v>#NUM!</v>
      </c>
      <c r="X79">
        <f t="shared" si="41"/>
        <v>61.570799515387513</v>
      </c>
      <c r="Y79">
        <f t="shared" si="42"/>
        <v>9</v>
      </c>
      <c r="Z79">
        <f t="shared" si="43"/>
        <v>-1.5707963267948966</v>
      </c>
      <c r="AA79" t="e">
        <f t="shared" si="44"/>
        <v>#NUM!</v>
      </c>
      <c r="AB79" t="e">
        <f t="shared" si="45"/>
        <v>#NUM!</v>
      </c>
      <c r="AC79" t="e">
        <f t="shared" si="46"/>
        <v>#NUM!</v>
      </c>
      <c r="AE79">
        <v>3.2153875902064446E-6</v>
      </c>
      <c r="AF79">
        <v>-59.999999999999922</v>
      </c>
      <c r="AH79" s="1">
        <v>73</v>
      </c>
      <c r="AI79" s="1">
        <f t="shared" si="47"/>
        <v>0</v>
      </c>
      <c r="AJ79" s="1">
        <f t="shared" si="48"/>
        <v>0</v>
      </c>
      <c r="AK79" s="2">
        <f t="shared" si="49"/>
        <v>0</v>
      </c>
      <c r="AL79" s="2">
        <f t="shared" si="50"/>
        <v>0</v>
      </c>
      <c r="AY79">
        <v>-9</v>
      </c>
      <c r="BK79">
        <v>0</v>
      </c>
    </row>
    <row r="80" spans="2:63" x14ac:dyDescent="0.25">
      <c r="B80" t="e">
        <f t="shared" si="51"/>
        <v>#NUM!</v>
      </c>
      <c r="C80" t="e">
        <f t="shared" si="51"/>
        <v>#NUM!</v>
      </c>
      <c r="W80" t="e">
        <f t="shared" si="40"/>
        <v>#NUM!</v>
      </c>
      <c r="X80">
        <f t="shared" si="41"/>
        <v>61.570799515387513</v>
      </c>
      <c r="Y80">
        <f t="shared" si="42"/>
        <v>9</v>
      </c>
      <c r="Z80">
        <f t="shared" si="43"/>
        <v>-1.5707963267948966</v>
      </c>
      <c r="AA80" t="e">
        <f t="shared" si="44"/>
        <v>#NUM!</v>
      </c>
      <c r="AB80" t="e">
        <f t="shared" si="45"/>
        <v>#NUM!</v>
      </c>
      <c r="AC80" t="e">
        <f t="shared" si="46"/>
        <v>#NUM!</v>
      </c>
      <c r="AE80">
        <v>3.2153875902064446E-6</v>
      </c>
      <c r="AF80">
        <v>-59.999999999999922</v>
      </c>
      <c r="AH80" s="1">
        <v>74</v>
      </c>
      <c r="AI80" s="1">
        <f t="shared" si="47"/>
        <v>0</v>
      </c>
      <c r="AJ80" s="1">
        <f t="shared" si="48"/>
        <v>0</v>
      </c>
      <c r="AK80" s="2">
        <f t="shared" si="49"/>
        <v>0</v>
      </c>
      <c r="AL80" s="2">
        <f t="shared" si="50"/>
        <v>0</v>
      </c>
      <c r="AY80">
        <v>-0.58821925048155776</v>
      </c>
      <c r="BK80">
        <v>30.874616509716052</v>
      </c>
    </row>
    <row r="81" spans="2:65" x14ac:dyDescent="0.25">
      <c r="B81" t="e">
        <f t="shared" si="51"/>
        <v>#NUM!</v>
      </c>
      <c r="C81" t="e">
        <f t="shared" si="51"/>
        <v>#NUM!</v>
      </c>
      <c r="W81" t="e">
        <f t="shared" si="40"/>
        <v>#NUM!</v>
      </c>
      <c r="X81">
        <f t="shared" si="41"/>
        <v>61.570799515387513</v>
      </c>
      <c r="Y81">
        <f t="shared" si="42"/>
        <v>9</v>
      </c>
      <c r="Z81">
        <f t="shared" si="43"/>
        <v>-1.5707963267948966</v>
      </c>
      <c r="AA81" t="e">
        <f t="shared" si="44"/>
        <v>#NUM!</v>
      </c>
      <c r="AB81" t="e">
        <f t="shared" si="45"/>
        <v>#NUM!</v>
      </c>
      <c r="AC81" t="e">
        <f t="shared" si="46"/>
        <v>#NUM!</v>
      </c>
      <c r="AE81">
        <v>3.2153875902064446E-6</v>
      </c>
      <c r="AF81">
        <v>-59.999999999999922</v>
      </c>
      <c r="AH81" s="1">
        <v>75</v>
      </c>
      <c r="AI81" s="1">
        <f t="shared" si="47"/>
        <v>0</v>
      </c>
      <c r="AJ81" s="1">
        <f t="shared" si="48"/>
        <v>0</v>
      </c>
      <c r="AK81" s="2">
        <f t="shared" si="49"/>
        <v>0</v>
      </c>
      <c r="AL81" s="2">
        <f t="shared" si="50"/>
        <v>0</v>
      </c>
      <c r="AY81">
        <v>70</v>
      </c>
      <c r="BK81">
        <v>80</v>
      </c>
    </row>
    <row r="82" spans="2:65" x14ac:dyDescent="0.25">
      <c r="B82" t="e">
        <f t="shared" si="51"/>
        <v>#NUM!</v>
      </c>
      <c r="C82" t="e">
        <f t="shared" si="51"/>
        <v>#NUM!</v>
      </c>
      <c r="W82" t="e">
        <f t="shared" si="40"/>
        <v>#NUM!</v>
      </c>
      <c r="X82">
        <f t="shared" si="41"/>
        <v>61.570799515387513</v>
      </c>
      <c r="Y82">
        <f t="shared" si="42"/>
        <v>9</v>
      </c>
      <c r="Z82">
        <f t="shared" si="43"/>
        <v>-1.5707963267948966</v>
      </c>
      <c r="AA82" t="e">
        <f t="shared" si="44"/>
        <v>#NUM!</v>
      </c>
      <c r="AB82" t="e">
        <f t="shared" si="45"/>
        <v>#NUM!</v>
      </c>
      <c r="AC82" t="e">
        <f t="shared" si="46"/>
        <v>#NUM!</v>
      </c>
      <c r="AE82">
        <v>3.2153875902064446E-6</v>
      </c>
      <c r="AF82">
        <v>-59.999999999999922</v>
      </c>
      <c r="AH82" s="1">
        <v>76</v>
      </c>
      <c r="AI82" s="1">
        <f t="shared" si="47"/>
        <v>0</v>
      </c>
      <c r="AJ82" s="1">
        <f t="shared" si="48"/>
        <v>0</v>
      </c>
      <c r="AK82" s="2">
        <f t="shared" si="49"/>
        <v>0</v>
      </c>
      <c r="AL82" s="2">
        <f t="shared" si="50"/>
        <v>0</v>
      </c>
      <c r="AY82">
        <v>52.763341810937938</v>
      </c>
      <c r="BK82">
        <v>68.00426682213751</v>
      </c>
    </row>
    <row r="83" spans="2:65" x14ac:dyDescent="0.25">
      <c r="B83" t="e">
        <f t="shared" si="51"/>
        <v>#NUM!</v>
      </c>
      <c r="C83" t="e">
        <f t="shared" si="51"/>
        <v>#NUM!</v>
      </c>
      <c r="W83" t="e">
        <f t="shared" ref="W83:W146" si="52">3.14159265358/2-Z83-AA83</f>
        <v>#NUM!</v>
      </c>
      <c r="X83">
        <f t="shared" ref="X83:X146" si="53">3.1415926/2+AE83-AF83</f>
        <v>61.570799515387513</v>
      </c>
      <c r="Y83">
        <f t="shared" ref="Y83:Y146" si="54">SQRT( V83*V83+(U83+$G$2)*(U83+$G$2)     )</f>
        <v>9</v>
      </c>
      <c r="Z83">
        <f t="shared" ref="Z83:Z146" si="55">ATAN2(  V83, -U83-$G$2)</f>
        <v>-1.5707963267948966</v>
      </c>
      <c r="AA83" t="e">
        <f t="shared" ref="AA83:AA146" si="56" xml:space="preserve"> ACOS((Y83*Y83+$C$2*$C$2-($E$2+$T$2)*($E$2+$T$2))/(2*Y83*$C$2))</f>
        <v>#NUM!</v>
      </c>
      <c r="AB83" t="e">
        <f t="shared" ref="AB83:AB146" si="57">-$G$2-$C$2*COS(W83)+(U83+$G$2+COS(W83)*$C$2)*$E$2/($E$2+$T$2)</f>
        <v>#NUM!</v>
      </c>
      <c r="AC83" t="e">
        <f t="shared" ref="AC83:AC146" si="58">$C$2*SIN(W83)+(V83-$C$2*SIN(W83))*$E$2/($T$2+$E$2)</f>
        <v>#NUM!</v>
      </c>
      <c r="AE83">
        <v>3.2153875902064446E-6</v>
      </c>
      <c r="AF83">
        <v>-59.999999999999922</v>
      </c>
      <c r="AH83" s="1">
        <v>77</v>
      </c>
      <c r="AI83" s="1">
        <f t="shared" ref="AI83:AI146" si="59">U83</f>
        <v>0</v>
      </c>
      <c r="AJ83" s="1">
        <f t="shared" ref="AJ83:AJ146" si="60">V83</f>
        <v>0</v>
      </c>
      <c r="AK83" s="2">
        <f t="shared" ref="AK83:AK146" si="61">D83*180/3.1415926</f>
        <v>0</v>
      </c>
      <c r="AL83" s="2">
        <f t="shared" ref="AL83:AL146" si="62">E83*180/3.1415926</f>
        <v>0</v>
      </c>
      <c r="AY83">
        <v>40.732715016655298</v>
      </c>
      <c r="BK83">
        <v>4.1273233059380336</v>
      </c>
    </row>
    <row r="84" spans="2:65" x14ac:dyDescent="0.25">
      <c r="B84" t="e">
        <f t="shared" si="51"/>
        <v>#NUM!</v>
      </c>
      <c r="C84" t="e">
        <f t="shared" si="51"/>
        <v>#NUM!</v>
      </c>
      <c r="W84" t="e">
        <f t="shared" si="52"/>
        <v>#NUM!</v>
      </c>
      <c r="X84">
        <f t="shared" si="53"/>
        <v>61.570799515387513</v>
      </c>
      <c r="Y84">
        <f t="shared" si="54"/>
        <v>9</v>
      </c>
      <c r="Z84">
        <f t="shared" si="55"/>
        <v>-1.5707963267948966</v>
      </c>
      <c r="AA84" t="e">
        <f t="shared" si="56"/>
        <v>#NUM!</v>
      </c>
      <c r="AB84" t="e">
        <f t="shared" si="57"/>
        <v>#NUM!</v>
      </c>
      <c r="AC84" t="e">
        <f t="shared" si="58"/>
        <v>#NUM!</v>
      </c>
      <c r="AE84">
        <v>3.2153875902064446E-6</v>
      </c>
      <c r="AF84">
        <v>-59.999999999999922</v>
      </c>
      <c r="AH84" s="1">
        <v>78</v>
      </c>
      <c r="AI84" s="1">
        <f t="shared" si="59"/>
        <v>0</v>
      </c>
      <c r="AJ84" s="1">
        <f t="shared" si="60"/>
        <v>0</v>
      </c>
      <c r="AK84" s="2">
        <f t="shared" si="61"/>
        <v>0</v>
      </c>
      <c r="AL84" s="2">
        <f t="shared" si="62"/>
        <v>0</v>
      </c>
      <c r="AY84">
        <v>9</v>
      </c>
      <c r="BK84">
        <v>0</v>
      </c>
    </row>
    <row r="85" spans="2:65" x14ac:dyDescent="0.25">
      <c r="B85" t="e">
        <f t="shared" si="51"/>
        <v>#NUM!</v>
      </c>
      <c r="C85" t="e">
        <f t="shared" si="51"/>
        <v>#NUM!</v>
      </c>
      <c r="W85" t="e">
        <f t="shared" si="52"/>
        <v>#NUM!</v>
      </c>
      <c r="X85">
        <f t="shared" si="53"/>
        <v>61.570799515387513</v>
      </c>
      <c r="Y85">
        <f t="shared" si="54"/>
        <v>9</v>
      </c>
      <c r="Z85">
        <f t="shared" si="55"/>
        <v>-1.5707963267948966</v>
      </c>
      <c r="AA85" t="e">
        <f t="shared" si="56"/>
        <v>#NUM!</v>
      </c>
      <c r="AB85" t="e">
        <f t="shared" si="57"/>
        <v>#NUM!</v>
      </c>
      <c r="AC85" t="e">
        <f t="shared" si="58"/>
        <v>#NUM!</v>
      </c>
      <c r="AE85">
        <v>3.2153875902064446E-6</v>
      </c>
      <c r="AF85">
        <v>-59.999999999999922</v>
      </c>
      <c r="AH85" s="1">
        <v>79</v>
      </c>
      <c r="AI85" s="1">
        <f t="shared" si="59"/>
        <v>0</v>
      </c>
      <c r="AJ85" s="1">
        <f t="shared" si="60"/>
        <v>0</v>
      </c>
      <c r="AK85" s="2">
        <f t="shared" si="61"/>
        <v>0</v>
      </c>
      <c r="AL85" s="2">
        <f t="shared" si="62"/>
        <v>0</v>
      </c>
      <c r="AY85">
        <v>-9</v>
      </c>
      <c r="BL85">
        <v>0</v>
      </c>
    </row>
    <row r="86" spans="2:65" x14ac:dyDescent="0.25">
      <c r="B86" t="e">
        <f t="shared" si="51"/>
        <v>#NUM!</v>
      </c>
      <c r="C86" t="e">
        <f t="shared" si="51"/>
        <v>#NUM!</v>
      </c>
      <c r="W86" t="e">
        <f t="shared" si="52"/>
        <v>#NUM!</v>
      </c>
      <c r="X86">
        <f t="shared" si="53"/>
        <v>61.570799515387513</v>
      </c>
      <c r="Y86">
        <f t="shared" si="54"/>
        <v>9</v>
      </c>
      <c r="Z86">
        <f t="shared" si="55"/>
        <v>-1.5707963267948966</v>
      </c>
      <c r="AA86" t="e">
        <f t="shared" si="56"/>
        <v>#NUM!</v>
      </c>
      <c r="AB86" t="e">
        <f t="shared" si="57"/>
        <v>#NUM!</v>
      </c>
      <c r="AC86" t="e">
        <f t="shared" si="58"/>
        <v>#NUM!</v>
      </c>
      <c r="AE86">
        <v>3.2153875902064446E-6</v>
      </c>
      <c r="AF86">
        <v>-59.999999999999922</v>
      </c>
      <c r="AH86" s="1">
        <v>80</v>
      </c>
      <c r="AI86" s="1">
        <f t="shared" si="59"/>
        <v>0</v>
      </c>
      <c r="AJ86" s="1">
        <f t="shared" si="60"/>
        <v>0</v>
      </c>
      <c r="AK86" s="2">
        <f t="shared" si="61"/>
        <v>0</v>
      </c>
      <c r="AL86" s="2">
        <f t="shared" si="62"/>
        <v>0</v>
      </c>
      <c r="AY86">
        <v>-11.286006599795854</v>
      </c>
      <c r="BL86">
        <v>31.91824202279458</v>
      </c>
    </row>
    <row r="87" spans="2:65" x14ac:dyDescent="0.25">
      <c r="B87" t="e">
        <f t="shared" si="51"/>
        <v>#NUM!</v>
      </c>
      <c r="C87" t="e">
        <f t="shared" si="51"/>
        <v>#NUM!</v>
      </c>
      <c r="W87" t="e">
        <f t="shared" si="52"/>
        <v>#NUM!</v>
      </c>
      <c r="X87">
        <f t="shared" si="53"/>
        <v>61.570799515387513</v>
      </c>
      <c r="Y87">
        <f t="shared" si="54"/>
        <v>9</v>
      </c>
      <c r="Z87">
        <f t="shared" si="55"/>
        <v>-1.5707963267948966</v>
      </c>
      <c r="AA87" t="e">
        <f t="shared" si="56"/>
        <v>#NUM!</v>
      </c>
      <c r="AB87" t="e">
        <f t="shared" si="57"/>
        <v>#NUM!</v>
      </c>
      <c r="AC87" t="e">
        <f t="shared" si="58"/>
        <v>#NUM!</v>
      </c>
      <c r="AE87">
        <v>3.2153875902064446E-6</v>
      </c>
      <c r="AF87">
        <v>-59.999999999999922</v>
      </c>
      <c r="AH87" s="1">
        <v>81</v>
      </c>
      <c r="AI87" s="1">
        <f t="shared" si="59"/>
        <v>0</v>
      </c>
      <c r="AJ87" s="1">
        <f t="shared" si="60"/>
        <v>0</v>
      </c>
      <c r="AK87" s="2">
        <f t="shared" si="61"/>
        <v>0</v>
      </c>
      <c r="AL87" s="2">
        <f t="shared" si="62"/>
        <v>0</v>
      </c>
      <c r="AY87">
        <v>70</v>
      </c>
      <c r="BL87">
        <v>60</v>
      </c>
    </row>
    <row r="88" spans="2:65" x14ac:dyDescent="0.25">
      <c r="B88" t="e">
        <f t="shared" si="51"/>
        <v>#NUM!</v>
      </c>
      <c r="C88" t="e">
        <f t="shared" si="51"/>
        <v>#NUM!</v>
      </c>
      <c r="W88" t="e">
        <f t="shared" si="52"/>
        <v>#NUM!</v>
      </c>
      <c r="X88">
        <f t="shared" si="53"/>
        <v>61.570799515387513</v>
      </c>
      <c r="Y88">
        <f t="shared" si="54"/>
        <v>9</v>
      </c>
      <c r="Z88">
        <f t="shared" si="55"/>
        <v>-1.5707963267948966</v>
      </c>
      <c r="AA88" t="e">
        <f t="shared" si="56"/>
        <v>#NUM!</v>
      </c>
      <c r="AB88" t="e">
        <f t="shared" si="57"/>
        <v>#NUM!</v>
      </c>
      <c r="AC88" t="e">
        <f t="shared" si="58"/>
        <v>#NUM!</v>
      </c>
      <c r="AE88">
        <v>3.2153875902064446E-6</v>
      </c>
      <c r="AF88">
        <v>-59.999999999999922</v>
      </c>
      <c r="AH88" s="1">
        <v>82</v>
      </c>
      <c r="AI88" s="1">
        <f t="shared" si="59"/>
        <v>0</v>
      </c>
      <c r="AJ88" s="1">
        <f t="shared" si="60"/>
        <v>0</v>
      </c>
      <c r="AK88" s="2">
        <f t="shared" si="61"/>
        <v>0</v>
      </c>
      <c r="AL88" s="2">
        <f t="shared" si="62"/>
        <v>0</v>
      </c>
      <c r="AY88">
        <v>50.151091411687077</v>
      </c>
      <c r="BL88">
        <v>53.142826540450507</v>
      </c>
    </row>
    <row r="89" spans="2:65" x14ac:dyDescent="0.25">
      <c r="B89" t="e">
        <f t="shared" si="51"/>
        <v>#NUM!</v>
      </c>
      <c r="C89" t="e">
        <f t="shared" si="51"/>
        <v>#NUM!</v>
      </c>
      <c r="W89" t="e">
        <f t="shared" si="52"/>
        <v>#NUM!</v>
      </c>
      <c r="X89">
        <f t="shared" si="53"/>
        <v>61.570799515387513</v>
      </c>
      <c r="Y89">
        <f t="shared" si="54"/>
        <v>9</v>
      </c>
      <c r="Z89">
        <f t="shared" si="55"/>
        <v>-1.5707963267948966</v>
      </c>
      <c r="AA89" t="e">
        <f t="shared" si="56"/>
        <v>#NUM!</v>
      </c>
      <c r="AB89" t="e">
        <f t="shared" si="57"/>
        <v>#NUM!</v>
      </c>
      <c r="AC89" t="e">
        <f t="shared" si="58"/>
        <v>#NUM!</v>
      </c>
      <c r="AE89">
        <v>3.2153875902064446E-6</v>
      </c>
      <c r="AF89">
        <v>-59.999999999999922</v>
      </c>
      <c r="AH89" s="1">
        <v>83</v>
      </c>
      <c r="AI89" s="1">
        <f t="shared" si="59"/>
        <v>0</v>
      </c>
      <c r="AJ89" s="1">
        <f t="shared" si="60"/>
        <v>0</v>
      </c>
      <c r="AK89" s="2">
        <f t="shared" si="61"/>
        <v>0</v>
      </c>
      <c r="AL89" s="2">
        <f t="shared" si="62"/>
        <v>0</v>
      </c>
      <c r="AY89">
        <v>39.083477722548608</v>
      </c>
      <c r="BL89">
        <v>-10.90799560491852</v>
      </c>
    </row>
    <row r="90" spans="2:65" x14ac:dyDescent="0.25">
      <c r="B90" t="e">
        <f t="shared" si="51"/>
        <v>#NUM!</v>
      </c>
      <c r="C90" t="e">
        <f t="shared" si="51"/>
        <v>#NUM!</v>
      </c>
      <c r="W90" t="e">
        <f t="shared" si="52"/>
        <v>#NUM!</v>
      </c>
      <c r="X90">
        <f t="shared" si="53"/>
        <v>61.570799515387513</v>
      </c>
      <c r="Y90">
        <f t="shared" si="54"/>
        <v>9</v>
      </c>
      <c r="Z90">
        <f t="shared" si="55"/>
        <v>-1.5707963267948966</v>
      </c>
      <c r="AA90" t="e">
        <f t="shared" si="56"/>
        <v>#NUM!</v>
      </c>
      <c r="AB90" t="e">
        <f t="shared" si="57"/>
        <v>#NUM!</v>
      </c>
      <c r="AC90" t="e">
        <f t="shared" si="58"/>
        <v>#NUM!</v>
      </c>
      <c r="AE90">
        <v>3.2153875902064446E-6</v>
      </c>
      <c r="AF90">
        <v>-59.999999999999922</v>
      </c>
      <c r="AH90" s="1">
        <v>84</v>
      </c>
      <c r="AI90" s="1">
        <f t="shared" si="59"/>
        <v>0</v>
      </c>
      <c r="AJ90" s="1">
        <f t="shared" si="60"/>
        <v>0</v>
      </c>
      <c r="AK90" s="2">
        <f t="shared" si="61"/>
        <v>0</v>
      </c>
      <c r="AL90" s="2">
        <f t="shared" si="62"/>
        <v>0</v>
      </c>
      <c r="AY90">
        <v>9</v>
      </c>
      <c r="BL90">
        <v>0</v>
      </c>
    </row>
    <row r="91" spans="2:65" x14ac:dyDescent="0.25">
      <c r="B91" t="e">
        <f t="shared" si="51"/>
        <v>#NUM!</v>
      </c>
      <c r="C91" t="e">
        <f t="shared" si="51"/>
        <v>#NUM!</v>
      </c>
      <c r="W91" t="e">
        <f t="shared" si="52"/>
        <v>#NUM!</v>
      </c>
      <c r="X91">
        <f t="shared" si="53"/>
        <v>61.570799515387513</v>
      </c>
      <c r="Y91">
        <f t="shared" si="54"/>
        <v>9</v>
      </c>
      <c r="Z91">
        <f t="shared" si="55"/>
        <v>-1.5707963267948966</v>
      </c>
      <c r="AA91" t="e">
        <f t="shared" si="56"/>
        <v>#NUM!</v>
      </c>
      <c r="AB91" t="e">
        <f t="shared" si="57"/>
        <v>#NUM!</v>
      </c>
      <c r="AC91" t="e">
        <f t="shared" si="58"/>
        <v>#NUM!</v>
      </c>
      <c r="AE91">
        <v>3.2153875902064446E-6</v>
      </c>
      <c r="AF91">
        <v>-59.999999999999922</v>
      </c>
      <c r="AH91" s="1">
        <v>85</v>
      </c>
      <c r="AI91" s="1">
        <f t="shared" si="59"/>
        <v>0</v>
      </c>
      <c r="AJ91" s="1">
        <f t="shared" si="60"/>
        <v>0</v>
      </c>
      <c r="AK91" s="2">
        <f t="shared" si="61"/>
        <v>0</v>
      </c>
      <c r="AL91" s="2">
        <f t="shared" si="62"/>
        <v>0</v>
      </c>
      <c r="AY91">
        <v>-9</v>
      </c>
      <c r="BM91">
        <v>0</v>
      </c>
    </row>
    <row r="92" spans="2:65" x14ac:dyDescent="0.25">
      <c r="B92" t="e">
        <f t="shared" si="51"/>
        <v>#NUM!</v>
      </c>
      <c r="C92" t="e">
        <f t="shared" si="51"/>
        <v>#NUM!</v>
      </c>
      <c r="W92" t="e">
        <f t="shared" si="52"/>
        <v>#NUM!</v>
      </c>
      <c r="X92">
        <f t="shared" si="53"/>
        <v>61.570799515387513</v>
      </c>
      <c r="Y92">
        <f t="shared" si="54"/>
        <v>9</v>
      </c>
      <c r="Z92">
        <f t="shared" si="55"/>
        <v>-1.5707963267948966</v>
      </c>
      <c r="AA92" t="e">
        <f t="shared" si="56"/>
        <v>#NUM!</v>
      </c>
      <c r="AB92" t="e">
        <f t="shared" si="57"/>
        <v>#NUM!</v>
      </c>
      <c r="AC92" t="e">
        <f t="shared" si="58"/>
        <v>#NUM!</v>
      </c>
      <c r="AE92">
        <v>3.2153875902064446E-6</v>
      </c>
      <c r="AF92">
        <v>-59.999999999999922</v>
      </c>
      <c r="AH92" s="1">
        <v>86</v>
      </c>
      <c r="AI92" s="1">
        <f t="shared" si="59"/>
        <v>0</v>
      </c>
      <c r="AJ92" s="1">
        <f t="shared" si="60"/>
        <v>0</v>
      </c>
      <c r="AK92" s="2">
        <f t="shared" si="61"/>
        <v>0</v>
      </c>
      <c r="AL92" s="2">
        <f t="shared" si="62"/>
        <v>0</v>
      </c>
      <c r="AY92">
        <v>-35.05373744672503</v>
      </c>
      <c r="BM92">
        <v>-18.579633071110901</v>
      </c>
    </row>
    <row r="93" spans="2:65" x14ac:dyDescent="0.25">
      <c r="B93" t="e">
        <f t="shared" si="51"/>
        <v>#NUM!</v>
      </c>
      <c r="C93" t="e">
        <f t="shared" si="51"/>
        <v>#NUM!</v>
      </c>
      <c r="W93" t="e">
        <f t="shared" si="52"/>
        <v>#NUM!</v>
      </c>
      <c r="X93">
        <f t="shared" si="53"/>
        <v>61.570799515387513</v>
      </c>
      <c r="Y93">
        <f t="shared" si="54"/>
        <v>9</v>
      </c>
      <c r="Z93">
        <f t="shared" si="55"/>
        <v>-1.5707963267948966</v>
      </c>
      <c r="AA93" t="e">
        <f t="shared" si="56"/>
        <v>#NUM!</v>
      </c>
      <c r="AB93" t="e">
        <f t="shared" si="57"/>
        <v>#NUM!</v>
      </c>
      <c r="AC93" t="e">
        <f t="shared" si="58"/>
        <v>#NUM!</v>
      </c>
      <c r="AE93">
        <v>3.2153875902064446E-6</v>
      </c>
      <c r="AF93">
        <v>-59.999999999999922</v>
      </c>
      <c r="AH93" s="1">
        <v>87</v>
      </c>
      <c r="AI93" s="1">
        <f t="shared" si="59"/>
        <v>0</v>
      </c>
      <c r="AJ93" s="1">
        <f t="shared" si="60"/>
        <v>0</v>
      </c>
      <c r="AK93" s="2">
        <f t="shared" si="61"/>
        <v>0</v>
      </c>
      <c r="AL93" s="2">
        <f t="shared" si="62"/>
        <v>0</v>
      </c>
      <c r="AY93">
        <v>-70</v>
      </c>
      <c r="BM93">
        <v>60</v>
      </c>
    </row>
    <row r="94" spans="2:65" x14ac:dyDescent="0.25">
      <c r="B94" t="e">
        <f t="shared" si="51"/>
        <v>#NUM!</v>
      </c>
      <c r="C94" t="e">
        <f t="shared" si="51"/>
        <v>#NUM!</v>
      </c>
      <c r="W94" t="e">
        <f t="shared" si="52"/>
        <v>#NUM!</v>
      </c>
      <c r="X94">
        <f t="shared" si="53"/>
        <v>61.570799515387513</v>
      </c>
      <c r="Y94">
        <f t="shared" si="54"/>
        <v>9</v>
      </c>
      <c r="Z94">
        <f t="shared" si="55"/>
        <v>-1.5707963267948966</v>
      </c>
      <c r="AA94" t="e">
        <f t="shared" si="56"/>
        <v>#NUM!</v>
      </c>
      <c r="AB94" t="e">
        <f t="shared" si="57"/>
        <v>#NUM!</v>
      </c>
      <c r="AC94" t="e">
        <f t="shared" si="58"/>
        <v>#NUM!</v>
      </c>
      <c r="AE94">
        <v>3.2153875902064446E-6</v>
      </c>
      <c r="AF94">
        <v>-59.999999999999922</v>
      </c>
      <c r="AH94" s="1">
        <v>88</v>
      </c>
      <c r="AI94" s="1">
        <f t="shared" si="59"/>
        <v>0</v>
      </c>
      <c r="AJ94" s="1">
        <f t="shared" si="60"/>
        <v>0</v>
      </c>
      <c r="AK94" s="2">
        <f t="shared" si="61"/>
        <v>0</v>
      </c>
      <c r="AL94" s="2">
        <f t="shared" si="62"/>
        <v>0</v>
      </c>
      <c r="AY94">
        <v>-61.466610306763862</v>
      </c>
      <c r="BM94">
        <v>40.811950064038669</v>
      </c>
    </row>
    <row r="95" spans="2:65" x14ac:dyDescent="0.25">
      <c r="B95" t="e">
        <f t="shared" si="51"/>
        <v>#NUM!</v>
      </c>
      <c r="C95" t="e">
        <f t="shared" si="51"/>
        <v>#NUM!</v>
      </c>
      <c r="W95" t="e">
        <f t="shared" si="52"/>
        <v>#NUM!</v>
      </c>
      <c r="X95">
        <f t="shared" si="53"/>
        <v>61.570799515387513</v>
      </c>
      <c r="Y95">
        <f t="shared" si="54"/>
        <v>9</v>
      </c>
      <c r="Z95">
        <f t="shared" si="55"/>
        <v>-1.5707963267948966</v>
      </c>
      <c r="AA95" t="e">
        <f t="shared" si="56"/>
        <v>#NUM!</v>
      </c>
      <c r="AB95" t="e">
        <f t="shared" si="57"/>
        <v>#NUM!</v>
      </c>
      <c r="AC95" t="e">
        <f t="shared" si="58"/>
        <v>#NUM!</v>
      </c>
      <c r="AE95">
        <v>3.2153875902064446E-6</v>
      </c>
      <c r="AF95">
        <v>-59.999999999999922</v>
      </c>
      <c r="AH95" s="1">
        <v>89</v>
      </c>
      <c r="AI95" s="1">
        <f t="shared" si="59"/>
        <v>0</v>
      </c>
      <c r="AJ95" s="1">
        <f t="shared" si="60"/>
        <v>0</v>
      </c>
      <c r="AK95" s="2">
        <f t="shared" si="61"/>
        <v>0</v>
      </c>
      <c r="AL95" s="2">
        <f t="shared" si="62"/>
        <v>0</v>
      </c>
      <c r="AY95">
        <v>2.8488307653754443</v>
      </c>
      <c r="BM95">
        <v>31.403234181322922</v>
      </c>
    </row>
    <row r="96" spans="2:65" x14ac:dyDescent="0.25">
      <c r="B96" t="e">
        <f t="shared" si="51"/>
        <v>#NUM!</v>
      </c>
      <c r="C96" t="e">
        <f t="shared" si="51"/>
        <v>#NUM!</v>
      </c>
      <c r="W96" t="e">
        <f t="shared" si="52"/>
        <v>#NUM!</v>
      </c>
      <c r="X96">
        <f t="shared" si="53"/>
        <v>61.570799515387513</v>
      </c>
      <c r="Y96">
        <f t="shared" si="54"/>
        <v>9</v>
      </c>
      <c r="Z96">
        <f t="shared" si="55"/>
        <v>-1.5707963267948966</v>
      </c>
      <c r="AA96" t="e">
        <f t="shared" si="56"/>
        <v>#NUM!</v>
      </c>
      <c r="AB96" t="e">
        <f t="shared" si="57"/>
        <v>#NUM!</v>
      </c>
      <c r="AC96" t="e">
        <f t="shared" si="58"/>
        <v>#NUM!</v>
      </c>
      <c r="AE96">
        <v>3.2153875902064446E-6</v>
      </c>
      <c r="AF96">
        <v>-59.999999999999922</v>
      </c>
      <c r="AH96" s="1">
        <v>90</v>
      </c>
      <c r="AI96" s="1">
        <f t="shared" si="59"/>
        <v>0</v>
      </c>
      <c r="AJ96" s="1">
        <f t="shared" si="60"/>
        <v>0</v>
      </c>
      <c r="AK96" s="2">
        <f t="shared" si="61"/>
        <v>0</v>
      </c>
      <c r="AL96" s="2">
        <f t="shared" si="62"/>
        <v>0</v>
      </c>
      <c r="AY96">
        <v>9</v>
      </c>
      <c r="BM96">
        <v>0</v>
      </c>
    </row>
    <row r="97" spans="2:66" x14ac:dyDescent="0.25">
      <c r="B97" t="e">
        <f t="shared" si="51"/>
        <v>#NUM!</v>
      </c>
      <c r="C97" t="e">
        <f t="shared" si="51"/>
        <v>#NUM!</v>
      </c>
      <c r="W97" t="e">
        <f t="shared" si="52"/>
        <v>#NUM!</v>
      </c>
      <c r="X97">
        <f t="shared" si="53"/>
        <v>61.570799515387513</v>
      </c>
      <c r="Y97">
        <f t="shared" si="54"/>
        <v>9</v>
      </c>
      <c r="Z97">
        <f t="shared" si="55"/>
        <v>-1.5707963267948966</v>
      </c>
      <c r="AA97" t="e">
        <f t="shared" si="56"/>
        <v>#NUM!</v>
      </c>
      <c r="AB97" t="e">
        <f t="shared" si="57"/>
        <v>#NUM!</v>
      </c>
      <c r="AC97" t="e">
        <f t="shared" si="58"/>
        <v>#NUM!</v>
      </c>
      <c r="AE97">
        <v>3.2153875902064446E-6</v>
      </c>
      <c r="AF97">
        <v>-59.999999999999922</v>
      </c>
      <c r="AH97" s="1">
        <v>91</v>
      </c>
      <c r="AI97" s="1">
        <f t="shared" si="59"/>
        <v>0</v>
      </c>
      <c r="AJ97" s="1">
        <f t="shared" si="60"/>
        <v>0</v>
      </c>
      <c r="AK97" s="2">
        <f t="shared" si="61"/>
        <v>0</v>
      </c>
      <c r="AL97" s="2">
        <f t="shared" si="62"/>
        <v>0</v>
      </c>
      <c r="AY97">
        <v>109</v>
      </c>
      <c r="BN97">
        <v>0</v>
      </c>
    </row>
    <row r="98" spans="2:66" x14ac:dyDescent="0.25">
      <c r="B98" t="e">
        <f t="shared" si="51"/>
        <v>#NUM!</v>
      </c>
      <c r="C98" t="e">
        <f t="shared" si="51"/>
        <v>#NUM!</v>
      </c>
      <c r="W98" t="e">
        <f t="shared" si="52"/>
        <v>#NUM!</v>
      </c>
      <c r="X98">
        <f t="shared" si="53"/>
        <v>61.570799515387513</v>
      </c>
      <c r="Y98">
        <f t="shared" si="54"/>
        <v>9</v>
      </c>
      <c r="Z98">
        <f t="shared" si="55"/>
        <v>-1.5707963267948966</v>
      </c>
      <c r="AA98" t="e">
        <f t="shared" si="56"/>
        <v>#NUM!</v>
      </c>
      <c r="AB98" t="e">
        <f t="shared" si="57"/>
        <v>#NUM!</v>
      </c>
      <c r="AC98" t="e">
        <f t="shared" si="58"/>
        <v>#NUM!</v>
      </c>
      <c r="AE98">
        <v>3.2153875902064446E-6</v>
      </c>
      <c r="AF98">
        <v>-59.999999999999922</v>
      </c>
      <c r="AH98" s="1">
        <v>92</v>
      </c>
      <c r="AI98" s="1">
        <f t="shared" si="59"/>
        <v>0</v>
      </c>
      <c r="AJ98" s="1">
        <f t="shared" si="60"/>
        <v>0</v>
      </c>
      <c r="AK98" s="2">
        <f t="shared" si="61"/>
        <v>0</v>
      </c>
      <c r="AL98" s="2">
        <f t="shared" si="62"/>
        <v>0</v>
      </c>
      <c r="AY98">
        <v>108.96332347734752</v>
      </c>
      <c r="BN98">
        <v>2.9418215749209318</v>
      </c>
    </row>
    <row r="99" spans="2:66" x14ac:dyDescent="0.25">
      <c r="B99" t="e">
        <f t="shared" si="51"/>
        <v>#NUM!</v>
      </c>
      <c r="C99" t="e">
        <f t="shared" si="51"/>
        <v>#NUM!</v>
      </c>
      <c r="W99" t="e">
        <f t="shared" si="52"/>
        <v>#NUM!</v>
      </c>
      <c r="X99">
        <f t="shared" si="53"/>
        <v>61.570799515387513</v>
      </c>
      <c r="Y99">
        <f t="shared" si="54"/>
        <v>9</v>
      </c>
      <c r="Z99">
        <f t="shared" si="55"/>
        <v>-1.5707963267948966</v>
      </c>
      <c r="AA99" t="e">
        <f t="shared" si="56"/>
        <v>#NUM!</v>
      </c>
      <c r="AB99" t="e">
        <f t="shared" si="57"/>
        <v>#NUM!</v>
      </c>
      <c r="AC99" t="e">
        <f t="shared" si="58"/>
        <v>#NUM!</v>
      </c>
      <c r="AE99">
        <v>3.2153875902064446E-6</v>
      </c>
      <c r="AF99">
        <v>-59.999999999999922</v>
      </c>
      <c r="AH99" s="1">
        <v>93</v>
      </c>
      <c r="AI99" s="1">
        <f t="shared" si="59"/>
        <v>0</v>
      </c>
      <c r="AJ99" s="1">
        <f t="shared" si="60"/>
        <v>0</v>
      </c>
      <c r="AK99" s="2">
        <f t="shared" si="61"/>
        <v>0</v>
      </c>
      <c r="AL99" s="2">
        <f t="shared" si="62"/>
        <v>0</v>
      </c>
      <c r="AY99">
        <v>108.8533167088361</v>
      </c>
      <c r="BN99">
        <v>5.881814407712505</v>
      </c>
    </row>
    <row r="100" spans="2:66" x14ac:dyDescent="0.25">
      <c r="B100" t="e">
        <f t="shared" si="51"/>
        <v>#NUM!</v>
      </c>
      <c r="C100" t="e">
        <f t="shared" si="51"/>
        <v>#NUM!</v>
      </c>
      <c r="W100" t="e">
        <f t="shared" si="52"/>
        <v>#NUM!</v>
      </c>
      <c r="X100">
        <f t="shared" si="53"/>
        <v>61.570799515387513</v>
      </c>
      <c r="Y100">
        <f t="shared" si="54"/>
        <v>9</v>
      </c>
      <c r="Z100">
        <f t="shared" si="55"/>
        <v>-1.5707963267948966</v>
      </c>
      <c r="AA100" t="e">
        <f t="shared" si="56"/>
        <v>#NUM!</v>
      </c>
      <c r="AB100" t="e">
        <f t="shared" si="57"/>
        <v>#NUM!</v>
      </c>
      <c r="AC100" t="e">
        <f t="shared" si="58"/>
        <v>#NUM!</v>
      </c>
      <c r="AE100">
        <v>3.2153875902064446E-6</v>
      </c>
      <c r="AF100">
        <v>-59.999999999999922</v>
      </c>
      <c r="AH100" s="1">
        <v>94</v>
      </c>
      <c r="AI100" s="1">
        <f t="shared" si="59"/>
        <v>0</v>
      </c>
      <c r="AJ100" s="1">
        <f t="shared" si="60"/>
        <v>0</v>
      </c>
      <c r="AK100" s="2">
        <f t="shared" si="61"/>
        <v>0</v>
      </c>
      <c r="AL100" s="2">
        <f t="shared" si="62"/>
        <v>0</v>
      </c>
      <c r="AY100">
        <v>108.67004807863076</v>
      </c>
      <c r="BN100">
        <v>8.8181508930572647</v>
      </c>
    </row>
    <row r="101" spans="2:66" x14ac:dyDescent="0.25">
      <c r="B101" t="e">
        <f t="shared" si="51"/>
        <v>#NUM!</v>
      </c>
      <c r="C101" t="e">
        <f t="shared" si="51"/>
        <v>#NUM!</v>
      </c>
      <c r="W101" t="e">
        <f t="shared" si="52"/>
        <v>#NUM!</v>
      </c>
      <c r="X101">
        <f t="shared" si="53"/>
        <v>61.570799515387513</v>
      </c>
      <c r="Y101">
        <f t="shared" si="54"/>
        <v>9</v>
      </c>
      <c r="Z101">
        <f t="shared" si="55"/>
        <v>-1.5707963267948966</v>
      </c>
      <c r="AA101" t="e">
        <f t="shared" si="56"/>
        <v>#NUM!</v>
      </c>
      <c r="AB101" t="e">
        <f t="shared" si="57"/>
        <v>#NUM!</v>
      </c>
      <c r="AC101" t="e">
        <f t="shared" si="58"/>
        <v>#NUM!</v>
      </c>
      <c r="AE101">
        <v>3.2153875902064446E-6</v>
      </c>
      <c r="AF101">
        <v>-59.999999999999922</v>
      </c>
      <c r="AH101" s="1">
        <v>95</v>
      </c>
      <c r="AI101" s="1">
        <f t="shared" si="59"/>
        <v>0</v>
      </c>
      <c r="AJ101" s="1">
        <f t="shared" si="60"/>
        <v>0</v>
      </c>
      <c r="AK101" s="2">
        <f t="shared" si="61"/>
        <v>0</v>
      </c>
      <c r="AL101" s="2">
        <f t="shared" si="62"/>
        <v>0</v>
      </c>
      <c r="AY101">
        <v>108.41363151310553</v>
      </c>
      <c r="BN101">
        <v>11.749005698554866</v>
      </c>
    </row>
    <row r="102" spans="2:66" x14ac:dyDescent="0.25">
      <c r="B102" t="e">
        <f t="shared" si="51"/>
        <v>#NUM!</v>
      </c>
      <c r="C102" t="e">
        <f t="shared" si="51"/>
        <v>#NUM!</v>
      </c>
      <c r="W102" t="e">
        <f t="shared" si="52"/>
        <v>#NUM!</v>
      </c>
      <c r="X102">
        <f t="shared" si="53"/>
        <v>61.570799515387513</v>
      </c>
      <c r="Y102">
        <f t="shared" si="54"/>
        <v>9</v>
      </c>
      <c r="Z102">
        <f t="shared" si="55"/>
        <v>-1.5707963267948966</v>
      </c>
      <c r="AA102" t="e">
        <f t="shared" si="56"/>
        <v>#NUM!</v>
      </c>
      <c r="AB102" t="e">
        <f t="shared" si="57"/>
        <v>#NUM!</v>
      </c>
      <c r="AC102" t="e">
        <f t="shared" si="58"/>
        <v>#NUM!</v>
      </c>
      <c r="AE102">
        <v>3.2153875902064446E-6</v>
      </c>
      <c r="AF102">
        <v>-59.999999999999922</v>
      </c>
      <c r="AH102" s="1">
        <v>96</v>
      </c>
      <c r="AI102" s="1">
        <f t="shared" si="59"/>
        <v>0</v>
      </c>
      <c r="AJ102" s="1">
        <f t="shared" si="60"/>
        <v>0</v>
      </c>
      <c r="AK102" s="2">
        <f t="shared" si="61"/>
        <v>0</v>
      </c>
      <c r="AL102" s="2">
        <f t="shared" si="62"/>
        <v>0</v>
      </c>
      <c r="AY102">
        <v>108.08422641002265</v>
      </c>
      <c r="BN102">
        <v>14.672556899414381</v>
      </c>
    </row>
    <row r="103" spans="2:66" x14ac:dyDescent="0.25">
      <c r="B103" t="e">
        <f t="shared" si="51"/>
        <v>#NUM!</v>
      </c>
      <c r="C103" t="e">
        <f t="shared" si="51"/>
        <v>#NUM!</v>
      </c>
      <c r="W103" t="e">
        <f t="shared" si="52"/>
        <v>#NUM!</v>
      </c>
      <c r="X103">
        <f t="shared" si="53"/>
        <v>61.570799515387513</v>
      </c>
      <c r="Y103">
        <f t="shared" si="54"/>
        <v>9</v>
      </c>
      <c r="Z103">
        <f t="shared" si="55"/>
        <v>-1.5707963267948966</v>
      </c>
      <c r="AA103" t="e">
        <f t="shared" si="56"/>
        <v>#NUM!</v>
      </c>
      <c r="AB103" t="e">
        <f t="shared" si="57"/>
        <v>#NUM!</v>
      </c>
      <c r="AC103" t="e">
        <f t="shared" si="58"/>
        <v>#NUM!</v>
      </c>
      <c r="AE103">
        <v>3.2153875902064446E-6</v>
      </c>
      <c r="AF103">
        <v>-59.999999999999922</v>
      </c>
      <c r="AH103" s="1">
        <v>97</v>
      </c>
      <c r="AI103" s="1">
        <f t="shared" si="59"/>
        <v>0</v>
      </c>
      <c r="AJ103" s="1">
        <f t="shared" si="60"/>
        <v>0</v>
      </c>
      <c r="AK103" s="2">
        <f t="shared" si="61"/>
        <v>0</v>
      </c>
      <c r="AL103" s="2">
        <f t="shared" si="62"/>
        <v>0</v>
      </c>
      <c r="AY103">
        <v>107.6820375394453</v>
      </c>
      <c r="BN103">
        <v>17.586987111028289</v>
      </c>
    </row>
    <row r="104" spans="2:66" x14ac:dyDescent="0.25">
      <c r="B104" t="e">
        <f t="shared" si="51"/>
        <v>#NUM!</v>
      </c>
      <c r="C104" t="e">
        <f t="shared" si="51"/>
        <v>#NUM!</v>
      </c>
      <c r="W104" t="e">
        <f t="shared" si="52"/>
        <v>#NUM!</v>
      </c>
      <c r="X104">
        <f t="shared" si="53"/>
        <v>61.570799515387513</v>
      </c>
      <c r="Y104">
        <f t="shared" si="54"/>
        <v>9</v>
      </c>
      <c r="Z104">
        <f t="shared" si="55"/>
        <v>-1.5707963267948966</v>
      </c>
      <c r="AA104" t="e">
        <f t="shared" si="56"/>
        <v>#NUM!</v>
      </c>
      <c r="AB104" t="e">
        <f t="shared" si="57"/>
        <v>#NUM!</v>
      </c>
      <c r="AC104" t="e">
        <f t="shared" si="58"/>
        <v>#NUM!</v>
      </c>
      <c r="AE104">
        <v>3.2153875902064446E-6</v>
      </c>
      <c r="AF104">
        <v>-59.999999999999922</v>
      </c>
      <c r="AH104" s="1">
        <v>98</v>
      </c>
      <c r="AI104" s="1">
        <f t="shared" si="59"/>
        <v>0</v>
      </c>
      <c r="AJ104" s="1">
        <f t="shared" si="60"/>
        <v>0</v>
      </c>
      <c r="AK104" s="2">
        <f t="shared" si="61"/>
        <v>0</v>
      </c>
      <c r="AL104" s="2">
        <f t="shared" si="62"/>
        <v>0</v>
      </c>
      <c r="AY104">
        <v>107.20731491644504</v>
      </c>
      <c r="BN104">
        <v>20.490484618724118</v>
      </c>
    </row>
    <row r="105" spans="2:66" x14ac:dyDescent="0.25">
      <c r="B105" t="e">
        <f t="shared" si="51"/>
        <v>#NUM!</v>
      </c>
      <c r="C105" t="e">
        <f t="shared" si="51"/>
        <v>#NUM!</v>
      </c>
      <c r="W105" t="e">
        <f t="shared" si="52"/>
        <v>#NUM!</v>
      </c>
      <c r="X105">
        <f t="shared" si="53"/>
        <v>61.570799515387513</v>
      </c>
      <c r="Y105">
        <f t="shared" si="54"/>
        <v>9</v>
      </c>
      <c r="Z105">
        <f t="shared" si="55"/>
        <v>-1.5707963267948966</v>
      </c>
      <c r="AA105" t="e">
        <f t="shared" si="56"/>
        <v>#NUM!</v>
      </c>
      <c r="AB105" t="e">
        <f t="shared" si="57"/>
        <v>#NUM!</v>
      </c>
      <c r="AC105" t="e">
        <f t="shared" si="58"/>
        <v>#NUM!</v>
      </c>
      <c r="AE105">
        <v>3.2153875902064446E-6</v>
      </c>
      <c r="AF105">
        <v>-59.999999999999922</v>
      </c>
      <c r="AH105" s="1">
        <v>99</v>
      </c>
      <c r="AI105" s="1">
        <f t="shared" si="59"/>
        <v>0</v>
      </c>
      <c r="AJ105" s="1">
        <f t="shared" si="60"/>
        <v>0</v>
      </c>
      <c r="AK105" s="2">
        <f t="shared" si="61"/>
        <v>0</v>
      </c>
      <c r="AL105" s="2">
        <f t="shared" si="62"/>
        <v>0</v>
      </c>
      <c r="AY105">
        <v>106.66035364568347</v>
      </c>
      <c r="BN105">
        <v>23.381244503991489</v>
      </c>
    </row>
    <row r="106" spans="2:66" x14ac:dyDescent="0.25">
      <c r="B106" t="e">
        <f t="shared" si="51"/>
        <v>#NUM!</v>
      </c>
      <c r="C106" t="e">
        <f t="shared" si="51"/>
        <v>#NUM!</v>
      </c>
      <c r="W106" t="e">
        <f t="shared" si="52"/>
        <v>#NUM!</v>
      </c>
      <c r="X106">
        <f t="shared" si="53"/>
        <v>61.570799515387513</v>
      </c>
      <c r="Y106">
        <f t="shared" si="54"/>
        <v>9</v>
      </c>
      <c r="Z106">
        <f t="shared" si="55"/>
        <v>-1.5707963267948966</v>
      </c>
      <c r="AA106" t="e">
        <f t="shared" si="56"/>
        <v>#NUM!</v>
      </c>
      <c r="AB106" t="e">
        <f t="shared" si="57"/>
        <v>#NUM!</v>
      </c>
      <c r="AC106" t="e">
        <f t="shared" si="58"/>
        <v>#NUM!</v>
      </c>
      <c r="AE106">
        <v>3.2153875902064446E-6</v>
      </c>
      <c r="AF106">
        <v>-59.999999999999922</v>
      </c>
      <c r="AH106" s="1">
        <v>100</v>
      </c>
      <c r="AI106" s="1">
        <f t="shared" si="59"/>
        <v>0</v>
      </c>
      <c r="AJ106" s="1">
        <f t="shared" si="60"/>
        <v>0</v>
      </c>
      <c r="AK106" s="2">
        <f t="shared" si="61"/>
        <v>0</v>
      </c>
      <c r="AL106" s="2">
        <f t="shared" si="62"/>
        <v>0</v>
      </c>
      <c r="AY106">
        <v>106.04149373796464</v>
      </c>
      <c r="BN106">
        <v>26.257469766484395</v>
      </c>
    </row>
    <row r="107" spans="2:66" x14ac:dyDescent="0.25">
      <c r="B107" t="e">
        <f t="shared" si="51"/>
        <v>#NUM!</v>
      </c>
      <c r="C107" t="e">
        <f t="shared" si="51"/>
        <v>#NUM!</v>
      </c>
      <c r="W107" t="e">
        <f t="shared" si="52"/>
        <v>#NUM!</v>
      </c>
      <c r="X107">
        <f t="shared" si="53"/>
        <v>61.570799515387513</v>
      </c>
      <c r="Y107">
        <f t="shared" si="54"/>
        <v>9</v>
      </c>
      <c r="Z107">
        <f t="shared" si="55"/>
        <v>-1.5707963267948966</v>
      </c>
      <c r="AA107" t="e">
        <f t="shared" si="56"/>
        <v>#NUM!</v>
      </c>
      <c r="AB107" t="e">
        <f t="shared" si="57"/>
        <v>#NUM!</v>
      </c>
      <c r="AC107" t="e">
        <f t="shared" si="58"/>
        <v>#NUM!</v>
      </c>
      <c r="AE107">
        <v>3.2153875902064446E-6</v>
      </c>
      <c r="AF107">
        <v>-59.999999999999922</v>
      </c>
      <c r="AH107" s="1">
        <v>101</v>
      </c>
      <c r="AI107" s="1">
        <f t="shared" si="59"/>
        <v>0</v>
      </c>
      <c r="AJ107" s="1">
        <f t="shared" si="60"/>
        <v>0</v>
      </c>
      <c r="AK107" s="2">
        <f t="shared" si="61"/>
        <v>0</v>
      </c>
      <c r="AL107" s="2">
        <f t="shared" si="62"/>
        <v>0</v>
      </c>
      <c r="AY107">
        <v>105.351119898872</v>
      </c>
      <c r="BN107">
        <v>29.117372441101246</v>
      </c>
    </row>
    <row r="108" spans="2:66" x14ac:dyDescent="0.25">
      <c r="B108" t="e">
        <f t="shared" si="51"/>
        <v>#NUM!</v>
      </c>
      <c r="C108" t="e">
        <f t="shared" si="51"/>
        <v>#NUM!</v>
      </c>
      <c r="W108" t="e">
        <f t="shared" si="52"/>
        <v>#NUM!</v>
      </c>
      <c r="X108">
        <f t="shared" si="53"/>
        <v>61.570799515387513</v>
      </c>
      <c r="Y108">
        <f t="shared" si="54"/>
        <v>9</v>
      </c>
      <c r="Z108">
        <f t="shared" si="55"/>
        <v>-1.5707963267948966</v>
      </c>
      <c r="AA108" t="e">
        <f t="shared" si="56"/>
        <v>#NUM!</v>
      </c>
      <c r="AB108" t="e">
        <f t="shared" si="57"/>
        <v>#NUM!</v>
      </c>
      <c r="AC108" t="e">
        <f t="shared" si="58"/>
        <v>#NUM!</v>
      </c>
      <c r="AE108">
        <v>3.2153875902064446E-6</v>
      </c>
      <c r="AF108">
        <v>-59.999999999999922</v>
      </c>
      <c r="AH108" s="1">
        <v>102</v>
      </c>
      <c r="AI108" s="1">
        <f t="shared" si="59"/>
        <v>0</v>
      </c>
      <c r="AJ108" s="1">
        <f t="shared" si="60"/>
        <v>0</v>
      </c>
      <c r="AK108" s="2">
        <f t="shared" si="61"/>
        <v>0</v>
      </c>
      <c r="AL108" s="2">
        <f t="shared" si="62"/>
        <v>0</v>
      </c>
      <c r="AY108">
        <v>104.58966128962159</v>
      </c>
      <c r="BN108">
        <v>31.95917470944833</v>
      </c>
    </row>
    <row r="109" spans="2:66" x14ac:dyDescent="0.25">
      <c r="B109" t="e">
        <f t="shared" si="51"/>
        <v>#NUM!</v>
      </c>
      <c r="C109" t="e">
        <f t="shared" si="51"/>
        <v>#NUM!</v>
      </c>
      <c r="W109" t="e">
        <f t="shared" si="52"/>
        <v>#NUM!</v>
      </c>
      <c r="X109">
        <f t="shared" si="53"/>
        <v>61.570799515387513</v>
      </c>
      <c r="Y109">
        <f t="shared" si="54"/>
        <v>9</v>
      </c>
      <c r="Z109">
        <f t="shared" si="55"/>
        <v>-1.5707963267948966</v>
      </c>
      <c r="AA109" t="e">
        <f t="shared" si="56"/>
        <v>#NUM!</v>
      </c>
      <c r="AB109" t="e">
        <f t="shared" si="57"/>
        <v>#NUM!</v>
      </c>
      <c r="AC109" t="e">
        <f t="shared" si="58"/>
        <v>#NUM!</v>
      </c>
      <c r="AE109">
        <v>3.2153875902064446E-6</v>
      </c>
      <c r="AF109">
        <v>-59.999999999999922</v>
      </c>
      <c r="AH109" s="1">
        <v>103</v>
      </c>
      <c r="AI109" s="1">
        <f t="shared" si="59"/>
        <v>0</v>
      </c>
      <c r="AJ109" s="1">
        <f t="shared" si="60"/>
        <v>0</v>
      </c>
      <c r="AK109" s="2">
        <f t="shared" si="61"/>
        <v>0</v>
      </c>
      <c r="AL109" s="2">
        <f t="shared" si="62"/>
        <v>0</v>
      </c>
      <c r="AY109">
        <v>103.75759126028008</v>
      </c>
      <c r="BN109">
        <v>34.781110004995654</v>
      </c>
    </row>
    <row r="110" spans="2:66" x14ac:dyDescent="0.25">
      <c r="B110" t="e">
        <f t="shared" si="51"/>
        <v>#NUM!</v>
      </c>
      <c r="C110" t="e">
        <f t="shared" si="51"/>
        <v>#NUM!</v>
      </c>
      <c r="W110" t="e">
        <f t="shared" si="52"/>
        <v>#NUM!</v>
      </c>
      <c r="X110">
        <f t="shared" si="53"/>
        <v>61.570799515387513</v>
      </c>
      <c r="Y110">
        <f t="shared" si="54"/>
        <v>9</v>
      </c>
      <c r="Z110">
        <f t="shared" si="55"/>
        <v>-1.5707963267948966</v>
      </c>
      <c r="AA110" t="e">
        <f t="shared" si="56"/>
        <v>#NUM!</v>
      </c>
      <c r="AB110" t="e">
        <f t="shared" si="57"/>
        <v>#NUM!</v>
      </c>
      <c r="AC110" t="e">
        <f t="shared" si="58"/>
        <v>#NUM!</v>
      </c>
      <c r="AE110">
        <v>3.2153875902064446E-6</v>
      </c>
      <c r="AF110">
        <v>-59.999999999999922</v>
      </c>
      <c r="AH110" s="1">
        <v>104</v>
      </c>
      <c r="AI110" s="1">
        <f t="shared" si="59"/>
        <v>0</v>
      </c>
      <c r="AJ110" s="1">
        <f t="shared" si="60"/>
        <v>0</v>
      </c>
      <c r="AK110" s="2">
        <f t="shared" si="61"/>
        <v>0</v>
      </c>
      <c r="AL110" s="2">
        <f t="shared" si="62"/>
        <v>0</v>
      </c>
      <c r="AY110">
        <v>102.85542705551322</v>
      </c>
      <c r="BN110">
        <v>37.581424111238292</v>
      </c>
    </row>
    <row r="111" spans="2:66" x14ac:dyDescent="0.25">
      <c r="B111" t="e">
        <f t="shared" si="51"/>
        <v>#NUM!</v>
      </c>
      <c r="C111" t="e">
        <f t="shared" si="51"/>
        <v>#NUM!</v>
      </c>
      <c r="W111" t="e">
        <f t="shared" si="52"/>
        <v>#NUM!</v>
      </c>
      <c r="X111">
        <f t="shared" si="53"/>
        <v>61.570799515387513</v>
      </c>
      <c r="Y111">
        <f t="shared" si="54"/>
        <v>9</v>
      </c>
      <c r="Z111">
        <f t="shared" si="55"/>
        <v>-1.5707963267948966</v>
      </c>
      <c r="AA111" t="e">
        <f t="shared" si="56"/>
        <v>#NUM!</v>
      </c>
      <c r="AB111" t="e">
        <f t="shared" si="57"/>
        <v>#NUM!</v>
      </c>
      <c r="AC111" t="e">
        <f t="shared" si="58"/>
        <v>#NUM!</v>
      </c>
      <c r="AE111">
        <v>3.2153875902064446E-6</v>
      </c>
      <c r="AF111">
        <v>-59.999999999999922</v>
      </c>
      <c r="AH111" s="1">
        <v>105</v>
      </c>
      <c r="AI111" s="1">
        <f t="shared" si="59"/>
        <v>0</v>
      </c>
      <c r="AJ111" s="1">
        <f t="shared" si="60"/>
        <v>0</v>
      </c>
      <c r="AK111" s="2">
        <f t="shared" si="61"/>
        <v>0</v>
      </c>
      <c r="AL111" s="2">
        <f t="shared" si="62"/>
        <v>0</v>
      </c>
      <c r="AY111">
        <v>101.88372949304798</v>
      </c>
      <c r="BN111">
        <v>40.358376252180449</v>
      </c>
    </row>
    <row r="112" spans="2:66" x14ac:dyDescent="0.25">
      <c r="B112" t="e">
        <f t="shared" si="51"/>
        <v>#NUM!</v>
      </c>
      <c r="C112" t="e">
        <f t="shared" si="51"/>
        <v>#NUM!</v>
      </c>
      <c r="W112" t="e">
        <f t="shared" si="52"/>
        <v>#NUM!</v>
      </c>
      <c r="X112">
        <f t="shared" si="53"/>
        <v>61.570799515387513</v>
      </c>
      <c r="Y112">
        <f t="shared" si="54"/>
        <v>9</v>
      </c>
      <c r="Z112">
        <f t="shared" si="55"/>
        <v>-1.5707963267948966</v>
      </c>
      <c r="AA112" t="e">
        <f t="shared" si="56"/>
        <v>#NUM!</v>
      </c>
      <c r="AB112" t="e">
        <f t="shared" si="57"/>
        <v>#NUM!</v>
      </c>
      <c r="AC112" t="e">
        <f t="shared" si="58"/>
        <v>#NUM!</v>
      </c>
      <c r="AE112">
        <v>3.2153875902064446E-6</v>
      </c>
      <c r="AF112">
        <v>-59.999999999999922</v>
      </c>
      <c r="AH112" s="1">
        <v>106</v>
      </c>
      <c r="AI112" s="1">
        <f t="shared" si="59"/>
        <v>0</v>
      </c>
      <c r="AJ112" s="1">
        <f t="shared" si="60"/>
        <v>0</v>
      </c>
      <c r="AK112" s="2">
        <f t="shared" si="61"/>
        <v>0</v>
      </c>
      <c r="AL112" s="2">
        <f t="shared" si="62"/>
        <v>0</v>
      </c>
      <c r="AY112">
        <v>100.84310261504811</v>
      </c>
      <c r="BN112">
        <v>43.110240174464472</v>
      </c>
    </row>
    <row r="113" spans="2:66" x14ac:dyDescent="0.25">
      <c r="B113" t="e">
        <f t="shared" si="51"/>
        <v>#NUM!</v>
      </c>
      <c r="C113" t="e">
        <f t="shared" si="51"/>
        <v>#NUM!</v>
      </c>
      <c r="W113" t="e">
        <f t="shared" si="52"/>
        <v>#NUM!</v>
      </c>
      <c r="X113">
        <f t="shared" si="53"/>
        <v>61.570799515387513</v>
      </c>
      <c r="Y113">
        <f t="shared" si="54"/>
        <v>9</v>
      </c>
      <c r="Z113">
        <f t="shared" si="55"/>
        <v>-1.5707963267948966</v>
      </c>
      <c r="AA113" t="e">
        <f t="shared" si="56"/>
        <v>#NUM!</v>
      </c>
      <c r="AB113" t="e">
        <f t="shared" si="57"/>
        <v>#NUM!</v>
      </c>
      <c r="AC113" t="e">
        <f t="shared" si="58"/>
        <v>#NUM!</v>
      </c>
      <c r="AE113">
        <v>3.2153875902064446E-6</v>
      </c>
      <c r="AF113">
        <v>-59.999999999999922</v>
      </c>
      <c r="AH113" s="1">
        <v>107</v>
      </c>
      <c r="AI113" s="1">
        <f t="shared" si="59"/>
        <v>0</v>
      </c>
      <c r="AJ113" s="1">
        <f t="shared" si="60"/>
        <v>0</v>
      </c>
      <c r="AK113" s="2">
        <f t="shared" si="61"/>
        <v>0</v>
      </c>
      <c r="AL113" s="2">
        <f t="shared" si="62"/>
        <v>0</v>
      </c>
      <c r="AY113">
        <v>99.734193312619794</v>
      </c>
      <c r="BN113">
        <v>45.835305220472016</v>
      </c>
    </row>
    <row r="114" spans="2:66" x14ac:dyDescent="0.25">
      <c r="B114" t="e">
        <f t="shared" si="51"/>
        <v>#NUM!</v>
      </c>
      <c r="C114" t="e">
        <f t="shared" si="51"/>
        <v>#NUM!</v>
      </c>
      <c r="W114" t="e">
        <f t="shared" si="52"/>
        <v>#NUM!</v>
      </c>
      <c r="X114">
        <f t="shared" si="53"/>
        <v>61.570799515387513</v>
      </c>
      <c r="Y114">
        <f t="shared" si="54"/>
        <v>9</v>
      </c>
      <c r="Z114">
        <f t="shared" si="55"/>
        <v>-1.5707963267948966</v>
      </c>
      <c r="AA114" t="e">
        <f t="shared" si="56"/>
        <v>#NUM!</v>
      </c>
      <c r="AB114" t="e">
        <f t="shared" si="57"/>
        <v>#NUM!</v>
      </c>
      <c r="AC114" t="e">
        <f t="shared" si="58"/>
        <v>#NUM!</v>
      </c>
      <c r="AE114">
        <v>3.2153875902064446E-6</v>
      </c>
      <c r="AF114">
        <v>-59.999999999999922</v>
      </c>
      <c r="AH114" s="1">
        <v>108</v>
      </c>
      <c r="AI114" s="1">
        <f t="shared" si="59"/>
        <v>0</v>
      </c>
      <c r="AJ114" s="1">
        <f t="shared" si="60"/>
        <v>0</v>
      </c>
      <c r="AK114" s="2">
        <f t="shared" si="61"/>
        <v>0</v>
      </c>
      <c r="AL114" s="2">
        <f t="shared" si="62"/>
        <v>0</v>
      </c>
      <c r="AY114">
        <v>98.557690923680809</v>
      </c>
      <c r="BN114">
        <v>48.531877391730376</v>
      </c>
    </row>
    <row r="115" spans="2:66" x14ac:dyDescent="0.25">
      <c r="B115" t="e">
        <f t="shared" si="51"/>
        <v>#NUM!</v>
      </c>
      <c r="C115" t="e">
        <f t="shared" si="51"/>
        <v>#NUM!</v>
      </c>
      <c r="W115" t="e">
        <f t="shared" si="52"/>
        <v>#NUM!</v>
      </c>
      <c r="X115">
        <f t="shared" si="53"/>
        <v>61.570799515387513</v>
      </c>
      <c r="Y115">
        <f t="shared" si="54"/>
        <v>9</v>
      </c>
      <c r="Z115">
        <f t="shared" si="55"/>
        <v>-1.5707963267948966</v>
      </c>
      <c r="AA115" t="e">
        <f t="shared" si="56"/>
        <v>#NUM!</v>
      </c>
      <c r="AB115" t="e">
        <f t="shared" si="57"/>
        <v>#NUM!</v>
      </c>
      <c r="AC115" t="e">
        <f t="shared" si="58"/>
        <v>#NUM!</v>
      </c>
      <c r="AE115">
        <v>3.2153875902064446E-6</v>
      </c>
      <c r="AF115">
        <v>-59.999999999999922</v>
      </c>
      <c r="AH115" s="1">
        <v>109</v>
      </c>
      <c r="AI115" s="1">
        <f t="shared" si="59"/>
        <v>0</v>
      </c>
      <c r="AJ115" s="1">
        <f t="shared" si="60"/>
        <v>0</v>
      </c>
      <c r="AK115" s="2">
        <f t="shared" si="61"/>
        <v>0</v>
      </c>
      <c r="AL115" s="2">
        <f t="shared" si="62"/>
        <v>0</v>
      </c>
      <c r="AY115">
        <v>97.314326804443354</v>
      </c>
      <c r="BN115">
        <v>51.19828040196289</v>
      </c>
    </row>
    <row r="116" spans="2:66" x14ac:dyDescent="0.25">
      <c r="B116" t="e">
        <f t="shared" si="51"/>
        <v>#NUM!</v>
      </c>
      <c r="C116" t="e">
        <f t="shared" si="51"/>
        <v>#NUM!</v>
      </c>
      <c r="W116" t="e">
        <f t="shared" si="52"/>
        <v>#NUM!</v>
      </c>
      <c r="X116">
        <f t="shared" si="53"/>
        <v>61.570799515387513</v>
      </c>
      <c r="Y116">
        <f t="shared" si="54"/>
        <v>9</v>
      </c>
      <c r="Z116">
        <f t="shared" si="55"/>
        <v>-1.5707963267948966</v>
      </c>
      <c r="AA116" t="e">
        <f t="shared" si="56"/>
        <v>#NUM!</v>
      </c>
      <c r="AB116" t="e">
        <f t="shared" si="57"/>
        <v>#NUM!</v>
      </c>
      <c r="AC116" t="e">
        <f t="shared" si="58"/>
        <v>#NUM!</v>
      </c>
      <c r="AE116">
        <v>3.2153875902064446E-6</v>
      </c>
      <c r="AF116">
        <v>-59.999999999999922</v>
      </c>
      <c r="AH116" s="1">
        <v>110</v>
      </c>
      <c r="AI116" s="1">
        <f t="shared" si="59"/>
        <v>0</v>
      </c>
      <c r="AJ116" s="1">
        <f t="shared" si="60"/>
        <v>0</v>
      </c>
      <c r="AK116" s="2">
        <f t="shared" si="61"/>
        <v>0</v>
      </c>
      <c r="AL116" s="2">
        <f t="shared" si="62"/>
        <v>0</v>
      </c>
      <c r="AY116">
        <v>96.004873874776649</v>
      </c>
      <c r="BN116">
        <v>53.832856719128792</v>
      </c>
    </row>
    <row r="117" spans="2:66" x14ac:dyDescent="0.25">
      <c r="B117" t="e">
        <f t="shared" si="51"/>
        <v>#NUM!</v>
      </c>
      <c r="C117" t="e">
        <f t="shared" si="51"/>
        <v>#NUM!</v>
      </c>
      <c r="W117" t="e">
        <f t="shared" si="52"/>
        <v>#NUM!</v>
      </c>
      <c r="X117">
        <f t="shared" si="53"/>
        <v>61.570799515387513</v>
      </c>
      <c r="Y117">
        <f t="shared" si="54"/>
        <v>9</v>
      </c>
      <c r="Z117">
        <f t="shared" si="55"/>
        <v>-1.5707963267948966</v>
      </c>
      <c r="AA117" t="e">
        <f t="shared" si="56"/>
        <v>#NUM!</v>
      </c>
      <c r="AB117" t="e">
        <f t="shared" si="57"/>
        <v>#NUM!</v>
      </c>
      <c r="AC117" t="e">
        <f t="shared" si="58"/>
        <v>#NUM!</v>
      </c>
      <c r="AE117">
        <v>3.2153875902064446E-6</v>
      </c>
      <c r="AF117">
        <v>-59.999999999999922</v>
      </c>
      <c r="AH117" s="1">
        <v>111</v>
      </c>
      <c r="AI117" s="1">
        <f t="shared" si="59"/>
        <v>0</v>
      </c>
      <c r="AJ117" s="1">
        <f t="shared" si="60"/>
        <v>0</v>
      </c>
      <c r="AK117" s="2">
        <f t="shared" si="61"/>
        <v>0</v>
      </c>
      <c r="AL117" s="2">
        <f t="shared" si="62"/>
        <v>0</v>
      </c>
      <c r="AY117">
        <v>94.630146137732154</v>
      </c>
      <c r="BN117">
        <v>56.433968595804735</v>
      </c>
    </row>
    <row r="118" spans="2:66" x14ac:dyDescent="0.25">
      <c r="B118" t="e">
        <f t="shared" si="51"/>
        <v>#NUM!</v>
      </c>
      <c r="C118" t="e">
        <f t="shared" si="51"/>
        <v>#NUM!</v>
      </c>
      <c r="W118" t="e">
        <f t="shared" si="52"/>
        <v>#NUM!</v>
      </c>
      <c r="X118">
        <f t="shared" si="53"/>
        <v>61.570799515387513</v>
      </c>
      <c r="Y118">
        <f t="shared" si="54"/>
        <v>9</v>
      </c>
      <c r="Z118">
        <f t="shared" si="55"/>
        <v>-1.5707963267948966</v>
      </c>
      <c r="AA118" t="e">
        <f t="shared" si="56"/>
        <v>#NUM!</v>
      </c>
      <c r="AB118" t="e">
        <f t="shared" si="57"/>
        <v>#NUM!</v>
      </c>
      <c r="AC118" t="e">
        <f t="shared" si="58"/>
        <v>#NUM!</v>
      </c>
      <c r="AE118">
        <v>3.2153875902064446E-6</v>
      </c>
      <c r="AF118">
        <v>-59.999999999999922</v>
      </c>
      <c r="AH118" s="1">
        <v>112</v>
      </c>
      <c r="AI118" s="1">
        <f t="shared" si="59"/>
        <v>0</v>
      </c>
      <c r="AJ118" s="1">
        <f t="shared" si="60"/>
        <v>0</v>
      </c>
      <c r="AK118" s="2">
        <f t="shared" si="61"/>
        <v>0</v>
      </c>
      <c r="AL118" s="2">
        <f t="shared" si="62"/>
        <v>0</v>
      </c>
      <c r="AY118">
        <v>93.190998173530048</v>
      </c>
      <c r="BN118">
        <v>58.999999087267597</v>
      </c>
    </row>
    <row r="119" spans="2:66" x14ac:dyDescent="0.25">
      <c r="B119" t="e">
        <f t="shared" si="51"/>
        <v>#NUM!</v>
      </c>
      <c r="C119" t="e">
        <f t="shared" si="51"/>
        <v>#NUM!</v>
      </c>
      <c r="W119" t="e">
        <f t="shared" si="52"/>
        <v>#NUM!</v>
      </c>
      <c r="X119">
        <f t="shared" si="53"/>
        <v>61.570799515387513</v>
      </c>
      <c r="Y119">
        <f t="shared" si="54"/>
        <v>9</v>
      </c>
      <c r="Z119">
        <f t="shared" si="55"/>
        <v>-1.5707963267948966</v>
      </c>
      <c r="AA119" t="e">
        <f t="shared" si="56"/>
        <v>#NUM!</v>
      </c>
      <c r="AB119" t="e">
        <f t="shared" si="57"/>
        <v>#NUM!</v>
      </c>
      <c r="AC119" t="e">
        <f t="shared" si="58"/>
        <v>#NUM!</v>
      </c>
      <c r="AE119">
        <v>3.2153875902064446E-6</v>
      </c>
      <c r="AF119">
        <v>-59.999999999999922</v>
      </c>
      <c r="AH119" s="1">
        <v>113</v>
      </c>
      <c r="AI119" s="1">
        <f t="shared" si="59"/>
        <v>0</v>
      </c>
      <c r="AJ119" s="1">
        <f t="shared" si="60"/>
        <v>0</v>
      </c>
      <c r="AK119" s="2">
        <f t="shared" si="61"/>
        <v>0</v>
      </c>
      <c r="AL119" s="2">
        <f t="shared" si="62"/>
        <v>0</v>
      </c>
      <c r="AY119">
        <v>91.688324608321324</v>
      </c>
      <c r="BN119">
        <v>61.529353056645363</v>
      </c>
    </row>
    <row r="120" spans="2:66" x14ac:dyDescent="0.25">
      <c r="B120" t="e">
        <f t="shared" si="51"/>
        <v>#NUM!</v>
      </c>
      <c r="C120" t="e">
        <f t="shared" si="51"/>
        <v>#NUM!</v>
      </c>
      <c r="W120" t="e">
        <f t="shared" si="52"/>
        <v>#NUM!</v>
      </c>
      <c r="X120">
        <f t="shared" si="53"/>
        <v>61.570799515387513</v>
      </c>
      <c r="Y120">
        <f t="shared" si="54"/>
        <v>9</v>
      </c>
      <c r="Z120">
        <f t="shared" si="55"/>
        <v>-1.5707963267948966</v>
      </c>
      <c r="AA120" t="e">
        <f t="shared" si="56"/>
        <v>#NUM!</v>
      </c>
      <c r="AB120" t="e">
        <f t="shared" si="57"/>
        <v>#NUM!</v>
      </c>
      <c r="AC120" t="e">
        <f t="shared" si="58"/>
        <v>#NUM!</v>
      </c>
      <c r="AE120">
        <v>3.2153875902064446E-6</v>
      </c>
      <c r="AF120">
        <v>-59.999999999999922</v>
      </c>
      <c r="AH120" s="1">
        <v>114</v>
      </c>
      <c r="AI120" s="1">
        <f t="shared" si="59"/>
        <v>0</v>
      </c>
      <c r="AJ120" s="1">
        <f t="shared" si="60"/>
        <v>0</v>
      </c>
      <c r="AK120" s="2">
        <f t="shared" si="61"/>
        <v>0</v>
      </c>
      <c r="AL120" s="2">
        <f t="shared" si="62"/>
        <v>0</v>
      </c>
      <c r="AY120">
        <v>90.123059558056042</v>
      </c>
      <c r="BN120">
        <v>64.020458166511702</v>
      </c>
    </row>
    <row r="121" spans="2:66" x14ac:dyDescent="0.25">
      <c r="B121" t="e">
        <f t="shared" si="51"/>
        <v>#NUM!</v>
      </c>
      <c r="C121" t="e">
        <f t="shared" si="51"/>
        <v>#NUM!</v>
      </c>
      <c r="W121" t="e">
        <f t="shared" si="52"/>
        <v>#NUM!</v>
      </c>
      <c r="X121">
        <f t="shared" si="53"/>
        <v>61.570799515387513</v>
      </c>
      <c r="Y121">
        <f t="shared" si="54"/>
        <v>9</v>
      </c>
      <c r="Z121">
        <f t="shared" si="55"/>
        <v>-1.5707963267948966</v>
      </c>
      <c r="AA121" t="e">
        <f t="shared" si="56"/>
        <v>#NUM!</v>
      </c>
      <c r="AB121" t="e">
        <f t="shared" si="57"/>
        <v>#NUM!</v>
      </c>
      <c r="AC121" t="e">
        <f t="shared" si="58"/>
        <v>#NUM!</v>
      </c>
      <c r="AE121">
        <v>3.2153875902064446E-6</v>
      </c>
      <c r="AF121">
        <v>-59.999999999999922</v>
      </c>
      <c r="AH121" s="1">
        <v>115</v>
      </c>
      <c r="AI121" s="1">
        <f t="shared" si="59"/>
        <v>0</v>
      </c>
      <c r="AJ121" s="1">
        <f t="shared" si="60"/>
        <v>0</v>
      </c>
      <c r="AK121" s="2">
        <f t="shared" si="61"/>
        <v>0</v>
      </c>
      <c r="AL121" s="2">
        <f t="shared" si="62"/>
        <v>0</v>
      </c>
      <c r="AY121">
        <v>88.496176047803246</v>
      </c>
      <c r="BN121">
        <v>66.471765856307442</v>
      </c>
    </row>
    <row r="122" spans="2:66" x14ac:dyDescent="0.25">
      <c r="B122" t="e">
        <f t="shared" si="51"/>
        <v>#NUM!</v>
      </c>
      <c r="C122" t="e">
        <f t="shared" si="51"/>
        <v>#NUM!</v>
      </c>
      <c r="W122" t="e">
        <f t="shared" si="52"/>
        <v>#NUM!</v>
      </c>
      <c r="X122">
        <f t="shared" si="53"/>
        <v>61.570799515387513</v>
      </c>
      <c r="Y122">
        <f t="shared" si="54"/>
        <v>9</v>
      </c>
      <c r="Z122">
        <f t="shared" si="55"/>
        <v>-1.5707963267948966</v>
      </c>
      <c r="AA122" t="e">
        <f t="shared" si="56"/>
        <v>#NUM!</v>
      </c>
      <c r="AB122" t="e">
        <f t="shared" si="57"/>
        <v>#NUM!</v>
      </c>
      <c r="AC122" t="e">
        <f t="shared" si="58"/>
        <v>#NUM!</v>
      </c>
      <c r="AE122">
        <v>3.2153875902064446E-6</v>
      </c>
      <c r="AF122">
        <v>-59.999999999999922</v>
      </c>
      <c r="AH122" s="1">
        <v>116</v>
      </c>
      <c r="AI122" s="1">
        <f t="shared" si="59"/>
        <v>0</v>
      </c>
      <c r="AJ122" s="1">
        <f t="shared" si="60"/>
        <v>0</v>
      </c>
      <c r="AK122" s="2">
        <f t="shared" si="61"/>
        <v>0</v>
      </c>
      <c r="AL122" s="2">
        <f t="shared" si="62"/>
        <v>0</v>
      </c>
      <c r="AY122">
        <v>86.808685406883541</v>
      </c>
      <c r="BN122">
        <v>68.881752304981475</v>
      </c>
    </row>
    <row r="123" spans="2:66" x14ac:dyDescent="0.25">
      <c r="B123" t="e">
        <f t="shared" si="51"/>
        <v>#NUM!</v>
      </c>
      <c r="C123" t="e">
        <f t="shared" si="51"/>
        <v>#NUM!</v>
      </c>
      <c r="W123" t="e">
        <f t="shared" si="52"/>
        <v>#NUM!</v>
      </c>
      <c r="X123">
        <f t="shared" si="53"/>
        <v>61.570799515387513</v>
      </c>
      <c r="Y123">
        <f t="shared" si="54"/>
        <v>9</v>
      </c>
      <c r="Z123">
        <f t="shared" si="55"/>
        <v>-1.5707963267948966</v>
      </c>
      <c r="AA123" t="e">
        <f t="shared" si="56"/>
        <v>#NUM!</v>
      </c>
      <c r="AB123" t="e">
        <f t="shared" si="57"/>
        <v>#NUM!</v>
      </c>
      <c r="AC123" t="e">
        <f t="shared" si="58"/>
        <v>#NUM!</v>
      </c>
      <c r="AE123">
        <v>3.2153875902064446E-6</v>
      </c>
      <c r="AF123">
        <v>-59.999999999999922</v>
      </c>
      <c r="AH123" s="1">
        <v>117</v>
      </c>
      <c r="AI123" s="1">
        <f t="shared" si="59"/>
        <v>0</v>
      </c>
      <c r="AJ123" s="1">
        <f t="shared" si="60"/>
        <v>0</v>
      </c>
      <c r="AK123" s="2">
        <f t="shared" si="61"/>
        <v>0</v>
      </c>
      <c r="AL123" s="2">
        <f t="shared" si="62"/>
        <v>0</v>
      </c>
      <c r="AY123">
        <v>85.061636640190457</v>
      </c>
      <c r="BN123">
        <v>71.248919378252879</v>
      </c>
    </row>
    <row r="124" spans="2:66" x14ac:dyDescent="0.25">
      <c r="B124" t="e">
        <f t="shared" si="51"/>
        <v>#NUM!</v>
      </c>
      <c r="C124" t="e">
        <f t="shared" si="51"/>
        <v>#NUM!</v>
      </c>
      <c r="W124" t="e">
        <f t="shared" si="52"/>
        <v>#NUM!</v>
      </c>
      <c r="X124">
        <f t="shared" si="53"/>
        <v>61.570799515387513</v>
      </c>
      <c r="Y124">
        <f t="shared" si="54"/>
        <v>9</v>
      </c>
      <c r="Z124">
        <f t="shared" si="55"/>
        <v>-1.5707963267948966</v>
      </c>
      <c r="AA124" t="e">
        <f t="shared" si="56"/>
        <v>#NUM!</v>
      </c>
      <c r="AB124" t="e">
        <f t="shared" si="57"/>
        <v>#NUM!</v>
      </c>
      <c r="AC124" t="e">
        <f t="shared" si="58"/>
        <v>#NUM!</v>
      </c>
      <c r="AE124">
        <v>3.2153875902064446E-6</v>
      </c>
      <c r="AF124">
        <v>-59.999999999999922</v>
      </c>
      <c r="AH124" s="1">
        <v>118</v>
      </c>
      <c r="AI124" s="1">
        <f t="shared" si="59"/>
        <v>0</v>
      </c>
      <c r="AJ124" s="1">
        <f t="shared" si="60"/>
        <v>0</v>
      </c>
      <c r="AK124" s="2">
        <f t="shared" si="61"/>
        <v>0</v>
      </c>
      <c r="AL124" s="2">
        <f t="shared" si="62"/>
        <v>0</v>
      </c>
      <c r="AY124">
        <v>83.256115776091235</v>
      </c>
      <c r="BN124">
        <v>73.571795559904942</v>
      </c>
    </row>
    <row r="125" spans="2:66" x14ac:dyDescent="0.25">
      <c r="B125" t="e">
        <f t="shared" si="51"/>
        <v>#NUM!</v>
      </c>
      <c r="C125" t="e">
        <f t="shared" si="51"/>
        <v>#NUM!</v>
      </c>
      <c r="W125" t="e">
        <f t="shared" si="52"/>
        <v>#NUM!</v>
      </c>
      <c r="X125">
        <f t="shared" si="53"/>
        <v>61.570799515387513</v>
      </c>
      <c r="Y125">
        <f t="shared" si="54"/>
        <v>9</v>
      </c>
      <c r="Z125">
        <f t="shared" si="55"/>
        <v>-1.5707963267948966</v>
      </c>
      <c r="AA125" t="e">
        <f t="shared" si="56"/>
        <v>#NUM!</v>
      </c>
      <c r="AB125" t="e">
        <f t="shared" si="57"/>
        <v>#NUM!</v>
      </c>
      <c r="AC125" t="e">
        <f t="shared" si="58"/>
        <v>#NUM!</v>
      </c>
      <c r="AE125">
        <v>3.2153875902064446E-6</v>
      </c>
      <c r="AF125">
        <v>-59.999999999999922</v>
      </c>
      <c r="AH125" s="1">
        <v>119</v>
      </c>
      <c r="AI125" s="1">
        <f t="shared" si="59"/>
        <v>0</v>
      </c>
      <c r="AJ125" s="1">
        <f t="shared" si="60"/>
        <v>0</v>
      </c>
      <c r="AK125" s="2">
        <f t="shared" si="61"/>
        <v>0</v>
      </c>
      <c r="AL125" s="2">
        <f t="shared" si="62"/>
        <v>0</v>
      </c>
      <c r="AY125">
        <v>81.393245191312488</v>
      </c>
      <c r="BN125">
        <v>75.848936866532682</v>
      </c>
    </row>
    <row r="126" spans="2:66" x14ac:dyDescent="0.25">
      <c r="B126" t="e">
        <f t="shared" si="51"/>
        <v>#NUM!</v>
      </c>
      <c r="C126" t="e">
        <f t="shared" si="51"/>
        <v>#NUM!</v>
      </c>
      <c r="W126" t="e">
        <f t="shared" si="52"/>
        <v>#NUM!</v>
      </c>
      <c r="X126">
        <f t="shared" si="53"/>
        <v>61.570799515387513</v>
      </c>
      <c r="Y126">
        <f t="shared" si="54"/>
        <v>9</v>
      </c>
      <c r="Z126">
        <f t="shared" si="55"/>
        <v>-1.5707963267948966</v>
      </c>
      <c r="AA126" t="e">
        <f t="shared" si="56"/>
        <v>#NUM!</v>
      </c>
      <c r="AB126" t="e">
        <f t="shared" si="57"/>
        <v>#NUM!</v>
      </c>
      <c r="AC126" t="e">
        <f t="shared" si="58"/>
        <v>#NUM!</v>
      </c>
      <c r="AE126">
        <v>3.2153875902064446E-6</v>
      </c>
      <c r="AF126">
        <v>-59.999999999999922</v>
      </c>
      <c r="AH126" s="1">
        <v>120</v>
      </c>
      <c r="AI126" s="1">
        <f t="shared" si="59"/>
        <v>0</v>
      </c>
      <c r="AJ126" s="1">
        <f t="shared" si="60"/>
        <v>0</v>
      </c>
      <c r="AK126" s="2">
        <f t="shared" si="61"/>
        <v>0</v>
      </c>
      <c r="AL126" s="2">
        <f t="shared" si="62"/>
        <v>0</v>
      </c>
      <c r="AY126">
        <v>79.474182913230521</v>
      </c>
      <c r="BN126">
        <v>78.078927745174795</v>
      </c>
    </row>
    <row r="127" spans="2:66" x14ac:dyDescent="0.25">
      <c r="B127" t="e">
        <f t="shared" si="51"/>
        <v>#NUM!</v>
      </c>
      <c r="C127" t="e">
        <f t="shared" si="51"/>
        <v>#NUM!</v>
      </c>
      <c r="W127" t="e">
        <f t="shared" si="52"/>
        <v>#NUM!</v>
      </c>
      <c r="X127">
        <f t="shared" si="53"/>
        <v>61.570799515387513</v>
      </c>
      <c r="Y127">
        <f t="shared" si="54"/>
        <v>9</v>
      </c>
      <c r="Z127">
        <f t="shared" si="55"/>
        <v>-1.5707963267948966</v>
      </c>
      <c r="AA127" t="e">
        <f t="shared" si="56"/>
        <v>#NUM!</v>
      </c>
      <c r="AB127" t="e">
        <f t="shared" si="57"/>
        <v>#NUM!</v>
      </c>
      <c r="AC127" t="e">
        <f t="shared" si="58"/>
        <v>#NUM!</v>
      </c>
      <c r="AE127">
        <v>3.2153875902064446E-6</v>
      </c>
      <c r="AF127">
        <v>-59.999999999999922</v>
      </c>
      <c r="AH127" s="1">
        <v>121</v>
      </c>
      <c r="AI127" s="1">
        <f t="shared" si="59"/>
        <v>0</v>
      </c>
      <c r="AJ127" s="1">
        <f t="shared" si="60"/>
        <v>0</v>
      </c>
      <c r="AK127" s="2">
        <f t="shared" si="61"/>
        <v>0</v>
      </c>
      <c r="AL127" s="2">
        <f t="shared" si="62"/>
        <v>0</v>
      </c>
      <c r="AY127">
        <v>77.500121899999812</v>
      </c>
      <c r="BN127">
        <v>80.260381953272386</v>
      </c>
    </row>
    <row r="128" spans="2:66" x14ac:dyDescent="0.25">
      <c r="B128" t="e">
        <f t="shared" si="51"/>
        <v>#NUM!</v>
      </c>
      <c r="C128" t="e">
        <f t="shared" si="51"/>
        <v>#NUM!</v>
      </c>
      <c r="W128" t="e">
        <f t="shared" si="52"/>
        <v>#NUM!</v>
      </c>
      <c r="X128">
        <f t="shared" si="53"/>
        <v>61.570799515387513</v>
      </c>
      <c r="Y128">
        <f t="shared" si="54"/>
        <v>9</v>
      </c>
      <c r="Z128">
        <f t="shared" si="55"/>
        <v>-1.5707963267948966</v>
      </c>
      <c r="AA128" t="e">
        <f t="shared" si="56"/>
        <v>#NUM!</v>
      </c>
      <c r="AB128" t="e">
        <f t="shared" si="57"/>
        <v>#NUM!</v>
      </c>
      <c r="AC128" t="e">
        <f t="shared" si="58"/>
        <v>#NUM!</v>
      </c>
      <c r="AE128">
        <v>3.2153875902064446E-6</v>
      </c>
      <c r="AF128">
        <v>-59.999999999999922</v>
      </c>
      <c r="AH128" s="1">
        <v>122</v>
      </c>
      <c r="AI128" s="1">
        <f t="shared" si="59"/>
        <v>0</v>
      </c>
      <c r="AJ128" s="1">
        <f t="shared" si="60"/>
        <v>0</v>
      </c>
      <c r="AK128" s="2">
        <f t="shared" si="61"/>
        <v>0</v>
      </c>
      <c r="AL128" s="2">
        <f t="shared" si="62"/>
        <v>0</v>
      </c>
      <c r="AY128">
        <v>75.472289298967283</v>
      </c>
      <c r="BN128">
        <v>82.391943420407173</v>
      </c>
    </row>
    <row r="129" spans="2:66" x14ac:dyDescent="0.25">
      <c r="B129" t="e">
        <f t="shared" si="51"/>
        <v>#NUM!</v>
      </c>
      <c r="C129" t="e">
        <f t="shared" si="51"/>
        <v>#NUM!</v>
      </c>
      <c r="W129" t="e">
        <f t="shared" si="52"/>
        <v>#NUM!</v>
      </c>
      <c r="X129">
        <f t="shared" si="53"/>
        <v>61.570799515387513</v>
      </c>
      <c r="Y129">
        <f t="shared" si="54"/>
        <v>9</v>
      </c>
      <c r="Z129">
        <f t="shared" si="55"/>
        <v>-1.5707963267948966</v>
      </c>
      <c r="AA129" t="e">
        <f t="shared" si="56"/>
        <v>#NUM!</v>
      </c>
      <c r="AB129" t="e">
        <f t="shared" si="57"/>
        <v>#NUM!</v>
      </c>
      <c r="AC129" t="e">
        <f t="shared" si="58"/>
        <v>#NUM!</v>
      </c>
      <c r="AE129">
        <v>3.2153875902064446E-6</v>
      </c>
      <c r="AF129">
        <v>-59.999999999999922</v>
      </c>
      <c r="AH129" s="1">
        <v>123</v>
      </c>
      <c r="AI129" s="1">
        <f t="shared" si="59"/>
        <v>0</v>
      </c>
      <c r="AJ129" s="1">
        <f t="shared" si="60"/>
        <v>0</v>
      </c>
      <c r="AK129" s="2">
        <f t="shared" si="61"/>
        <v>0</v>
      </c>
      <c r="AL129" s="2">
        <f t="shared" si="62"/>
        <v>0</v>
      </c>
      <c r="AY129">
        <v>73.391945683833413</v>
      </c>
      <c r="BN129">
        <v>84.472287091283647</v>
      </c>
    </row>
    <row r="130" spans="2:66" x14ac:dyDescent="0.25">
      <c r="B130" t="e">
        <f t="shared" si="51"/>
        <v>#NUM!</v>
      </c>
      <c r="C130" t="e">
        <f t="shared" si="51"/>
        <v>#NUM!</v>
      </c>
      <c r="W130" t="e">
        <f t="shared" si="52"/>
        <v>#NUM!</v>
      </c>
      <c r="X130">
        <f t="shared" si="53"/>
        <v>61.570799515387513</v>
      </c>
      <c r="Y130">
        <f t="shared" si="54"/>
        <v>9</v>
      </c>
      <c r="Z130">
        <f t="shared" si="55"/>
        <v>-1.5707963267948966</v>
      </c>
      <c r="AA130" t="e">
        <f t="shared" si="56"/>
        <v>#NUM!</v>
      </c>
      <c r="AB130" t="e">
        <f t="shared" si="57"/>
        <v>#NUM!</v>
      </c>
      <c r="AC130" t="e">
        <f t="shared" si="58"/>
        <v>#NUM!</v>
      </c>
      <c r="AE130">
        <v>3.2153875902064446E-6</v>
      </c>
      <c r="AF130">
        <v>-59.999999999999922</v>
      </c>
      <c r="AH130" s="1">
        <v>124</v>
      </c>
      <c r="AI130" s="1">
        <f t="shared" si="59"/>
        <v>0</v>
      </c>
      <c r="AJ130" s="1">
        <f t="shared" si="60"/>
        <v>0</v>
      </c>
      <c r="AK130" s="2">
        <f t="shared" si="61"/>
        <v>0</v>
      </c>
      <c r="AL130" s="2">
        <f t="shared" si="62"/>
        <v>0</v>
      </c>
      <c r="AY130">
        <v>71.260384271034184</v>
      </c>
      <c r="BN130">
        <v>86.50011974943115</v>
      </c>
    </row>
    <row r="131" spans="2:66" x14ac:dyDescent="0.25">
      <c r="B131" t="e">
        <f t="shared" si="51"/>
        <v>#NUM!</v>
      </c>
      <c r="C131" t="e">
        <f t="shared" si="51"/>
        <v>#NUM!</v>
      </c>
      <c r="W131" t="e">
        <f t="shared" si="52"/>
        <v>#NUM!</v>
      </c>
      <c r="X131">
        <f t="shared" si="53"/>
        <v>61.570799515387513</v>
      </c>
      <c r="Y131">
        <f t="shared" si="54"/>
        <v>9</v>
      </c>
      <c r="Z131">
        <f t="shared" si="55"/>
        <v>-1.5707963267948966</v>
      </c>
      <c r="AA131" t="e">
        <f t="shared" si="56"/>
        <v>#NUM!</v>
      </c>
      <c r="AB131" t="e">
        <f t="shared" si="57"/>
        <v>#NUM!</v>
      </c>
      <c r="AC131" t="e">
        <f t="shared" si="58"/>
        <v>#NUM!</v>
      </c>
      <c r="AE131">
        <v>3.2153875902064446E-6</v>
      </c>
      <c r="AF131">
        <v>-59.999999999999922</v>
      </c>
      <c r="AH131" s="1">
        <v>125</v>
      </c>
      <c r="AI131" s="1">
        <f t="shared" si="59"/>
        <v>0</v>
      </c>
      <c r="AJ131" s="1">
        <f t="shared" si="60"/>
        <v>0</v>
      </c>
      <c r="AK131" s="2">
        <f t="shared" si="61"/>
        <v>0</v>
      </c>
      <c r="AL131" s="2">
        <f t="shared" si="62"/>
        <v>0</v>
      </c>
      <c r="AY131">
        <v>69.078930115831355</v>
      </c>
      <c r="BN131">
        <v>88.474180821113691</v>
      </c>
    </row>
    <row r="132" spans="2:66" x14ac:dyDescent="0.25">
      <c r="B132" t="e">
        <f t="shared" si="51"/>
        <v>#NUM!</v>
      </c>
      <c r="C132" t="e">
        <f t="shared" si="51"/>
        <v>#NUM!</v>
      </c>
      <c r="W132" t="e">
        <f t="shared" si="52"/>
        <v>#NUM!</v>
      </c>
      <c r="X132">
        <f t="shared" si="53"/>
        <v>61.570799515387513</v>
      </c>
      <c r="Y132">
        <f t="shared" si="54"/>
        <v>9</v>
      </c>
      <c r="Z132">
        <f t="shared" si="55"/>
        <v>-1.5707963267948966</v>
      </c>
      <c r="AA132" t="e">
        <f t="shared" si="56"/>
        <v>#NUM!</v>
      </c>
      <c r="AB132" t="e">
        <f t="shared" si="57"/>
        <v>#NUM!</v>
      </c>
      <c r="AC132" t="e">
        <f t="shared" si="58"/>
        <v>#NUM!</v>
      </c>
      <c r="AE132">
        <v>3.2153875902064446E-6</v>
      </c>
      <c r="AF132">
        <v>-59.999999999999922</v>
      </c>
      <c r="AH132" s="1">
        <v>126</v>
      </c>
      <c r="AI132" s="1">
        <f t="shared" si="59"/>
        <v>0</v>
      </c>
      <c r="AJ132" s="1">
        <f t="shared" si="60"/>
        <v>0</v>
      </c>
      <c r="AK132" s="2">
        <f t="shared" si="61"/>
        <v>0</v>
      </c>
      <c r="AL132" s="2">
        <f t="shared" si="62"/>
        <v>0</v>
      </c>
      <c r="AY132">
        <v>66.84893928861031</v>
      </c>
      <c r="BN132">
        <v>90.393243158948039</v>
      </c>
    </row>
    <row r="133" spans="2:66" x14ac:dyDescent="0.25">
      <c r="B133" t="e">
        <f t="shared" si="51"/>
        <v>#NUM!</v>
      </c>
      <c r="C133" t="e">
        <f t="shared" si="51"/>
        <v>#NUM!</v>
      </c>
      <c r="W133" t="e">
        <f t="shared" si="52"/>
        <v>#NUM!</v>
      </c>
      <c r="X133">
        <f t="shared" si="53"/>
        <v>61.570799515387513</v>
      </c>
      <c r="Y133">
        <f t="shared" si="54"/>
        <v>9</v>
      </c>
      <c r="Z133">
        <f t="shared" si="55"/>
        <v>-1.5707963267948966</v>
      </c>
      <c r="AA133" t="e">
        <f t="shared" si="56"/>
        <v>#NUM!</v>
      </c>
      <c r="AB133" t="e">
        <f t="shared" si="57"/>
        <v>#NUM!</v>
      </c>
      <c r="AC133" t="e">
        <f t="shared" si="58"/>
        <v>#NUM!</v>
      </c>
      <c r="AE133">
        <v>3.2153875902064446E-6</v>
      </c>
      <c r="AF133">
        <v>-59.999999999999922</v>
      </c>
      <c r="AH133" s="1">
        <v>127</v>
      </c>
      <c r="AI133" s="1">
        <f t="shared" si="59"/>
        <v>0</v>
      </c>
      <c r="AJ133" s="1">
        <f t="shared" si="60"/>
        <v>0</v>
      </c>
      <c r="AK133" s="2">
        <f t="shared" si="61"/>
        <v>0</v>
      </c>
      <c r="AL133" s="2">
        <f t="shared" si="62"/>
        <v>0</v>
      </c>
      <c r="AY133">
        <v>64.571798031898012</v>
      </c>
      <c r="BN133">
        <v>92.25611380474254</v>
      </c>
    </row>
    <row r="134" spans="2:66" x14ac:dyDescent="0.25">
      <c r="B134" t="e">
        <f t="shared" si="51"/>
        <v>#NUM!</v>
      </c>
      <c r="C134" t="e">
        <f t="shared" si="51"/>
        <v>#NUM!</v>
      </c>
      <c r="W134" t="e">
        <f t="shared" si="52"/>
        <v>#NUM!</v>
      </c>
      <c r="X134">
        <f t="shared" si="53"/>
        <v>61.570799515387513</v>
      </c>
      <c r="Y134">
        <f t="shared" si="54"/>
        <v>9</v>
      </c>
      <c r="Z134">
        <f t="shared" si="55"/>
        <v>-1.5707963267948966</v>
      </c>
      <c r="AA134" t="e">
        <f t="shared" si="56"/>
        <v>#NUM!</v>
      </c>
      <c r="AB134" t="e">
        <f t="shared" si="57"/>
        <v>#NUM!</v>
      </c>
      <c r="AC134" t="e">
        <f t="shared" si="58"/>
        <v>#NUM!</v>
      </c>
      <c r="AE134">
        <v>3.2153875902064446E-6</v>
      </c>
      <c r="AF134">
        <v>-59.999999999999922</v>
      </c>
      <c r="AH134" s="1">
        <v>128</v>
      </c>
      <c r="AI134" s="1">
        <f t="shared" si="59"/>
        <v>0</v>
      </c>
      <c r="AJ134" s="1">
        <f t="shared" si="60"/>
        <v>0</v>
      </c>
      <c r="AK134" s="2">
        <f t="shared" si="61"/>
        <v>0</v>
      </c>
      <c r="AL134" s="2">
        <f t="shared" si="62"/>
        <v>0</v>
      </c>
      <c r="AY134">
        <v>62.248921898624673</v>
      </c>
      <c r="BN134">
        <v>94.061634731083004</v>
      </c>
    </row>
    <row r="135" spans="2:66" x14ac:dyDescent="0.25">
      <c r="B135" t="e">
        <f t="shared" ref="B135:C142" si="63">AB135</f>
        <v>#NUM!</v>
      </c>
      <c r="C135" t="e">
        <f t="shared" si="63"/>
        <v>#NUM!</v>
      </c>
      <c r="W135" t="e">
        <f t="shared" si="52"/>
        <v>#NUM!</v>
      </c>
      <c r="X135">
        <f t="shared" si="53"/>
        <v>61.570799515387513</v>
      </c>
      <c r="Y135">
        <f t="shared" si="54"/>
        <v>9</v>
      </c>
      <c r="Z135">
        <f t="shared" si="55"/>
        <v>-1.5707963267948966</v>
      </c>
      <c r="AA135" t="e">
        <f t="shared" si="56"/>
        <v>#NUM!</v>
      </c>
      <c r="AB135" t="e">
        <f t="shared" si="57"/>
        <v>#NUM!</v>
      </c>
      <c r="AC135" t="e">
        <f t="shared" si="58"/>
        <v>#NUM!</v>
      </c>
      <c r="AE135">
        <v>3.2153875902064446E-6</v>
      </c>
      <c r="AF135">
        <v>-59.999999999999922</v>
      </c>
      <c r="AH135" s="1">
        <v>129</v>
      </c>
      <c r="AI135" s="1">
        <f t="shared" si="59"/>
        <v>0</v>
      </c>
      <c r="AJ135" s="1">
        <f t="shared" si="60"/>
        <v>0</v>
      </c>
      <c r="AK135" s="2">
        <f t="shared" si="61"/>
        <v>0</v>
      </c>
      <c r="AL135" s="2">
        <f t="shared" si="62"/>
        <v>0</v>
      </c>
      <c r="AY135">
        <v>59.881754872165274</v>
      </c>
      <c r="BN135">
        <v>95.808683561204077</v>
      </c>
    </row>
    <row r="136" spans="2:66" x14ac:dyDescent="0.25">
      <c r="B136" t="e">
        <f t="shared" si="63"/>
        <v>#NUM!</v>
      </c>
      <c r="C136" t="e">
        <f t="shared" si="63"/>
        <v>#NUM!</v>
      </c>
      <c r="W136" t="e">
        <f t="shared" si="52"/>
        <v>#NUM!</v>
      </c>
      <c r="X136">
        <f t="shared" si="53"/>
        <v>61.570799515387513</v>
      </c>
      <c r="Y136">
        <f t="shared" si="54"/>
        <v>9</v>
      </c>
      <c r="Z136">
        <f t="shared" si="55"/>
        <v>-1.5707963267948966</v>
      </c>
      <c r="AA136" t="e">
        <f t="shared" si="56"/>
        <v>#NUM!</v>
      </c>
      <c r="AB136" t="e">
        <f t="shared" si="57"/>
        <v>#NUM!</v>
      </c>
      <c r="AC136" t="e">
        <f t="shared" si="58"/>
        <v>#NUM!</v>
      </c>
      <c r="AE136">
        <v>3.2153875902064446E-6</v>
      </c>
      <c r="AF136">
        <v>-59.999999999999922</v>
      </c>
      <c r="AH136" s="1">
        <v>130</v>
      </c>
      <c r="AI136" s="1">
        <f t="shared" si="59"/>
        <v>0</v>
      </c>
      <c r="AJ136" s="1">
        <f t="shared" si="60"/>
        <v>0</v>
      </c>
      <c r="AK136" s="2">
        <f t="shared" si="61"/>
        <v>0</v>
      </c>
      <c r="AL136" s="2">
        <f t="shared" si="62"/>
        <v>0</v>
      </c>
      <c r="AY136">
        <v>57.471768468707353</v>
      </c>
      <c r="BN136">
        <v>97.496174266699114</v>
      </c>
    </row>
    <row r="137" spans="2:66" x14ac:dyDescent="0.25">
      <c r="B137" t="e">
        <f t="shared" si="63"/>
        <v>#NUM!</v>
      </c>
      <c r="C137" t="e">
        <f t="shared" si="63"/>
        <v>#NUM!</v>
      </c>
      <c r="W137" t="e">
        <f t="shared" si="52"/>
        <v>#NUM!</v>
      </c>
      <c r="X137">
        <f t="shared" si="53"/>
        <v>61.570799515387513</v>
      </c>
      <c r="Y137">
        <f t="shared" si="54"/>
        <v>9</v>
      </c>
      <c r="Z137">
        <f t="shared" si="55"/>
        <v>-1.5707963267948966</v>
      </c>
      <c r="AA137" t="e">
        <f t="shared" si="56"/>
        <v>#NUM!</v>
      </c>
      <c r="AB137" t="e">
        <f t="shared" si="57"/>
        <v>#NUM!</v>
      </c>
      <c r="AC137" t="e">
        <f t="shared" si="58"/>
        <v>#NUM!</v>
      </c>
      <c r="AE137">
        <v>3.2153875902064446E-6</v>
      </c>
      <c r="AF137">
        <v>-59.999999999999922</v>
      </c>
      <c r="AH137" s="1">
        <v>131</v>
      </c>
      <c r="AI137" s="1">
        <f t="shared" si="59"/>
        <v>0</v>
      </c>
      <c r="AJ137" s="1">
        <f t="shared" si="60"/>
        <v>0</v>
      </c>
      <c r="AK137" s="2">
        <f t="shared" si="61"/>
        <v>0</v>
      </c>
      <c r="AL137" s="2">
        <f t="shared" si="62"/>
        <v>0</v>
      </c>
      <c r="AY137">
        <v>55.020460822503807</v>
      </c>
      <c r="BN137">
        <v>99.123057842634452</v>
      </c>
    </row>
    <row r="138" spans="2:66" x14ac:dyDescent="0.25">
      <c r="B138" t="e">
        <f t="shared" si="63"/>
        <v>#NUM!</v>
      </c>
      <c r="C138" t="e">
        <f t="shared" si="63"/>
        <v>#NUM!</v>
      </c>
      <c r="W138" t="e">
        <f t="shared" si="52"/>
        <v>#NUM!</v>
      </c>
      <c r="X138">
        <f t="shared" si="53"/>
        <v>61.570799515387513</v>
      </c>
      <c r="Y138">
        <f t="shared" si="54"/>
        <v>9</v>
      </c>
      <c r="Z138">
        <f t="shared" si="55"/>
        <v>-1.5707963267948966</v>
      </c>
      <c r="AA138" t="e">
        <f t="shared" si="56"/>
        <v>#NUM!</v>
      </c>
      <c r="AB138" t="e">
        <f t="shared" si="57"/>
        <v>#NUM!</v>
      </c>
      <c r="AC138" t="e">
        <f t="shared" si="58"/>
        <v>#NUM!</v>
      </c>
      <c r="AE138">
        <v>3.2153875902064446E-6</v>
      </c>
      <c r="AF138">
        <v>-59.999999999999922</v>
      </c>
      <c r="AH138" s="1">
        <v>132</v>
      </c>
      <c r="AI138" s="1">
        <f t="shared" si="59"/>
        <v>0</v>
      </c>
      <c r="AJ138" s="1">
        <f t="shared" si="60"/>
        <v>0</v>
      </c>
      <c r="AK138" s="2">
        <f t="shared" si="61"/>
        <v>0</v>
      </c>
      <c r="AL138" s="2">
        <f t="shared" si="62"/>
        <v>0</v>
      </c>
      <c r="AY138">
        <v>52.529355754578582</v>
      </c>
      <c r="BN138">
        <v>100.68832295964864</v>
      </c>
    </row>
    <row r="139" spans="2:66" x14ac:dyDescent="0.25">
      <c r="B139" t="e">
        <f t="shared" si="63"/>
        <v>#NUM!</v>
      </c>
      <c r="C139" t="e">
        <f t="shared" si="63"/>
        <v>#NUM!</v>
      </c>
      <c r="W139" t="e">
        <f t="shared" si="52"/>
        <v>#NUM!</v>
      </c>
      <c r="X139">
        <f t="shared" si="53"/>
        <v>61.570799515387513</v>
      </c>
      <c r="Y139">
        <f t="shared" si="54"/>
        <v>9</v>
      </c>
      <c r="Z139">
        <f t="shared" si="55"/>
        <v>-1.5707963267948966</v>
      </c>
      <c r="AA139" t="e">
        <f t="shared" si="56"/>
        <v>#NUM!</v>
      </c>
      <c r="AB139" t="e">
        <f t="shared" si="57"/>
        <v>#NUM!</v>
      </c>
      <c r="AC139" t="e">
        <f t="shared" si="58"/>
        <v>#NUM!</v>
      </c>
      <c r="AE139">
        <v>3.2153875902064446E-6</v>
      </c>
      <c r="AF139">
        <v>-59.999999999999922</v>
      </c>
      <c r="AH139" s="1">
        <v>133</v>
      </c>
      <c r="AI139" s="1">
        <f t="shared" si="59"/>
        <v>0</v>
      </c>
      <c r="AJ139" s="1">
        <f t="shared" si="60"/>
        <v>0</v>
      </c>
      <c r="AK139" s="2">
        <f t="shared" si="61"/>
        <v>0</v>
      </c>
      <c r="AL139" s="2">
        <f t="shared" si="62"/>
        <v>0</v>
      </c>
      <c r="AY139">
        <v>50.000001825464786</v>
      </c>
      <c r="BN139">
        <v>102.19099659263115</v>
      </c>
    </row>
    <row r="140" spans="2:66" x14ac:dyDescent="0.25">
      <c r="B140" t="e">
        <f t="shared" si="63"/>
        <v>#NUM!</v>
      </c>
      <c r="C140" t="e">
        <f t="shared" si="63"/>
        <v>#NUM!</v>
      </c>
      <c r="W140" t="e">
        <f t="shared" si="52"/>
        <v>#NUM!</v>
      </c>
      <c r="X140">
        <f t="shared" si="53"/>
        <v>61.570799515387513</v>
      </c>
      <c r="Y140">
        <f t="shared" si="54"/>
        <v>9</v>
      </c>
      <c r="Z140">
        <f t="shared" si="55"/>
        <v>-1.5707963267948966</v>
      </c>
      <c r="AA140" t="e">
        <f t="shared" si="56"/>
        <v>#NUM!</v>
      </c>
      <c r="AB140" t="e">
        <f t="shared" si="57"/>
        <v>#NUM!</v>
      </c>
      <c r="AC140" t="e">
        <f t="shared" si="58"/>
        <v>#NUM!</v>
      </c>
      <c r="AE140">
        <v>3.2153875902064446E-6</v>
      </c>
      <c r="AF140">
        <v>-59.999999999999922</v>
      </c>
      <c r="AH140" s="1">
        <v>134</v>
      </c>
      <c r="AI140" s="1">
        <f t="shared" si="59"/>
        <v>0</v>
      </c>
      <c r="AJ140" s="1">
        <f t="shared" si="60"/>
        <v>0</v>
      </c>
      <c r="AK140" s="2">
        <f t="shared" si="61"/>
        <v>0</v>
      </c>
      <c r="AL140" s="2">
        <f t="shared" si="62"/>
        <v>0</v>
      </c>
      <c r="AY140">
        <v>47.433971372563768</v>
      </c>
      <c r="BN140">
        <v>103.63014462558976</v>
      </c>
    </row>
    <row r="141" spans="2:66" x14ac:dyDescent="0.25">
      <c r="B141" t="e">
        <f t="shared" si="63"/>
        <v>#NUM!</v>
      </c>
      <c r="C141" t="e">
        <f t="shared" si="63"/>
        <v>#NUM!</v>
      </c>
      <c r="W141" t="e">
        <f t="shared" si="52"/>
        <v>#NUM!</v>
      </c>
      <c r="X141">
        <f t="shared" si="53"/>
        <v>61.570799515387513</v>
      </c>
      <c r="Y141">
        <f t="shared" si="54"/>
        <v>9</v>
      </c>
      <c r="Z141">
        <f t="shared" si="55"/>
        <v>-1.5707963267948966</v>
      </c>
      <c r="AA141" t="e">
        <f t="shared" si="56"/>
        <v>#NUM!</v>
      </c>
      <c r="AB141" t="e">
        <f t="shared" si="57"/>
        <v>#NUM!</v>
      </c>
      <c r="AC141" t="e">
        <f t="shared" si="58"/>
        <v>#NUM!</v>
      </c>
      <c r="AE141">
        <v>3.2153875902064446E-6</v>
      </c>
      <c r="AF141">
        <v>-59.999999999999922</v>
      </c>
      <c r="AH141" s="1">
        <v>135</v>
      </c>
      <c r="AI141" s="1">
        <f t="shared" si="59"/>
        <v>0</v>
      </c>
      <c r="AJ141" s="1">
        <f t="shared" si="60"/>
        <v>0</v>
      </c>
      <c r="AK141" s="2">
        <f t="shared" si="61"/>
        <v>0</v>
      </c>
      <c r="AL141" s="2">
        <f t="shared" si="62"/>
        <v>0</v>
      </c>
      <c r="AY141">
        <v>44.832859532723496</v>
      </c>
      <c r="BN141">
        <v>105.00487243233079</v>
      </c>
    </row>
    <row r="142" spans="2:66" x14ac:dyDescent="0.25">
      <c r="B142" t="e">
        <f t="shared" si="63"/>
        <v>#NUM!</v>
      </c>
      <c r="C142" t="e">
        <f t="shared" si="63"/>
        <v>#NUM!</v>
      </c>
      <c r="W142" t="e">
        <f t="shared" si="52"/>
        <v>#NUM!</v>
      </c>
      <c r="X142">
        <f t="shared" si="53"/>
        <v>61.570799515387513</v>
      </c>
      <c r="Y142">
        <f t="shared" si="54"/>
        <v>9</v>
      </c>
      <c r="Z142">
        <f t="shared" si="55"/>
        <v>-1.5707963267948966</v>
      </c>
      <c r="AA142" t="e">
        <f t="shared" si="56"/>
        <v>#NUM!</v>
      </c>
      <c r="AB142" t="e">
        <f t="shared" si="57"/>
        <v>#NUM!</v>
      </c>
      <c r="AC142" t="e">
        <f t="shared" si="58"/>
        <v>#NUM!</v>
      </c>
      <c r="AE142">
        <v>3.2153875902064446E-6</v>
      </c>
      <c r="AF142">
        <v>-59.999999999999922</v>
      </c>
      <c r="AH142" s="1">
        <v>136</v>
      </c>
      <c r="AI142" s="1">
        <f t="shared" si="59"/>
        <v>0</v>
      </c>
      <c r="AJ142" s="1">
        <f t="shared" si="60"/>
        <v>0</v>
      </c>
      <c r="AK142" s="2">
        <f t="shared" si="61"/>
        <v>0</v>
      </c>
      <c r="AL142" s="2">
        <f t="shared" si="62"/>
        <v>0</v>
      </c>
      <c r="AY142">
        <v>42.198283250644259</v>
      </c>
      <c r="BN142">
        <v>106.31432543259069</v>
      </c>
    </row>
    <row r="143" spans="2:66" x14ac:dyDescent="0.25">
      <c r="W143" t="e">
        <f t="shared" si="52"/>
        <v>#NUM!</v>
      </c>
      <c r="X143">
        <f t="shared" si="53"/>
        <v>61.570799515387513</v>
      </c>
      <c r="Y143">
        <f t="shared" si="54"/>
        <v>9</v>
      </c>
      <c r="Z143">
        <f t="shared" si="55"/>
        <v>-1.5707963267948966</v>
      </c>
      <c r="AA143" t="e">
        <f t="shared" si="56"/>
        <v>#NUM!</v>
      </c>
      <c r="AB143" t="e">
        <f t="shared" si="57"/>
        <v>#NUM!</v>
      </c>
      <c r="AC143" t="e">
        <f t="shared" si="58"/>
        <v>#NUM!</v>
      </c>
      <c r="AE143">
        <v>3.2153875902064446E-6</v>
      </c>
      <c r="AF143">
        <v>-59.999999999999922</v>
      </c>
      <c r="AH143" s="1">
        <v>137</v>
      </c>
      <c r="AI143" s="1">
        <f t="shared" si="59"/>
        <v>0</v>
      </c>
      <c r="AJ143" s="1">
        <f t="shared" si="60"/>
        <v>0</v>
      </c>
      <c r="AK143" s="2">
        <f t="shared" si="61"/>
        <v>0</v>
      </c>
      <c r="AL143" s="2">
        <f t="shared" si="62"/>
        <v>0</v>
      </c>
      <c r="AY143">
        <v>39.531880273727573</v>
      </c>
      <c r="BN143">
        <v>107.55768962327413</v>
      </c>
    </row>
    <row r="144" spans="2:66" x14ac:dyDescent="0.25">
      <c r="W144" t="e">
        <f t="shared" si="52"/>
        <v>#NUM!</v>
      </c>
      <c r="X144">
        <f t="shared" si="53"/>
        <v>61.570799515387513</v>
      </c>
      <c r="Y144">
        <f t="shared" si="54"/>
        <v>9</v>
      </c>
      <c r="Z144">
        <f t="shared" si="55"/>
        <v>-1.5707963267948966</v>
      </c>
      <c r="AA144" t="e">
        <f t="shared" si="56"/>
        <v>#NUM!</v>
      </c>
      <c r="AB144" t="e">
        <f t="shared" si="57"/>
        <v>#NUM!</v>
      </c>
      <c r="AC144" t="e">
        <f t="shared" si="58"/>
        <v>#NUM!</v>
      </c>
      <c r="AE144">
        <v>3.2153875902064446E-6</v>
      </c>
      <c r="AF144">
        <v>-59.999999999999922</v>
      </c>
      <c r="AH144" s="1">
        <v>138</v>
      </c>
      <c r="AI144" s="1">
        <f t="shared" si="59"/>
        <v>0</v>
      </c>
      <c r="AJ144" s="1">
        <f t="shared" si="60"/>
        <v>0</v>
      </c>
      <c r="AK144" s="2">
        <f t="shared" si="61"/>
        <v>0</v>
      </c>
      <c r="AL144" s="2">
        <f t="shared" si="62"/>
        <v>0</v>
      </c>
      <c r="AY144">
        <v>36.835308133993479</v>
      </c>
      <c r="BN144">
        <v>108.73419208446748</v>
      </c>
    </row>
    <row r="145" spans="23:66" x14ac:dyDescent="0.25">
      <c r="W145" t="e">
        <f t="shared" si="52"/>
        <v>#NUM!</v>
      </c>
      <c r="X145">
        <f t="shared" si="53"/>
        <v>61.570799515387513</v>
      </c>
      <c r="Y145">
        <f t="shared" si="54"/>
        <v>9</v>
      </c>
      <c r="Z145">
        <f t="shared" si="55"/>
        <v>-1.5707963267948966</v>
      </c>
      <c r="AA145" t="e">
        <f t="shared" si="56"/>
        <v>#NUM!</v>
      </c>
      <c r="AB145" t="e">
        <f t="shared" si="57"/>
        <v>#NUM!</v>
      </c>
      <c r="AC145" t="e">
        <f t="shared" si="58"/>
        <v>#NUM!</v>
      </c>
      <c r="AE145">
        <v>3.2153875902064446E-6</v>
      </c>
      <c r="AF145">
        <v>-59.999999999999922</v>
      </c>
      <c r="AH145" s="1">
        <v>139</v>
      </c>
      <c r="AI145" s="1">
        <f t="shared" si="59"/>
        <v>0</v>
      </c>
      <c r="AJ145" s="1">
        <f t="shared" si="60"/>
        <v>0</v>
      </c>
      <c r="AK145" s="2">
        <f t="shared" si="61"/>
        <v>0</v>
      </c>
      <c r="AL145" s="2">
        <f t="shared" si="62"/>
        <v>0</v>
      </c>
      <c r="AY145">
        <v>34.110243117699014</v>
      </c>
      <c r="BN145">
        <v>109.84310145991365</v>
      </c>
    </row>
    <row r="146" spans="23:66" x14ac:dyDescent="0.25">
      <c r="W146" t="e">
        <f t="shared" si="52"/>
        <v>#NUM!</v>
      </c>
      <c r="X146">
        <f t="shared" si="53"/>
        <v>61.570799515387513</v>
      </c>
      <c r="Y146">
        <f t="shared" si="54"/>
        <v>9</v>
      </c>
      <c r="Z146">
        <f t="shared" si="55"/>
        <v>-1.5707963267948966</v>
      </c>
      <c r="AA146" t="e">
        <f t="shared" si="56"/>
        <v>#NUM!</v>
      </c>
      <c r="AB146" t="e">
        <f t="shared" si="57"/>
        <v>#NUM!</v>
      </c>
      <c r="AC146" t="e">
        <f t="shared" si="58"/>
        <v>#NUM!</v>
      </c>
      <c r="AE146">
        <v>3.2153875902064446E-6</v>
      </c>
      <c r="AF146">
        <v>-59.999999999999922</v>
      </c>
      <c r="AH146" s="1">
        <v>140</v>
      </c>
      <c r="AI146" s="1">
        <f t="shared" si="59"/>
        <v>0</v>
      </c>
      <c r="AJ146" s="1">
        <f t="shared" si="60"/>
        <v>0</v>
      </c>
      <c r="AK146" s="2">
        <f t="shared" si="61"/>
        <v>0</v>
      </c>
      <c r="AL146" s="2">
        <f t="shared" si="62"/>
        <v>0</v>
      </c>
      <c r="AY146">
        <v>31.358379223298492</v>
      </c>
      <c r="BN146">
        <v>110.88372841164941</v>
      </c>
    </row>
    <row r="147" spans="23:66" x14ac:dyDescent="0.25">
      <c r="W147" t="e">
        <f t="shared" ref="W147:W210" si="64">3.14159265358/2-Z147-AA147</f>
        <v>#NUM!</v>
      </c>
      <c r="X147">
        <f t="shared" ref="X147:X210" si="65">3.1415926/2+AE147-AF147</f>
        <v>61.570799515387513</v>
      </c>
      <c r="Y147">
        <f t="shared" ref="Y147:Y210" si="66">SQRT( V147*V147+(U147+$G$2)*(U147+$G$2)     )</f>
        <v>9</v>
      </c>
      <c r="Z147">
        <f t="shared" ref="Z147:Z210" si="67">ATAN2(  V147, -U147-$G$2)</f>
        <v>-1.5707963267948966</v>
      </c>
      <c r="AA147" t="e">
        <f t="shared" ref="AA147:AA210" si="68" xml:space="preserve"> ACOS((Y147*Y147+$C$2*$C$2-($E$2+$T$2)*($E$2+$T$2))/(2*Y147*$C$2))</f>
        <v>#NUM!</v>
      </c>
      <c r="AB147" t="e">
        <f t="shared" ref="AB147:AB210" si="69">-$G$2-$C$2*COS(W147)+(U147+$G$2+COS(W147)*$C$2)*$E$2/($E$2+$T$2)</f>
        <v>#NUM!</v>
      </c>
      <c r="AC147" t="e">
        <f t="shared" ref="AC147:AC210" si="70">$C$2*SIN(W147)+(V147-$C$2*SIN(W147))*$E$2/($T$2+$E$2)</f>
        <v>#NUM!</v>
      </c>
      <c r="AE147">
        <v>3.2153875902064446E-6</v>
      </c>
      <c r="AF147">
        <v>-59.999999999999922</v>
      </c>
      <c r="AH147" s="1">
        <v>141</v>
      </c>
      <c r="AI147" s="1">
        <f t="shared" ref="AI147:AI210" si="71">U147</f>
        <v>0</v>
      </c>
      <c r="AJ147" s="1">
        <f t="shared" ref="AJ147:AJ210" si="72">V147</f>
        <v>0</v>
      </c>
      <c r="AK147" s="2">
        <f t="shared" ref="AK147:AK210" si="73">D147*180/3.1415926</f>
        <v>0</v>
      </c>
      <c r="AL147" s="2">
        <f t="shared" ref="AL147:AL210" si="74">E147*180/3.1415926</f>
        <v>0</v>
      </c>
      <c r="AY147">
        <v>28.581427108392873</v>
      </c>
      <c r="BN147">
        <v>111.8554260485228</v>
      </c>
    </row>
    <row r="148" spans="23:66" x14ac:dyDescent="0.25">
      <c r="W148" t="e">
        <f t="shared" si="64"/>
        <v>#NUM!</v>
      </c>
      <c r="X148">
        <f t="shared" si="65"/>
        <v>61.570799515387513</v>
      </c>
      <c r="Y148">
        <f t="shared" si="66"/>
        <v>9</v>
      </c>
      <c r="Z148">
        <f t="shared" si="67"/>
        <v>-1.5707963267948966</v>
      </c>
      <c r="AA148" t="e">
        <f t="shared" si="68"/>
        <v>#NUM!</v>
      </c>
      <c r="AB148" t="e">
        <f t="shared" si="69"/>
        <v>#NUM!</v>
      </c>
      <c r="AC148" t="e">
        <f t="shared" si="70"/>
        <v>#NUM!</v>
      </c>
      <c r="AE148">
        <v>3.2153875902064446E-6</v>
      </c>
      <c r="AF148">
        <v>-59.999999999999922</v>
      </c>
      <c r="AH148" s="1">
        <v>142</v>
      </c>
      <c r="AI148" s="1">
        <f t="shared" si="71"/>
        <v>0</v>
      </c>
      <c r="AJ148" s="1">
        <f t="shared" si="72"/>
        <v>0</v>
      </c>
      <c r="AK148" s="2">
        <f t="shared" si="73"/>
        <v>0</v>
      </c>
      <c r="AL148" s="2">
        <f t="shared" si="74"/>
        <v>0</v>
      </c>
      <c r="AY148">
        <v>25.781113026323638</v>
      </c>
      <c r="BN148">
        <v>112.7575903283238</v>
      </c>
    </row>
    <row r="149" spans="23:66" x14ac:dyDescent="0.25">
      <c r="W149" t="e">
        <f t="shared" si="64"/>
        <v>#NUM!</v>
      </c>
      <c r="X149">
        <f t="shared" si="65"/>
        <v>61.570799515387513</v>
      </c>
      <c r="Y149">
        <f t="shared" si="66"/>
        <v>9</v>
      </c>
      <c r="Z149">
        <f t="shared" si="67"/>
        <v>-1.5707963267948966</v>
      </c>
      <c r="AA149" t="e">
        <f t="shared" si="68"/>
        <v>#NUM!</v>
      </c>
      <c r="AB149" t="e">
        <f t="shared" si="69"/>
        <v>#NUM!</v>
      </c>
      <c r="AC149" t="e">
        <f t="shared" si="70"/>
        <v>#NUM!</v>
      </c>
      <c r="AE149">
        <v>3.2153875902064446E-6</v>
      </c>
      <c r="AF149">
        <v>-59.999999999999922</v>
      </c>
      <c r="AH149" s="1">
        <v>143</v>
      </c>
      <c r="AI149" s="1">
        <f t="shared" si="71"/>
        <v>0</v>
      </c>
      <c r="AJ149" s="1">
        <f t="shared" si="72"/>
        <v>0</v>
      </c>
      <c r="AK149" s="2">
        <f t="shared" si="73"/>
        <v>0</v>
      </c>
      <c r="AL149" s="2">
        <f t="shared" si="74"/>
        <v>0</v>
      </c>
      <c r="AY149">
        <v>22.959177753071529</v>
      </c>
      <c r="BN149">
        <v>113.58966043327878</v>
      </c>
    </row>
    <row r="150" spans="23:66" x14ac:dyDescent="0.25">
      <c r="W150" t="e">
        <f t="shared" si="64"/>
        <v>#NUM!</v>
      </c>
      <c r="X150">
        <f t="shared" si="65"/>
        <v>61.570799515387513</v>
      </c>
      <c r="Y150">
        <f t="shared" si="66"/>
        <v>9</v>
      </c>
      <c r="Z150">
        <f t="shared" si="67"/>
        <v>-1.5707963267948966</v>
      </c>
      <c r="AA150" t="e">
        <f t="shared" si="68"/>
        <v>#NUM!</v>
      </c>
      <c r="AB150" t="e">
        <f t="shared" si="69"/>
        <v>#NUM!</v>
      </c>
      <c r="AC150" t="e">
        <f t="shared" si="70"/>
        <v>#NUM!</v>
      </c>
      <c r="AE150">
        <v>3.2153875902064446E-6</v>
      </c>
      <c r="AF150">
        <v>-59.999999999999922</v>
      </c>
      <c r="AH150" s="1">
        <v>144</v>
      </c>
      <c r="AI150" s="1">
        <f t="shared" si="71"/>
        <v>0</v>
      </c>
      <c r="AJ150" s="1">
        <f t="shared" si="72"/>
        <v>0</v>
      </c>
      <c r="AK150" s="2">
        <f t="shared" si="73"/>
        <v>0</v>
      </c>
      <c r="AL150" s="2">
        <f t="shared" si="74"/>
        <v>0</v>
      </c>
      <c r="AY150">
        <v>20.117375505127672</v>
      </c>
      <c r="BN150">
        <v>114.35111911867497</v>
      </c>
    </row>
    <row r="151" spans="23:66" x14ac:dyDescent="0.25">
      <c r="W151" t="e">
        <f t="shared" si="64"/>
        <v>#NUM!</v>
      </c>
      <c r="X151">
        <f t="shared" si="65"/>
        <v>61.570799515387513</v>
      </c>
      <c r="Y151">
        <f t="shared" si="66"/>
        <v>9</v>
      </c>
      <c r="Z151">
        <f t="shared" si="67"/>
        <v>-1.5707963267948966</v>
      </c>
      <c r="AA151" t="e">
        <f t="shared" si="68"/>
        <v>#NUM!</v>
      </c>
      <c r="AB151" t="e">
        <f t="shared" si="69"/>
        <v>#NUM!</v>
      </c>
      <c r="AC151" t="e">
        <f t="shared" si="70"/>
        <v>#NUM!</v>
      </c>
      <c r="AE151">
        <v>3.2153875902064446E-6</v>
      </c>
      <c r="AF151">
        <v>-59.999999999999922</v>
      </c>
      <c r="AH151" s="1">
        <v>145</v>
      </c>
      <c r="AI151" s="1">
        <f t="shared" si="71"/>
        <v>0</v>
      </c>
      <c r="AJ151" s="1">
        <f t="shared" si="72"/>
        <v>0</v>
      </c>
      <c r="AK151" s="2">
        <f t="shared" si="73"/>
        <v>0</v>
      </c>
      <c r="AL151" s="2">
        <f t="shared" si="74"/>
        <v>0</v>
      </c>
      <c r="AY151">
        <v>17.257472849009325</v>
      </c>
      <c r="BN151">
        <v>115.0414930343984</v>
      </c>
    </row>
    <row r="152" spans="23:66" x14ac:dyDescent="0.25">
      <c r="W152" t="e">
        <f t="shared" si="64"/>
        <v>#NUM!</v>
      </c>
      <c r="X152">
        <f t="shared" si="65"/>
        <v>61.570799515387513</v>
      </c>
      <c r="Y152">
        <f t="shared" si="66"/>
        <v>9</v>
      </c>
      <c r="Z152">
        <f t="shared" si="67"/>
        <v>-1.5707963267948966</v>
      </c>
      <c r="AA152" t="e">
        <f t="shared" si="68"/>
        <v>#NUM!</v>
      </c>
      <c r="AB152" t="e">
        <f t="shared" si="69"/>
        <v>#NUM!</v>
      </c>
      <c r="AC152" t="e">
        <f t="shared" si="70"/>
        <v>#NUM!</v>
      </c>
      <c r="AE152">
        <v>3.2153875902064446E-6</v>
      </c>
      <c r="AF152">
        <v>-59.999999999999922</v>
      </c>
      <c r="AH152" s="1">
        <v>146</v>
      </c>
      <c r="AI152" s="1">
        <f t="shared" si="71"/>
        <v>0</v>
      </c>
      <c r="AJ152" s="1">
        <f t="shared" si="72"/>
        <v>0</v>
      </c>
      <c r="AK152" s="2">
        <f t="shared" si="73"/>
        <v>0</v>
      </c>
      <c r="AL152" s="2">
        <f t="shared" si="74"/>
        <v>0</v>
      </c>
      <c r="AY152">
        <v>14.381247603098693</v>
      </c>
      <c r="BN152">
        <v>115.66035301918541</v>
      </c>
    </row>
    <row r="153" spans="23:66" x14ac:dyDescent="0.25">
      <c r="W153" t="e">
        <f t="shared" si="64"/>
        <v>#NUM!</v>
      </c>
      <c r="X153">
        <f t="shared" si="65"/>
        <v>61.570799515387513</v>
      </c>
      <c r="Y153">
        <f t="shared" si="66"/>
        <v>9</v>
      </c>
      <c r="Z153">
        <f t="shared" si="67"/>
        <v>-1.5707963267948966</v>
      </c>
      <c r="AA153" t="e">
        <f t="shared" si="68"/>
        <v>#NUM!</v>
      </c>
      <c r="AB153" t="e">
        <f t="shared" si="69"/>
        <v>#NUM!</v>
      </c>
      <c r="AC153" t="e">
        <f t="shared" si="70"/>
        <v>#NUM!</v>
      </c>
      <c r="AE153">
        <v>3.2153875902064446E-6</v>
      </c>
      <c r="AF153">
        <v>-59.999999999999922</v>
      </c>
      <c r="AH153" s="1">
        <v>147</v>
      </c>
      <c r="AI153" s="1">
        <f t="shared" si="71"/>
        <v>0</v>
      </c>
      <c r="AJ153" s="1">
        <f t="shared" si="72"/>
        <v>0</v>
      </c>
      <c r="AK153" s="2">
        <f t="shared" si="73"/>
        <v>0</v>
      </c>
      <c r="AL153" s="2">
        <f t="shared" si="74"/>
        <v>0</v>
      </c>
      <c r="AY153">
        <v>11.4904877324871</v>
      </c>
      <c r="BN153">
        <v>116.20731436740459</v>
      </c>
    </row>
    <row r="154" spans="23:66" x14ac:dyDescent="0.25">
      <c r="W154" t="e">
        <f t="shared" si="64"/>
        <v>#NUM!</v>
      </c>
      <c r="X154">
        <f t="shared" si="65"/>
        <v>61.570799515387513</v>
      </c>
      <c r="Y154">
        <f t="shared" si="66"/>
        <v>9</v>
      </c>
      <c r="Z154">
        <f t="shared" si="67"/>
        <v>-1.5707963267948966</v>
      </c>
      <c r="AA154" t="e">
        <f t="shared" si="68"/>
        <v>#NUM!</v>
      </c>
      <c r="AB154" t="e">
        <f t="shared" si="69"/>
        <v>#NUM!</v>
      </c>
      <c r="AC154" t="e">
        <f t="shared" si="70"/>
        <v>#NUM!</v>
      </c>
      <c r="AE154">
        <v>3.2153875902064446E-6</v>
      </c>
      <c r="AF154">
        <v>-59.999999999999922</v>
      </c>
      <c r="AH154" s="1">
        <v>148</v>
      </c>
      <c r="AI154" s="1">
        <f t="shared" si="71"/>
        <v>0</v>
      </c>
      <c r="AJ154" s="1">
        <f t="shared" si="72"/>
        <v>0</v>
      </c>
      <c r="AK154" s="2">
        <f t="shared" si="73"/>
        <v>0</v>
      </c>
      <c r="AL154" s="2">
        <f t="shared" si="74"/>
        <v>0</v>
      </c>
      <c r="AY154">
        <v>8.5869902375114009</v>
      </c>
      <c r="BN154">
        <v>116.68203706820377</v>
      </c>
    </row>
    <row r="155" spans="23:66" x14ac:dyDescent="0.25">
      <c r="W155" t="e">
        <f t="shared" si="64"/>
        <v>#NUM!</v>
      </c>
      <c r="X155">
        <f t="shared" si="65"/>
        <v>61.570799515387513</v>
      </c>
      <c r="Y155">
        <f t="shared" si="66"/>
        <v>9</v>
      </c>
      <c r="Z155">
        <f t="shared" si="67"/>
        <v>-1.5707963267948966</v>
      </c>
      <c r="AA155" t="e">
        <f t="shared" si="68"/>
        <v>#NUM!</v>
      </c>
      <c r="AB155" t="e">
        <f t="shared" si="69"/>
        <v>#NUM!</v>
      </c>
      <c r="AC155" t="e">
        <f t="shared" si="70"/>
        <v>#NUM!</v>
      </c>
      <c r="AE155">
        <v>3.2153875902064446E-6</v>
      </c>
      <c r="AF155">
        <v>-59.999999999999922</v>
      </c>
      <c r="AH155" s="1">
        <v>149</v>
      </c>
      <c r="AI155" s="1">
        <f t="shared" si="71"/>
        <v>0</v>
      </c>
      <c r="AJ155" s="1">
        <f t="shared" si="72"/>
        <v>0</v>
      </c>
      <c r="AK155" s="2">
        <f t="shared" si="73"/>
        <v>0</v>
      </c>
      <c r="AL155" s="2">
        <f t="shared" si="74"/>
        <v>0</v>
      </c>
      <c r="AY155">
        <v>5.6725600366741151</v>
      </c>
      <c r="BN155">
        <v>117.08422601687298</v>
      </c>
    </row>
    <row r="156" spans="23:66" x14ac:dyDescent="0.25">
      <c r="W156" t="e">
        <f t="shared" si="64"/>
        <v>#NUM!</v>
      </c>
      <c r="X156">
        <f t="shared" si="65"/>
        <v>61.570799515387513</v>
      </c>
      <c r="Y156">
        <f t="shared" si="66"/>
        <v>9</v>
      </c>
      <c r="Z156">
        <f t="shared" si="67"/>
        <v>-1.5707963267948966</v>
      </c>
      <c r="AA156" t="e">
        <f t="shared" si="68"/>
        <v>#NUM!</v>
      </c>
      <c r="AB156" t="e">
        <f t="shared" si="69"/>
        <v>#NUM!</v>
      </c>
      <c r="AC156" t="e">
        <f t="shared" si="70"/>
        <v>#NUM!</v>
      </c>
      <c r="AE156">
        <v>3.2153875902064446E-6</v>
      </c>
      <c r="AF156">
        <v>-59.999999999999922</v>
      </c>
      <c r="AH156" s="1">
        <v>150</v>
      </c>
      <c r="AI156" s="1">
        <f t="shared" si="71"/>
        <v>0</v>
      </c>
      <c r="AJ156" s="1">
        <f t="shared" si="72"/>
        <v>0</v>
      </c>
      <c r="AK156" s="2">
        <f t="shared" si="73"/>
        <v>0</v>
      </c>
      <c r="AL156" s="2">
        <f t="shared" si="74"/>
        <v>0</v>
      </c>
      <c r="AY156">
        <v>2.7490088446409864</v>
      </c>
      <c r="BN156">
        <v>117.41363119829208</v>
      </c>
    </row>
    <row r="157" spans="23:66" x14ac:dyDescent="0.25">
      <c r="W157" t="e">
        <f t="shared" si="64"/>
        <v>#NUM!</v>
      </c>
      <c r="X157">
        <f t="shared" si="65"/>
        <v>61.570799515387513</v>
      </c>
      <c r="Y157">
        <f t="shared" si="66"/>
        <v>9</v>
      </c>
      <c r="Z157">
        <f t="shared" si="67"/>
        <v>-1.5707963267948966</v>
      </c>
      <c r="AA157" t="e">
        <f t="shared" si="68"/>
        <v>#NUM!</v>
      </c>
      <c r="AB157" t="e">
        <f t="shared" si="69"/>
        <v>#NUM!</v>
      </c>
      <c r="AC157" t="e">
        <f t="shared" si="70"/>
        <v>#NUM!</v>
      </c>
      <c r="AE157">
        <v>3.2153875902064446E-6</v>
      </c>
      <c r="AF157">
        <v>-59.999999999999922</v>
      </c>
      <c r="AH157" s="1">
        <v>151</v>
      </c>
      <c r="AI157" s="1">
        <f t="shared" si="71"/>
        <v>0</v>
      </c>
      <c r="AJ157" s="1">
        <f t="shared" si="72"/>
        <v>0</v>
      </c>
      <c r="AK157" s="2">
        <f t="shared" si="73"/>
        <v>0</v>
      </c>
      <c r="AL157" s="2">
        <f t="shared" si="74"/>
        <v>0</v>
      </c>
      <c r="AY157">
        <v>0</v>
      </c>
      <c r="BN157">
        <v>117.65627905046122</v>
      </c>
    </row>
    <row r="158" spans="23:66" x14ac:dyDescent="0.25">
      <c r="W158" t="e">
        <f t="shared" si="64"/>
        <v>#NUM!</v>
      </c>
      <c r="X158">
        <f t="shared" si="65"/>
        <v>61.570799515387513</v>
      </c>
      <c r="Y158">
        <f t="shared" si="66"/>
        <v>9</v>
      </c>
      <c r="Z158">
        <f t="shared" si="67"/>
        <v>-1.5707963267948966</v>
      </c>
      <c r="AA158" t="e">
        <f t="shared" si="68"/>
        <v>#NUM!</v>
      </c>
      <c r="AB158" t="e">
        <f t="shared" si="69"/>
        <v>#NUM!</v>
      </c>
      <c r="AC158" t="e">
        <f t="shared" si="70"/>
        <v>#NUM!</v>
      </c>
      <c r="AE158">
        <v>3.2153875902064446E-6</v>
      </c>
      <c r="AF158">
        <v>-59.999999999999922</v>
      </c>
      <c r="AH158" s="1">
        <v>152</v>
      </c>
      <c r="AI158" s="1">
        <f t="shared" si="71"/>
        <v>0</v>
      </c>
      <c r="AJ158" s="1">
        <f t="shared" si="72"/>
        <v>0</v>
      </c>
      <c r="AK158" s="2">
        <f t="shared" si="73"/>
        <v>0</v>
      </c>
      <c r="AL158" s="2">
        <f t="shared" si="74"/>
        <v>0</v>
      </c>
      <c r="AY158">
        <v>0</v>
      </c>
      <c r="BN158">
        <v>117.65627905046122</v>
      </c>
    </row>
    <row r="159" spans="23:66" x14ac:dyDescent="0.25">
      <c r="W159" t="e">
        <f t="shared" si="64"/>
        <v>#NUM!</v>
      </c>
      <c r="X159">
        <f t="shared" si="65"/>
        <v>61.570799515387513</v>
      </c>
      <c r="Y159">
        <f t="shared" si="66"/>
        <v>9</v>
      </c>
      <c r="Z159">
        <f t="shared" si="67"/>
        <v>-1.5707963267948966</v>
      </c>
      <c r="AA159" t="e">
        <f t="shared" si="68"/>
        <v>#NUM!</v>
      </c>
      <c r="AB159" t="e">
        <f t="shared" si="69"/>
        <v>#NUM!</v>
      </c>
      <c r="AC159" t="e">
        <f t="shared" si="70"/>
        <v>#NUM!</v>
      </c>
      <c r="AE159">
        <v>3.2153875902064446E-6</v>
      </c>
      <c r="AF159">
        <v>-59.999999999999922</v>
      </c>
      <c r="AH159" s="1">
        <v>153</v>
      </c>
      <c r="AI159" s="1">
        <f t="shared" si="71"/>
        <v>0</v>
      </c>
      <c r="AJ159" s="1">
        <f t="shared" si="72"/>
        <v>0</v>
      </c>
      <c r="AK159" s="2">
        <f t="shared" si="73"/>
        <v>0</v>
      </c>
      <c r="AL159" s="2">
        <f t="shared" si="74"/>
        <v>0</v>
      </c>
      <c r="AY159">
        <v>0</v>
      </c>
      <c r="BN159">
        <v>117.65627905046122</v>
      </c>
    </row>
    <row r="160" spans="23:66" x14ac:dyDescent="0.25">
      <c r="W160" t="e">
        <f t="shared" si="64"/>
        <v>#NUM!</v>
      </c>
      <c r="X160">
        <f t="shared" si="65"/>
        <v>61.570799515387513</v>
      </c>
      <c r="Y160">
        <f t="shared" si="66"/>
        <v>9</v>
      </c>
      <c r="Z160">
        <f t="shared" si="67"/>
        <v>-1.5707963267948966</v>
      </c>
      <c r="AA160" t="e">
        <f t="shared" si="68"/>
        <v>#NUM!</v>
      </c>
      <c r="AB160" t="e">
        <f t="shared" si="69"/>
        <v>#NUM!</v>
      </c>
      <c r="AC160" t="e">
        <f t="shared" si="70"/>
        <v>#NUM!</v>
      </c>
      <c r="AE160">
        <v>3.2153875902064446E-6</v>
      </c>
      <c r="AF160">
        <v>-59.999999999999922</v>
      </c>
      <c r="AH160" s="1">
        <v>154</v>
      </c>
      <c r="AI160" s="1">
        <f t="shared" si="71"/>
        <v>0</v>
      </c>
      <c r="AJ160" s="1">
        <f t="shared" si="72"/>
        <v>0</v>
      </c>
      <c r="AK160" s="2">
        <f t="shared" si="73"/>
        <v>0</v>
      </c>
      <c r="AL160" s="2">
        <f t="shared" si="74"/>
        <v>0</v>
      </c>
      <c r="AY160">
        <v>0</v>
      </c>
      <c r="BN160">
        <v>117.65627905046122</v>
      </c>
    </row>
    <row r="161" spans="23:67" x14ac:dyDescent="0.25">
      <c r="W161" t="e">
        <f t="shared" si="64"/>
        <v>#NUM!</v>
      </c>
      <c r="X161">
        <f t="shared" si="65"/>
        <v>61.570799515387513</v>
      </c>
      <c r="Y161">
        <f t="shared" si="66"/>
        <v>9</v>
      </c>
      <c r="Z161">
        <f t="shared" si="67"/>
        <v>-1.5707963267948966</v>
      </c>
      <c r="AA161" t="e">
        <f t="shared" si="68"/>
        <v>#NUM!</v>
      </c>
      <c r="AB161" t="e">
        <f t="shared" si="69"/>
        <v>#NUM!</v>
      </c>
      <c r="AC161" t="e">
        <f t="shared" si="70"/>
        <v>#NUM!</v>
      </c>
      <c r="AE161">
        <v>3.2153875902064446E-6</v>
      </c>
      <c r="AF161">
        <v>-59.999999999999922</v>
      </c>
      <c r="AH161" s="1">
        <v>155</v>
      </c>
      <c r="AI161" s="1">
        <f t="shared" si="71"/>
        <v>0</v>
      </c>
      <c r="AJ161" s="1">
        <f t="shared" si="72"/>
        <v>0</v>
      </c>
      <c r="AK161" s="2">
        <f t="shared" si="73"/>
        <v>0</v>
      </c>
      <c r="AL161" s="2">
        <f t="shared" si="74"/>
        <v>0</v>
      </c>
      <c r="AY161">
        <v>1.9499106062863438</v>
      </c>
      <c r="BO161">
        <v>117.49084787531784</v>
      </c>
    </row>
    <row r="162" spans="23:67" x14ac:dyDescent="0.25">
      <c r="W162" t="e">
        <f t="shared" si="64"/>
        <v>#NUM!</v>
      </c>
      <c r="X162">
        <f t="shared" si="65"/>
        <v>61.570799515387513</v>
      </c>
      <c r="Y162">
        <f t="shared" si="66"/>
        <v>9</v>
      </c>
      <c r="Z162">
        <f t="shared" si="67"/>
        <v>-1.5707963267948966</v>
      </c>
      <c r="AA162" t="e">
        <f t="shared" si="68"/>
        <v>#NUM!</v>
      </c>
      <c r="AB162" t="e">
        <f t="shared" si="69"/>
        <v>#NUM!</v>
      </c>
      <c r="AC162" t="e">
        <f t="shared" si="70"/>
        <v>#NUM!</v>
      </c>
      <c r="AE162">
        <v>3.2153875902064446E-6</v>
      </c>
      <c r="AF162">
        <v>-59.999999999999922</v>
      </c>
      <c r="AH162" s="1">
        <v>156</v>
      </c>
      <c r="AI162" s="1">
        <f t="shared" si="71"/>
        <v>0</v>
      </c>
      <c r="AJ162" s="1">
        <f t="shared" si="72"/>
        <v>0</v>
      </c>
      <c r="AK162" s="2">
        <f t="shared" si="73"/>
        <v>0</v>
      </c>
      <c r="AL162" s="2">
        <f t="shared" si="74"/>
        <v>0</v>
      </c>
      <c r="AY162">
        <v>0.4353759783197173</v>
      </c>
      <c r="BO162">
        <v>117.13419347523326</v>
      </c>
    </row>
    <row r="163" spans="23:67" x14ac:dyDescent="0.25">
      <c r="W163" t="e">
        <f t="shared" si="64"/>
        <v>#NUM!</v>
      </c>
      <c r="X163">
        <f t="shared" si="65"/>
        <v>61.570799515387513</v>
      </c>
      <c r="Y163">
        <f t="shared" si="66"/>
        <v>9</v>
      </c>
      <c r="Z163">
        <f t="shared" si="67"/>
        <v>-1.5707963267948966</v>
      </c>
      <c r="AA163" t="e">
        <f t="shared" si="68"/>
        <v>#NUM!</v>
      </c>
      <c r="AB163" t="e">
        <f t="shared" si="69"/>
        <v>#NUM!</v>
      </c>
      <c r="AC163" t="e">
        <f t="shared" si="70"/>
        <v>#NUM!</v>
      </c>
      <c r="AE163">
        <v>3.2153875902064446E-6</v>
      </c>
      <c r="AF163">
        <v>-59.999999999999922</v>
      </c>
      <c r="AH163" s="1">
        <v>157</v>
      </c>
      <c r="AI163" s="1">
        <f t="shared" si="71"/>
        <v>0</v>
      </c>
      <c r="AJ163" s="1">
        <f t="shared" si="72"/>
        <v>0</v>
      </c>
      <c r="AK163" s="2">
        <f t="shared" si="73"/>
        <v>0</v>
      </c>
      <c r="AL163" s="2">
        <f t="shared" si="74"/>
        <v>0</v>
      </c>
      <c r="AY163">
        <v>-1.8969752270526943</v>
      </c>
      <c r="BO163">
        <v>116.81085587659453</v>
      </c>
    </row>
    <row r="164" spans="23:67" x14ac:dyDescent="0.25">
      <c r="W164" t="e">
        <f t="shared" si="64"/>
        <v>#NUM!</v>
      </c>
      <c r="X164">
        <f t="shared" si="65"/>
        <v>61.570799515387513</v>
      </c>
      <c r="Y164">
        <f t="shared" si="66"/>
        <v>9</v>
      </c>
      <c r="Z164">
        <f t="shared" si="67"/>
        <v>-1.5707963267948966</v>
      </c>
      <c r="AA164" t="e">
        <f t="shared" si="68"/>
        <v>#NUM!</v>
      </c>
      <c r="AB164" t="e">
        <f t="shared" si="69"/>
        <v>#NUM!</v>
      </c>
      <c r="AC164" t="e">
        <f t="shared" si="70"/>
        <v>#NUM!</v>
      </c>
      <c r="AE164">
        <v>3.2153875902064446E-6</v>
      </c>
      <c r="AF164">
        <v>-59.999999999999922</v>
      </c>
      <c r="AH164" s="1">
        <v>158</v>
      </c>
      <c r="AI164" s="1">
        <f t="shared" si="71"/>
        <v>0</v>
      </c>
      <c r="AJ164" s="1">
        <f t="shared" si="72"/>
        <v>0</v>
      </c>
      <c r="AK164" s="2">
        <f t="shared" si="73"/>
        <v>0</v>
      </c>
      <c r="AL164" s="2">
        <f t="shared" si="74"/>
        <v>0</v>
      </c>
      <c r="AY164">
        <v>-4.3589076120530557</v>
      </c>
      <c r="BO164">
        <v>116.44690367677877</v>
      </c>
    </row>
    <row r="165" spans="23:67" x14ac:dyDescent="0.25">
      <c r="W165" t="e">
        <f t="shared" si="64"/>
        <v>#NUM!</v>
      </c>
      <c r="X165">
        <f t="shared" si="65"/>
        <v>61.570799515387513</v>
      </c>
      <c r="Y165">
        <f t="shared" si="66"/>
        <v>9</v>
      </c>
      <c r="Z165">
        <f t="shared" si="67"/>
        <v>-1.5707963267948966</v>
      </c>
      <c r="AA165" t="e">
        <f t="shared" si="68"/>
        <v>#NUM!</v>
      </c>
      <c r="AB165" t="e">
        <f t="shared" si="69"/>
        <v>#NUM!</v>
      </c>
      <c r="AC165" t="e">
        <f t="shared" si="70"/>
        <v>#NUM!</v>
      </c>
      <c r="AE165">
        <v>3.2153875902064446E-6</v>
      </c>
      <c r="AF165">
        <v>-59.999999999999922</v>
      </c>
      <c r="AH165" s="1">
        <v>159</v>
      </c>
      <c r="AI165" s="1">
        <f t="shared" si="71"/>
        <v>0</v>
      </c>
      <c r="AJ165" s="1">
        <f t="shared" si="72"/>
        <v>0</v>
      </c>
      <c r="AK165" s="2">
        <f t="shared" si="73"/>
        <v>0</v>
      </c>
      <c r="AL165" s="2">
        <f t="shared" si="74"/>
        <v>0</v>
      </c>
      <c r="AY165">
        <v>-6.8839803504483132</v>
      </c>
      <c r="BO165">
        <v>116.03281914215236</v>
      </c>
    </row>
    <row r="166" spans="23:67" x14ac:dyDescent="0.25">
      <c r="W166" t="e">
        <f t="shared" si="64"/>
        <v>#NUM!</v>
      </c>
      <c r="X166">
        <f t="shared" si="65"/>
        <v>61.570799515387513</v>
      </c>
      <c r="Y166">
        <f t="shared" si="66"/>
        <v>9</v>
      </c>
      <c r="Z166">
        <f t="shared" si="67"/>
        <v>-1.5707963267948966</v>
      </c>
      <c r="AA166" t="e">
        <f t="shared" si="68"/>
        <v>#NUM!</v>
      </c>
      <c r="AB166" t="e">
        <f t="shared" si="69"/>
        <v>#NUM!</v>
      </c>
      <c r="AC166" t="e">
        <f t="shared" si="70"/>
        <v>#NUM!</v>
      </c>
      <c r="AE166">
        <v>3.2153875902064446E-6</v>
      </c>
      <c r="AF166">
        <v>-59.999999999999922</v>
      </c>
      <c r="AH166" s="1">
        <v>160</v>
      </c>
      <c r="AI166" s="1">
        <f t="shared" si="71"/>
        <v>0</v>
      </c>
      <c r="AJ166" s="1">
        <f t="shared" si="72"/>
        <v>0</v>
      </c>
      <c r="AK166" s="2">
        <f t="shared" si="73"/>
        <v>0</v>
      </c>
      <c r="AL166" s="2">
        <f t="shared" si="74"/>
        <v>0</v>
      </c>
      <c r="AY166">
        <v>-9.445701924974987</v>
      </c>
      <c r="BO166">
        <v>115.5643346317473</v>
      </c>
    </row>
    <row r="167" spans="23:67" x14ac:dyDescent="0.25">
      <c r="W167" t="e">
        <f t="shared" si="64"/>
        <v>#NUM!</v>
      </c>
      <c r="X167">
        <f t="shared" si="65"/>
        <v>61.570799515387513</v>
      </c>
      <c r="Y167">
        <f t="shared" si="66"/>
        <v>9</v>
      </c>
      <c r="Z167">
        <f t="shared" si="67"/>
        <v>-1.5707963267948966</v>
      </c>
      <c r="AA167" t="e">
        <f t="shared" si="68"/>
        <v>#NUM!</v>
      </c>
      <c r="AB167" t="e">
        <f t="shared" si="69"/>
        <v>#NUM!</v>
      </c>
      <c r="AC167" t="e">
        <f t="shared" si="70"/>
        <v>#NUM!</v>
      </c>
      <c r="AE167">
        <v>3.2153875902064446E-6</v>
      </c>
      <c r="AF167">
        <v>-59.999999999999922</v>
      </c>
      <c r="AH167" s="1">
        <v>161</v>
      </c>
      <c r="AI167" s="1">
        <f t="shared" si="71"/>
        <v>0</v>
      </c>
      <c r="AJ167" s="1">
        <f t="shared" si="72"/>
        <v>0</v>
      </c>
      <c r="AK167" s="2">
        <f t="shared" si="73"/>
        <v>0</v>
      </c>
      <c r="AL167" s="2">
        <f t="shared" si="74"/>
        <v>0</v>
      </c>
      <c r="AY167">
        <v>-12.029847191518842</v>
      </c>
      <c r="BO167">
        <v>115.03901748242652</v>
      </c>
    </row>
    <row r="168" spans="23:67" x14ac:dyDescent="0.25">
      <c r="W168" t="e">
        <f t="shared" si="64"/>
        <v>#NUM!</v>
      </c>
      <c r="X168">
        <f t="shared" si="65"/>
        <v>61.570799515387513</v>
      </c>
      <c r="Y168">
        <f t="shared" si="66"/>
        <v>9</v>
      </c>
      <c r="Z168">
        <f t="shared" si="67"/>
        <v>-1.5707963267948966</v>
      </c>
      <c r="AA168" t="e">
        <f t="shared" si="68"/>
        <v>#NUM!</v>
      </c>
      <c r="AB168" t="e">
        <f t="shared" si="69"/>
        <v>#NUM!</v>
      </c>
      <c r="AC168" t="e">
        <f t="shared" si="70"/>
        <v>#NUM!</v>
      </c>
      <c r="AE168">
        <v>3.2153875902064446E-6</v>
      </c>
      <c r="AF168">
        <v>-59.999999999999922</v>
      </c>
      <c r="AH168" s="1">
        <v>162</v>
      </c>
      <c r="AI168" s="1">
        <f t="shared" si="71"/>
        <v>0</v>
      </c>
      <c r="AJ168" s="1">
        <f t="shared" si="72"/>
        <v>0</v>
      </c>
      <c r="AK168" s="2">
        <f t="shared" si="73"/>
        <v>0</v>
      </c>
      <c r="AL168" s="2">
        <f t="shared" si="74"/>
        <v>0</v>
      </c>
      <c r="AY168">
        <v>-14.627414945166993</v>
      </c>
      <c r="BO168">
        <v>114.45531383405392</v>
      </c>
    </row>
    <row r="169" spans="23:67" x14ac:dyDescent="0.25">
      <c r="W169" t="e">
        <f t="shared" si="64"/>
        <v>#NUM!</v>
      </c>
      <c r="X169">
        <f t="shared" si="65"/>
        <v>61.570799515387513</v>
      </c>
      <c r="Y169">
        <f t="shared" si="66"/>
        <v>9</v>
      </c>
      <c r="Z169">
        <f t="shared" si="67"/>
        <v>-1.5707963267948966</v>
      </c>
      <c r="AA169" t="e">
        <f t="shared" si="68"/>
        <v>#NUM!</v>
      </c>
      <c r="AB169" t="e">
        <f t="shared" si="69"/>
        <v>#NUM!</v>
      </c>
      <c r="AC169" t="e">
        <f t="shared" si="70"/>
        <v>#NUM!</v>
      </c>
      <c r="AE169">
        <v>3.2153875902064446E-6</v>
      </c>
      <c r="AF169">
        <v>-59.999999999999922</v>
      </c>
      <c r="AH169" s="1">
        <v>163</v>
      </c>
      <c r="AI169" s="1">
        <f t="shared" si="71"/>
        <v>0</v>
      </c>
      <c r="AJ169" s="1">
        <f t="shared" si="72"/>
        <v>0</v>
      </c>
      <c r="AK169" s="2">
        <f t="shared" si="73"/>
        <v>0</v>
      </c>
      <c r="AL169" s="2">
        <f t="shared" si="74"/>
        <v>0</v>
      </c>
      <c r="AY169">
        <v>-17.232056846141056</v>
      </c>
      <c r="BO169">
        <v>113.81217009496635</v>
      </c>
    </row>
    <row r="170" spans="23:67" x14ac:dyDescent="0.25">
      <c r="W170" t="e">
        <f t="shared" si="64"/>
        <v>#NUM!</v>
      </c>
      <c r="X170">
        <f t="shared" si="65"/>
        <v>61.570799515387513</v>
      </c>
      <c r="Y170">
        <f t="shared" si="66"/>
        <v>9</v>
      </c>
      <c r="Z170">
        <f t="shared" si="67"/>
        <v>-1.5707963267948966</v>
      </c>
      <c r="AA170" t="e">
        <f t="shared" si="68"/>
        <v>#NUM!</v>
      </c>
      <c r="AB170" t="e">
        <f t="shared" si="69"/>
        <v>#NUM!</v>
      </c>
      <c r="AC170" t="e">
        <f t="shared" si="70"/>
        <v>#NUM!</v>
      </c>
      <c r="AE170">
        <v>3.2153875902064446E-6</v>
      </c>
      <c r="AF170">
        <v>-59.999999999999922</v>
      </c>
      <c r="AH170" s="1">
        <v>164</v>
      </c>
      <c r="AI170" s="1">
        <f t="shared" si="71"/>
        <v>0</v>
      </c>
      <c r="AJ170" s="1">
        <f t="shared" si="72"/>
        <v>0</v>
      </c>
      <c r="AK170" s="2">
        <f t="shared" si="73"/>
        <v>0</v>
      </c>
      <c r="AL170" s="2">
        <f t="shared" si="74"/>
        <v>0</v>
      </c>
      <c r="AY170">
        <v>-19.838932677723623</v>
      </c>
      <c r="BO170">
        <v>113.10885177766188</v>
      </c>
    </row>
    <row r="171" spans="23:67" x14ac:dyDescent="0.25">
      <c r="W171" t="e">
        <f t="shared" si="64"/>
        <v>#NUM!</v>
      </c>
      <c r="X171">
        <f t="shared" si="65"/>
        <v>61.570799515387513</v>
      </c>
      <c r="Y171">
        <f t="shared" si="66"/>
        <v>9</v>
      </c>
      <c r="Z171">
        <f t="shared" si="67"/>
        <v>-1.5707963267948966</v>
      </c>
      <c r="AA171" t="e">
        <f t="shared" si="68"/>
        <v>#NUM!</v>
      </c>
      <c r="AB171" t="e">
        <f t="shared" si="69"/>
        <v>#NUM!</v>
      </c>
      <c r="AC171" t="e">
        <f t="shared" si="70"/>
        <v>#NUM!</v>
      </c>
      <c r="AE171">
        <v>3.2153875902064446E-6</v>
      </c>
      <c r="AF171">
        <v>-59.999999999999922</v>
      </c>
      <c r="AH171" s="1">
        <v>165</v>
      </c>
      <c r="AI171" s="1">
        <f t="shared" si="71"/>
        <v>0</v>
      </c>
      <c r="AJ171" s="1">
        <f t="shared" si="72"/>
        <v>0</v>
      </c>
      <c r="AK171" s="2">
        <f t="shared" si="73"/>
        <v>0</v>
      </c>
      <c r="AL171" s="2">
        <f t="shared" si="74"/>
        <v>0</v>
      </c>
      <c r="AY171">
        <v>-22.444130304605075</v>
      </c>
      <c r="BO171">
        <v>112.3448454626571</v>
      </c>
    </row>
    <row r="172" spans="23:67" x14ac:dyDescent="0.25">
      <c r="W172" t="e">
        <f t="shared" si="64"/>
        <v>#NUM!</v>
      </c>
      <c r="X172">
        <f t="shared" si="65"/>
        <v>61.570799515387513</v>
      </c>
      <c r="Y172">
        <f t="shared" si="66"/>
        <v>9</v>
      </c>
      <c r="Z172">
        <f t="shared" si="67"/>
        <v>-1.5707963267948966</v>
      </c>
      <c r="AA172" t="e">
        <f t="shared" si="68"/>
        <v>#NUM!</v>
      </c>
      <c r="AB172" t="e">
        <f t="shared" si="69"/>
        <v>#NUM!</v>
      </c>
      <c r="AC172" t="e">
        <f t="shared" si="70"/>
        <v>#NUM!</v>
      </c>
      <c r="AE172">
        <v>3.2153875902064446E-6</v>
      </c>
      <c r="AF172">
        <v>-59.999999999999922</v>
      </c>
      <c r="AH172" s="1">
        <v>166</v>
      </c>
      <c r="AI172" s="1">
        <f t="shared" si="71"/>
        <v>0</v>
      </c>
      <c r="AJ172" s="1">
        <f t="shared" si="72"/>
        <v>0</v>
      </c>
      <c r="AK172" s="2">
        <f t="shared" si="73"/>
        <v>0</v>
      </c>
      <c r="AL172" s="2">
        <f t="shared" si="74"/>
        <v>0</v>
      </c>
      <c r="AY172">
        <v>-25.044343452319694</v>
      </c>
      <c r="BO172">
        <v>111.51980094694878</v>
      </c>
    </row>
    <row r="173" spans="23:67" x14ac:dyDescent="0.25">
      <c r="W173" t="e">
        <f t="shared" si="64"/>
        <v>#NUM!</v>
      </c>
      <c r="X173">
        <f t="shared" si="65"/>
        <v>61.570799515387513</v>
      </c>
      <c r="Y173">
        <f t="shared" si="66"/>
        <v>9</v>
      </c>
      <c r="Z173">
        <f t="shared" si="67"/>
        <v>-1.5707963267948966</v>
      </c>
      <c r="AA173" t="e">
        <f t="shared" si="68"/>
        <v>#NUM!</v>
      </c>
      <c r="AB173" t="e">
        <f t="shared" si="69"/>
        <v>#NUM!</v>
      </c>
      <c r="AC173" t="e">
        <f t="shared" si="70"/>
        <v>#NUM!</v>
      </c>
      <c r="AE173">
        <v>3.2153875902064446E-6</v>
      </c>
      <c r="AF173">
        <v>-59.999999999999922</v>
      </c>
      <c r="AH173" s="1">
        <v>167</v>
      </c>
      <c r="AI173" s="1">
        <f t="shared" si="71"/>
        <v>0</v>
      </c>
      <c r="AJ173" s="1">
        <f t="shared" si="72"/>
        <v>0</v>
      </c>
      <c r="AK173" s="2">
        <f t="shared" si="73"/>
        <v>0</v>
      </c>
      <c r="AL173" s="2">
        <f t="shared" si="74"/>
        <v>0</v>
      </c>
      <c r="AY173">
        <v>-27.636679898033758</v>
      </c>
      <c r="BO173">
        <v>110.63349483748591</v>
      </c>
    </row>
    <row r="174" spans="23:67" x14ac:dyDescent="0.25">
      <c r="W174" t="e">
        <f t="shared" si="64"/>
        <v>#NUM!</v>
      </c>
      <c r="X174">
        <f t="shared" si="65"/>
        <v>61.570799515387513</v>
      </c>
      <c r="Y174">
        <f t="shared" si="66"/>
        <v>9</v>
      </c>
      <c r="Z174">
        <f t="shared" si="67"/>
        <v>-1.5707963267948966</v>
      </c>
      <c r="AA174" t="e">
        <f t="shared" si="68"/>
        <v>#NUM!</v>
      </c>
      <c r="AB174" t="e">
        <f t="shared" si="69"/>
        <v>#NUM!</v>
      </c>
      <c r="AC174" t="e">
        <f t="shared" si="70"/>
        <v>#NUM!</v>
      </c>
      <c r="AE174">
        <v>3.2153875902064446E-6</v>
      </c>
      <c r="AF174">
        <v>-59.999999999999922</v>
      </c>
      <c r="AH174" s="1">
        <v>168</v>
      </c>
      <c r="AI174" s="1">
        <f t="shared" si="71"/>
        <v>0</v>
      </c>
      <c r="AJ174" s="1">
        <f t="shared" si="72"/>
        <v>0</v>
      </c>
      <c r="AK174" s="2">
        <f t="shared" si="73"/>
        <v>0</v>
      </c>
      <c r="AL174" s="2">
        <f t="shared" si="74"/>
        <v>0</v>
      </c>
      <c r="AY174">
        <v>-30.218540957437643</v>
      </c>
      <c r="BO174">
        <v>109.68580648053688</v>
      </c>
    </row>
    <row r="175" spans="23:67" x14ac:dyDescent="0.25">
      <c r="W175" t="e">
        <f t="shared" si="64"/>
        <v>#NUM!</v>
      </c>
      <c r="X175">
        <f t="shared" si="65"/>
        <v>61.570799515387513</v>
      </c>
      <c r="Y175">
        <f t="shared" si="66"/>
        <v>9</v>
      </c>
      <c r="Z175">
        <f t="shared" si="67"/>
        <v>-1.5707963267948966</v>
      </c>
      <c r="AA175" t="e">
        <f t="shared" si="68"/>
        <v>#NUM!</v>
      </c>
      <c r="AB175" t="e">
        <f t="shared" si="69"/>
        <v>#NUM!</v>
      </c>
      <c r="AC175" t="e">
        <f t="shared" si="70"/>
        <v>#NUM!</v>
      </c>
      <c r="AE175">
        <v>3.2153875902064446E-6</v>
      </c>
      <c r="AF175">
        <v>-59.999999999999922</v>
      </c>
      <c r="AH175" s="1">
        <v>169</v>
      </c>
      <c r="AI175" s="1">
        <f t="shared" si="71"/>
        <v>0</v>
      </c>
      <c r="AJ175" s="1">
        <f t="shared" si="72"/>
        <v>0</v>
      </c>
      <c r="AK175" s="2">
        <f t="shared" si="73"/>
        <v>0</v>
      </c>
      <c r="AL175" s="2">
        <f t="shared" si="74"/>
        <v>0</v>
      </c>
      <c r="AY175">
        <v>-32.78754241013354</v>
      </c>
      <c r="BO175">
        <v>108.67670141990781</v>
      </c>
    </row>
    <row r="176" spans="23:67" x14ac:dyDescent="0.25">
      <c r="W176" t="e">
        <f t="shared" si="64"/>
        <v>#NUM!</v>
      </c>
      <c r="X176">
        <f t="shared" si="65"/>
        <v>61.570799515387513</v>
      </c>
      <c r="Y176">
        <f t="shared" si="66"/>
        <v>9</v>
      </c>
      <c r="Z176">
        <f t="shared" si="67"/>
        <v>-1.5707963267948966</v>
      </c>
      <c r="AA176" t="e">
        <f t="shared" si="68"/>
        <v>#NUM!</v>
      </c>
      <c r="AB176" t="e">
        <f t="shared" si="69"/>
        <v>#NUM!</v>
      </c>
      <c r="AC176" t="e">
        <f t="shared" si="70"/>
        <v>#NUM!</v>
      </c>
      <c r="AE176">
        <v>3.2153875902064446E-6</v>
      </c>
      <c r="AF176">
        <v>-59.999999999999922</v>
      </c>
      <c r="AH176" s="1">
        <v>170</v>
      </c>
      <c r="AI176" s="1">
        <f t="shared" si="71"/>
        <v>0</v>
      </c>
      <c r="AJ176" s="1">
        <f t="shared" si="72"/>
        <v>0</v>
      </c>
      <c r="AK176" s="2">
        <f t="shared" si="73"/>
        <v>0</v>
      </c>
      <c r="AL176" s="2">
        <f t="shared" si="74"/>
        <v>0</v>
      </c>
      <c r="AY176">
        <v>-35.341460734846422</v>
      </c>
      <c r="BO176">
        <v>107.60621967720326</v>
      </c>
    </row>
    <row r="177" spans="23:67" x14ac:dyDescent="0.25">
      <c r="W177" t="e">
        <f t="shared" si="64"/>
        <v>#NUM!</v>
      </c>
      <c r="X177">
        <f t="shared" si="65"/>
        <v>61.570799515387513</v>
      </c>
      <c r="Y177">
        <f t="shared" si="66"/>
        <v>9</v>
      </c>
      <c r="Z177">
        <f t="shared" si="67"/>
        <v>-1.5707963267948966</v>
      </c>
      <c r="AA177" t="e">
        <f t="shared" si="68"/>
        <v>#NUM!</v>
      </c>
      <c r="AB177" t="e">
        <f t="shared" si="69"/>
        <v>#NUM!</v>
      </c>
      <c r="AC177" t="e">
        <f t="shared" si="70"/>
        <v>#NUM!</v>
      </c>
      <c r="AE177">
        <v>3.2153875902064446E-6</v>
      </c>
      <c r="AF177">
        <v>-59.999999999999922</v>
      </c>
      <c r="AH177" s="1">
        <v>171</v>
      </c>
      <c r="AI177" s="1">
        <f t="shared" si="71"/>
        <v>0</v>
      </c>
      <c r="AJ177" s="1">
        <f t="shared" si="72"/>
        <v>0</v>
      </c>
      <c r="AK177" s="2">
        <f t="shared" si="73"/>
        <v>0</v>
      </c>
      <c r="AL177" s="2">
        <f t="shared" si="74"/>
        <v>0</v>
      </c>
      <c r="AY177">
        <v>-37.87819545249797</v>
      </c>
      <c r="BO177">
        <v>106.47446724758071</v>
      </c>
    </row>
    <row r="178" spans="23:67" x14ac:dyDescent="0.25">
      <c r="W178" t="e">
        <f t="shared" si="64"/>
        <v>#NUM!</v>
      </c>
      <c r="X178">
        <f t="shared" si="65"/>
        <v>61.570799515387513</v>
      </c>
      <c r="Y178">
        <f t="shared" si="66"/>
        <v>9</v>
      </c>
      <c r="Z178">
        <f t="shared" si="67"/>
        <v>-1.5707963267948966</v>
      </c>
      <c r="AA178" t="e">
        <f t="shared" si="68"/>
        <v>#NUM!</v>
      </c>
      <c r="AB178" t="e">
        <f t="shared" si="69"/>
        <v>#NUM!</v>
      </c>
      <c r="AC178" t="e">
        <f t="shared" si="70"/>
        <v>#NUM!</v>
      </c>
      <c r="AE178">
        <v>3.2153875902064446E-6</v>
      </c>
      <c r="AF178">
        <v>-59.999999999999922</v>
      </c>
      <c r="AH178" s="1">
        <v>172</v>
      </c>
      <c r="AI178" s="1">
        <f t="shared" si="71"/>
        <v>0</v>
      </c>
      <c r="AJ178" s="1">
        <f t="shared" si="72"/>
        <v>0</v>
      </c>
      <c r="AK178" s="2">
        <f t="shared" si="73"/>
        <v>0</v>
      </c>
      <c r="AL178" s="2">
        <f t="shared" si="74"/>
        <v>0</v>
      </c>
      <c r="AY178">
        <v>-40.395742083457577</v>
      </c>
      <c r="BO178">
        <v>105.28160981496619</v>
      </c>
    </row>
    <row r="179" spans="23:67" x14ac:dyDescent="0.25">
      <c r="W179" t="e">
        <f t="shared" si="64"/>
        <v>#NUM!</v>
      </c>
      <c r="X179">
        <f t="shared" si="65"/>
        <v>61.570799515387513</v>
      </c>
      <c r="Y179">
        <f t="shared" si="66"/>
        <v>9</v>
      </c>
      <c r="Z179">
        <f t="shared" si="67"/>
        <v>-1.5707963267948966</v>
      </c>
      <c r="AA179" t="e">
        <f t="shared" si="68"/>
        <v>#NUM!</v>
      </c>
      <c r="AB179" t="e">
        <f t="shared" si="69"/>
        <v>#NUM!</v>
      </c>
      <c r="AC179" t="e">
        <f t="shared" si="70"/>
        <v>#NUM!</v>
      </c>
      <c r="AE179">
        <v>3.2153875902064446E-6</v>
      </c>
      <c r="AF179">
        <v>-59.999999999999922</v>
      </c>
      <c r="AH179" s="1">
        <v>173</v>
      </c>
      <c r="AI179" s="1">
        <f t="shared" si="71"/>
        <v>0</v>
      </c>
      <c r="AJ179" s="1">
        <f t="shared" si="72"/>
        <v>0</v>
      </c>
      <c r="AK179" s="2">
        <f t="shared" si="73"/>
        <v>0</v>
      </c>
      <c r="AL179" s="2">
        <f t="shared" si="74"/>
        <v>0</v>
      </c>
      <c r="AY179">
        <v>-42.892172311294814</v>
      </c>
      <c r="BO179">
        <v>104.02786804604477</v>
      </c>
    </row>
    <row r="180" spans="23:67" x14ac:dyDescent="0.25">
      <c r="W180" t="e">
        <f t="shared" si="64"/>
        <v>#NUM!</v>
      </c>
      <c r="X180">
        <f t="shared" si="65"/>
        <v>61.570799515387513</v>
      </c>
      <c r="Y180">
        <f t="shared" si="66"/>
        <v>9</v>
      </c>
      <c r="Z180">
        <f t="shared" si="67"/>
        <v>-1.5707963267948966</v>
      </c>
      <c r="AA180" t="e">
        <f t="shared" si="68"/>
        <v>#NUM!</v>
      </c>
      <c r="AB180" t="e">
        <f t="shared" si="69"/>
        <v>#NUM!</v>
      </c>
      <c r="AC180" t="e">
        <f t="shared" si="70"/>
        <v>#NUM!</v>
      </c>
      <c r="AE180">
        <v>3.2153875902064446E-6</v>
      </c>
      <c r="AF180">
        <v>-59.999999999999922</v>
      </c>
      <c r="AH180" s="1">
        <v>174</v>
      </c>
      <c r="AI180" s="1">
        <f t="shared" si="71"/>
        <v>0</v>
      </c>
      <c r="AJ180" s="1">
        <f t="shared" si="72"/>
        <v>0</v>
      </c>
      <c r="AK180" s="2">
        <f t="shared" si="73"/>
        <v>0</v>
      </c>
      <c r="AL180" s="2">
        <f t="shared" si="74"/>
        <v>0</v>
      </c>
      <c r="AY180">
        <v>-45.365619169152751</v>
      </c>
      <c r="BO180">
        <v>102.71351403767144</v>
      </c>
    </row>
    <row r="181" spans="23:67" x14ac:dyDescent="0.25">
      <c r="W181" t="e">
        <f t="shared" si="64"/>
        <v>#NUM!</v>
      </c>
      <c r="X181">
        <f t="shared" si="65"/>
        <v>61.570799515387513</v>
      </c>
      <c r="Y181">
        <f t="shared" si="66"/>
        <v>9</v>
      </c>
      <c r="Z181">
        <f t="shared" si="67"/>
        <v>-1.5707963267948966</v>
      </c>
      <c r="AA181" t="e">
        <f t="shared" si="68"/>
        <v>#NUM!</v>
      </c>
      <c r="AB181" t="e">
        <f t="shared" si="69"/>
        <v>#NUM!</v>
      </c>
      <c r="AC181" t="e">
        <f t="shared" si="70"/>
        <v>#NUM!</v>
      </c>
      <c r="AE181">
        <v>3.2153875902064446E-6</v>
      </c>
      <c r="AF181">
        <v>-59.999999999999922</v>
      </c>
      <c r="AH181" s="1">
        <v>175</v>
      </c>
      <c r="AI181" s="1">
        <f t="shared" si="71"/>
        <v>0</v>
      </c>
      <c r="AJ181" s="1">
        <f t="shared" si="72"/>
        <v>0</v>
      </c>
      <c r="AK181" s="2">
        <f t="shared" si="73"/>
        <v>0</v>
      </c>
      <c r="AL181" s="2">
        <f t="shared" si="74"/>
        <v>0</v>
      </c>
      <c r="AY181">
        <v>-47.814265809250514</v>
      </c>
      <c r="BO181">
        <v>101.33886862738464</v>
      </c>
    </row>
    <row r="182" spans="23:67" x14ac:dyDescent="0.25">
      <c r="W182" t="e">
        <f t="shared" si="64"/>
        <v>#NUM!</v>
      </c>
      <c r="X182">
        <f t="shared" si="65"/>
        <v>61.570799515387513</v>
      </c>
      <c r="Y182">
        <f t="shared" si="66"/>
        <v>9</v>
      </c>
      <c r="Z182">
        <f t="shared" si="67"/>
        <v>-1.5707963267948966</v>
      </c>
      <c r="AA182" t="e">
        <f t="shared" si="68"/>
        <v>#NUM!</v>
      </c>
      <c r="AB182" t="e">
        <f t="shared" si="69"/>
        <v>#NUM!</v>
      </c>
      <c r="AC182" t="e">
        <f t="shared" si="70"/>
        <v>#NUM!</v>
      </c>
      <c r="AE182">
        <v>3.2153875902064446E-6</v>
      </c>
      <c r="AF182">
        <v>-59.999999999999922</v>
      </c>
      <c r="AH182" s="1">
        <v>176</v>
      </c>
      <c r="AI182" s="1">
        <f t="shared" si="71"/>
        <v>0</v>
      </c>
      <c r="AJ182" s="1">
        <f t="shared" si="72"/>
        <v>0</v>
      </c>
      <c r="AK182" s="2">
        <f t="shared" si="73"/>
        <v>0</v>
      </c>
      <c r="AL182" s="2">
        <f t="shared" si="74"/>
        <v>0</v>
      </c>
      <c r="AY182">
        <v>-50.2363368832779</v>
      </c>
      <c r="BO182">
        <v>99.904299363914163</v>
      </c>
    </row>
    <row r="183" spans="23:67" x14ac:dyDescent="0.25">
      <c r="W183" t="e">
        <f t="shared" si="64"/>
        <v>#NUM!</v>
      </c>
      <c r="X183">
        <f t="shared" si="65"/>
        <v>61.570799515387513</v>
      </c>
      <c r="Y183">
        <f t="shared" si="66"/>
        <v>9</v>
      </c>
      <c r="Z183">
        <f t="shared" si="67"/>
        <v>-1.5707963267948966</v>
      </c>
      <c r="AA183" t="e">
        <f t="shared" si="68"/>
        <v>#NUM!</v>
      </c>
      <c r="AB183" t="e">
        <f t="shared" si="69"/>
        <v>#NUM!</v>
      </c>
      <c r="AC183" t="e">
        <f t="shared" si="70"/>
        <v>#NUM!</v>
      </c>
      <c r="AE183">
        <v>3.2153875902064446E-6</v>
      </c>
      <c r="AF183">
        <v>-59.999999999999922</v>
      </c>
      <c r="AH183" s="1">
        <v>177</v>
      </c>
      <c r="AI183" s="1">
        <f t="shared" si="71"/>
        <v>0</v>
      </c>
      <c r="AJ183" s="1">
        <f t="shared" si="72"/>
        <v>0</v>
      </c>
      <c r="AK183" s="2">
        <f t="shared" si="73"/>
        <v>0</v>
      </c>
      <c r="AL183" s="2">
        <f t="shared" si="74"/>
        <v>0</v>
      </c>
      <c r="AY183">
        <v>-52.630091862955695</v>
      </c>
      <c r="BO183">
        <v>98.410218992331124</v>
      </c>
    </row>
    <row r="184" spans="23:67" x14ac:dyDescent="0.25">
      <c r="W184" t="e">
        <f t="shared" si="64"/>
        <v>#NUM!</v>
      </c>
      <c r="X184">
        <f t="shared" si="65"/>
        <v>61.570799515387513</v>
      </c>
      <c r="Y184">
        <f t="shared" si="66"/>
        <v>9</v>
      </c>
      <c r="Z184">
        <f t="shared" si="67"/>
        <v>-1.5707963267948966</v>
      </c>
      <c r="AA184" t="e">
        <f t="shared" si="68"/>
        <v>#NUM!</v>
      </c>
      <c r="AB184" t="e">
        <f t="shared" si="69"/>
        <v>#NUM!</v>
      </c>
      <c r="AC184" t="e">
        <f t="shared" si="70"/>
        <v>#NUM!</v>
      </c>
      <c r="AE184">
        <v>3.2153875902064446E-6</v>
      </c>
      <c r="AF184">
        <v>-59.999999999999922</v>
      </c>
      <c r="AH184" s="1">
        <v>178</v>
      </c>
      <c r="AI184" s="1">
        <f t="shared" si="71"/>
        <v>0</v>
      </c>
      <c r="AJ184" s="1">
        <f t="shared" si="72"/>
        <v>0</v>
      </c>
      <c r="AK184" s="2">
        <f t="shared" si="73"/>
        <v>0</v>
      </c>
      <c r="AL184" s="2">
        <f t="shared" si="74"/>
        <v>0</v>
      </c>
      <c r="AY184">
        <v>-54.993819829410697</v>
      </c>
      <c r="BO184">
        <v>96.857084347569554</v>
      </c>
    </row>
    <row r="185" spans="23:67" x14ac:dyDescent="0.25">
      <c r="W185" t="e">
        <f t="shared" si="64"/>
        <v>#NUM!</v>
      </c>
      <c r="X185">
        <f t="shared" si="65"/>
        <v>61.570799515387513</v>
      </c>
      <c r="Y185">
        <f t="shared" si="66"/>
        <v>9</v>
      </c>
      <c r="Z185">
        <f t="shared" si="67"/>
        <v>-1.5707963267948966</v>
      </c>
      <c r="AA185" t="e">
        <f t="shared" si="68"/>
        <v>#NUM!</v>
      </c>
      <c r="AB185" t="e">
        <f t="shared" si="69"/>
        <v>#NUM!</v>
      </c>
      <c r="AC185" t="e">
        <f t="shared" si="70"/>
        <v>#NUM!</v>
      </c>
      <c r="AE185">
        <v>3.2153875902064446E-6</v>
      </c>
      <c r="AF185">
        <v>-59.999999999999922</v>
      </c>
      <c r="AH185" s="1">
        <v>179</v>
      </c>
      <c r="AI185" s="1">
        <f t="shared" si="71"/>
        <v>0</v>
      </c>
      <c r="AJ185" s="1">
        <f t="shared" si="72"/>
        <v>0</v>
      </c>
      <c r="AK185" s="2">
        <f t="shared" si="73"/>
        <v>0</v>
      </c>
      <c r="AL185" s="2">
        <f t="shared" si="74"/>
        <v>0</v>
      </c>
      <c r="AY185">
        <v>-57.325835394749546</v>
      </c>
      <c r="BO185">
        <v>95.245395576975156</v>
      </c>
    </row>
    <row r="186" spans="23:67" x14ac:dyDescent="0.25">
      <c r="W186" t="e">
        <f t="shared" si="64"/>
        <v>#NUM!</v>
      </c>
      <c r="X186">
        <f t="shared" si="65"/>
        <v>61.570799515387513</v>
      </c>
      <c r="Y186">
        <f t="shared" si="66"/>
        <v>9</v>
      </c>
      <c r="Z186">
        <f t="shared" si="67"/>
        <v>-1.5707963267948966</v>
      </c>
      <c r="AA186" t="e">
        <f t="shared" si="68"/>
        <v>#NUM!</v>
      </c>
      <c r="AB186" t="e">
        <f t="shared" si="69"/>
        <v>#NUM!</v>
      </c>
      <c r="AC186" t="e">
        <f t="shared" si="70"/>
        <v>#NUM!</v>
      </c>
      <c r="AE186">
        <v>3.2153875902064446E-6</v>
      </c>
      <c r="AF186">
        <v>-59.999999999999922</v>
      </c>
      <c r="AH186" s="1">
        <v>180</v>
      </c>
      <c r="AI186" s="1">
        <f t="shared" si="71"/>
        <v>0</v>
      </c>
      <c r="AJ186" s="1">
        <f t="shared" si="72"/>
        <v>0</v>
      </c>
      <c r="AK186" s="2">
        <f t="shared" si="73"/>
        <v>0</v>
      </c>
      <c r="AL186" s="2">
        <f t="shared" si="74"/>
        <v>0</v>
      </c>
      <c r="AY186">
        <v>-59.624475512051248</v>
      </c>
      <c r="BO186">
        <v>93.575695631364809</v>
      </c>
    </row>
    <row r="187" spans="23:67" x14ac:dyDescent="0.25">
      <c r="W187" t="e">
        <f t="shared" si="64"/>
        <v>#NUM!</v>
      </c>
      <c r="X187">
        <f t="shared" si="65"/>
        <v>61.570799515387513</v>
      </c>
      <c r="Y187">
        <f t="shared" si="66"/>
        <v>9</v>
      </c>
      <c r="Z187">
        <f t="shared" si="67"/>
        <v>-1.5707963267948966</v>
      </c>
      <c r="AA187" t="e">
        <f t="shared" si="68"/>
        <v>#NUM!</v>
      </c>
      <c r="AB187" t="e">
        <f t="shared" si="69"/>
        <v>#NUM!</v>
      </c>
      <c r="AC187" t="e">
        <f t="shared" si="70"/>
        <v>#NUM!</v>
      </c>
      <c r="AE187">
        <v>3.2153875902064446E-6</v>
      </c>
      <c r="AF187">
        <v>-59.999999999999922</v>
      </c>
      <c r="AH187" s="1">
        <v>181</v>
      </c>
      <c r="AI187" s="1">
        <f t="shared" si="71"/>
        <v>0</v>
      </c>
      <c r="AJ187" s="1">
        <f t="shared" si="72"/>
        <v>0</v>
      </c>
      <c r="AK187" s="2">
        <f t="shared" si="73"/>
        <v>0</v>
      </c>
      <c r="AL187" s="2">
        <f t="shared" si="74"/>
        <v>0</v>
      </c>
      <c r="AY187">
        <v>-61.888096995078456</v>
      </c>
      <c r="BO187">
        <v>91.848569977400587</v>
      </c>
    </row>
    <row r="188" spans="23:67" x14ac:dyDescent="0.25">
      <c r="W188" t="e">
        <f t="shared" si="64"/>
        <v>#NUM!</v>
      </c>
      <c r="X188">
        <f t="shared" si="65"/>
        <v>61.570799515387513</v>
      </c>
      <c r="Y188">
        <f t="shared" si="66"/>
        <v>9</v>
      </c>
      <c r="Z188">
        <f t="shared" si="67"/>
        <v>-1.5707963267948966</v>
      </c>
      <c r="AA188" t="e">
        <f t="shared" si="68"/>
        <v>#NUM!</v>
      </c>
      <c r="AB188" t="e">
        <f t="shared" si="69"/>
        <v>#NUM!</v>
      </c>
      <c r="AC188" t="e">
        <f t="shared" si="70"/>
        <v>#NUM!</v>
      </c>
      <c r="AE188">
        <v>3.2153875902064446E-6</v>
      </c>
      <c r="AF188">
        <v>-59.999999999999922</v>
      </c>
      <c r="AH188" s="1">
        <v>182</v>
      </c>
      <c r="AI188" s="1">
        <f t="shared" si="71"/>
        <v>0</v>
      </c>
      <c r="AJ188" s="1">
        <f t="shared" si="72"/>
        <v>0</v>
      </c>
      <c r="AK188" s="2">
        <f t="shared" si="73"/>
        <v>0</v>
      </c>
      <c r="AL188" s="2">
        <f t="shared" si="74"/>
        <v>0</v>
      </c>
      <c r="AY188">
        <v>-64.115074615332276</v>
      </c>
      <c r="BO188">
        <v>90.064646493583368</v>
      </c>
    </row>
    <row r="189" spans="23:67" x14ac:dyDescent="0.25">
      <c r="W189" t="e">
        <f t="shared" si="64"/>
        <v>#NUM!</v>
      </c>
      <c r="X189">
        <f t="shared" si="65"/>
        <v>61.570799515387513</v>
      </c>
      <c r="Y189">
        <f t="shared" si="66"/>
        <v>9</v>
      </c>
      <c r="Z189">
        <f t="shared" si="67"/>
        <v>-1.5707963267948966</v>
      </c>
      <c r="AA189" t="e">
        <f t="shared" si="68"/>
        <v>#NUM!</v>
      </c>
      <c r="AB189" t="e">
        <f t="shared" si="69"/>
        <v>#NUM!</v>
      </c>
      <c r="AC189" t="e">
        <f t="shared" si="70"/>
        <v>#NUM!</v>
      </c>
      <c r="AE189">
        <v>3.2153875902064446E-6</v>
      </c>
      <c r="AF189">
        <v>-59.999999999999922</v>
      </c>
      <c r="AH189" s="1">
        <v>183</v>
      </c>
      <c r="AI189" s="1">
        <f t="shared" si="71"/>
        <v>0</v>
      </c>
      <c r="AJ189" s="1">
        <f t="shared" si="72"/>
        <v>0</v>
      </c>
      <c r="AK189" s="2">
        <f t="shared" si="73"/>
        <v>0</v>
      </c>
      <c r="AL189" s="2">
        <f t="shared" si="74"/>
        <v>0</v>
      </c>
      <c r="AY189">
        <v>-66.30379967749289</v>
      </c>
      <c r="BO189">
        <v>88.224595518981275</v>
      </c>
    </row>
    <row r="190" spans="23:67" x14ac:dyDescent="0.25">
      <c r="W190" t="e">
        <f t="shared" si="64"/>
        <v>#NUM!</v>
      </c>
      <c r="X190">
        <f t="shared" si="65"/>
        <v>61.570799515387513</v>
      </c>
      <c r="Y190">
        <f t="shared" si="66"/>
        <v>9</v>
      </c>
      <c r="Z190">
        <f t="shared" si="67"/>
        <v>-1.5707963267948966</v>
      </c>
      <c r="AA190" t="e">
        <f t="shared" si="68"/>
        <v>#NUM!</v>
      </c>
      <c r="AB190" t="e">
        <f t="shared" si="69"/>
        <v>#NUM!</v>
      </c>
      <c r="AC190" t="e">
        <f t="shared" si="70"/>
        <v>#NUM!</v>
      </c>
      <c r="AE190">
        <v>3.2153875902064446E-6</v>
      </c>
      <c r="AF190">
        <v>-59.999999999999922</v>
      </c>
      <c r="AH190" s="1">
        <v>184</v>
      </c>
      <c r="AI190" s="1">
        <f t="shared" si="71"/>
        <v>0</v>
      </c>
      <c r="AJ190" s="1">
        <f t="shared" si="72"/>
        <v>0</v>
      </c>
      <c r="AK190" s="2">
        <f t="shared" si="73"/>
        <v>0</v>
      </c>
      <c r="AL190" s="2">
        <f t="shared" si="74"/>
        <v>0</v>
      </c>
      <c r="AY190">
        <v>-68.452678998667324</v>
      </c>
      <c r="BO190">
        <v>86.32913002869627</v>
      </c>
    </row>
    <row r="191" spans="23:67" x14ac:dyDescent="0.25">
      <c r="W191" t="e">
        <f t="shared" si="64"/>
        <v>#NUM!</v>
      </c>
      <c r="X191">
        <f t="shared" si="65"/>
        <v>61.570799515387513</v>
      </c>
      <c r="Y191">
        <f t="shared" si="66"/>
        <v>9</v>
      </c>
      <c r="Z191">
        <f t="shared" si="67"/>
        <v>-1.5707963267948966</v>
      </c>
      <c r="AA191" t="e">
        <f t="shared" si="68"/>
        <v>#NUM!</v>
      </c>
      <c r="AB191" t="e">
        <f t="shared" si="69"/>
        <v>#NUM!</v>
      </c>
      <c r="AC191" t="e">
        <f t="shared" si="70"/>
        <v>#NUM!</v>
      </c>
      <c r="AE191">
        <v>3.2153875902064446E-6</v>
      </c>
      <c r="AF191">
        <v>-59.999999999999922</v>
      </c>
      <c r="AH191" s="1">
        <v>185</v>
      </c>
      <c r="AI191" s="1">
        <f t="shared" si="71"/>
        <v>0</v>
      </c>
      <c r="AJ191" s="1">
        <f t="shared" si="72"/>
        <v>0</v>
      </c>
      <c r="AK191" s="2">
        <f t="shared" si="73"/>
        <v>0</v>
      </c>
      <c r="AL191" s="2">
        <f t="shared" si="74"/>
        <v>0</v>
      </c>
      <c r="AY191">
        <v>-70.560134234811926</v>
      </c>
      <c r="BO191">
        <v>84.379005913568776</v>
      </c>
    </row>
    <row r="192" spans="23:67" x14ac:dyDescent="0.25">
      <c r="W192" t="e">
        <f t="shared" si="64"/>
        <v>#NUM!</v>
      </c>
      <c r="X192">
        <f t="shared" si="65"/>
        <v>61.570799515387513</v>
      </c>
      <c r="Y192">
        <f t="shared" si="66"/>
        <v>9</v>
      </c>
      <c r="Z192">
        <f t="shared" si="67"/>
        <v>-1.5707963267948966</v>
      </c>
      <c r="AA192" t="e">
        <f t="shared" si="68"/>
        <v>#NUM!</v>
      </c>
      <c r="AB192" t="e">
        <f t="shared" si="69"/>
        <v>#NUM!</v>
      </c>
      <c r="AC192" t="e">
        <f t="shared" si="70"/>
        <v>#NUM!</v>
      </c>
      <c r="AE192">
        <v>3.2153875902064446E-6</v>
      </c>
      <c r="AF192">
        <v>-59.999999999999922</v>
      </c>
      <c r="AH192" s="1">
        <v>186</v>
      </c>
      <c r="AI192" s="1">
        <f t="shared" si="71"/>
        <v>0</v>
      </c>
      <c r="AJ192" s="1">
        <f t="shared" si="72"/>
        <v>0</v>
      </c>
      <c r="AK192" s="2">
        <f t="shared" si="73"/>
        <v>0</v>
      </c>
      <c r="AL192" s="2">
        <f t="shared" si="74"/>
        <v>0</v>
      </c>
      <c r="AY192">
        <v>-72.62460151099414</v>
      </c>
      <c r="BO192">
        <v>82.375022344105417</v>
      </c>
    </row>
    <row r="193" spans="23:67" x14ac:dyDescent="0.25">
      <c r="W193" t="e">
        <f t="shared" si="64"/>
        <v>#NUM!</v>
      </c>
      <c r="X193">
        <f t="shared" si="65"/>
        <v>61.570799515387513</v>
      </c>
      <c r="Y193">
        <f t="shared" si="66"/>
        <v>9</v>
      </c>
      <c r="Z193">
        <f t="shared" si="67"/>
        <v>-1.5707963267948966</v>
      </c>
      <c r="AA193" t="e">
        <f t="shared" si="68"/>
        <v>#NUM!</v>
      </c>
      <c r="AB193" t="e">
        <f t="shared" si="69"/>
        <v>#NUM!</v>
      </c>
      <c r="AC193" t="e">
        <f t="shared" si="70"/>
        <v>#NUM!</v>
      </c>
      <c r="AE193">
        <v>3.2153875902064446E-6</v>
      </c>
      <c r="AF193">
        <v>-59.999999999999922</v>
      </c>
      <c r="AH193" s="1">
        <v>187</v>
      </c>
      <c r="AI193" s="1">
        <f t="shared" si="71"/>
        <v>0</v>
      </c>
      <c r="AJ193" s="1">
        <f t="shared" si="72"/>
        <v>0</v>
      </c>
      <c r="AK193" s="2">
        <f t="shared" si="73"/>
        <v>0</v>
      </c>
      <c r="AL193" s="2">
        <f t="shared" si="74"/>
        <v>0</v>
      </c>
      <c r="AY193">
        <v>-74.644531322041644</v>
      </c>
      <c r="BO193">
        <v>80.318022200360048</v>
      </c>
    </row>
    <row r="194" spans="23:67" x14ac:dyDescent="0.25">
      <c r="W194" t="e">
        <f t="shared" si="64"/>
        <v>#NUM!</v>
      </c>
      <c r="X194">
        <f t="shared" si="65"/>
        <v>61.570799515387513</v>
      </c>
      <c r="Y194">
        <f t="shared" si="66"/>
        <v>9</v>
      </c>
      <c r="Z194">
        <f t="shared" si="67"/>
        <v>-1.5707963267948966</v>
      </c>
      <c r="AA194" t="e">
        <f t="shared" si="68"/>
        <v>#NUM!</v>
      </c>
      <c r="AB194" t="e">
        <f t="shared" si="69"/>
        <v>#NUM!</v>
      </c>
      <c r="AC194" t="e">
        <f t="shared" si="70"/>
        <v>#NUM!</v>
      </c>
      <c r="AE194">
        <v>3.2153875902064446E-6</v>
      </c>
      <c r="AF194">
        <v>-59.999999999999922</v>
      </c>
      <c r="AH194" s="1">
        <v>188</v>
      </c>
      <c r="AI194" s="1">
        <f t="shared" si="71"/>
        <v>0</v>
      </c>
      <c r="AJ194" s="1">
        <f t="shared" si="72"/>
        <v>0</v>
      </c>
      <c r="AK194" s="2">
        <f t="shared" si="73"/>
        <v>0</v>
      </c>
      <c r="AL194" s="2">
        <f t="shared" si="74"/>
        <v>0</v>
      </c>
      <c r="AY194">
        <v>-76.618388677470904</v>
      </c>
      <c r="BO194">
        <v>78.208892550703069</v>
      </c>
    </row>
    <row r="195" spans="23:67" x14ac:dyDescent="0.25">
      <c r="W195" t="e">
        <f t="shared" si="64"/>
        <v>#NUM!</v>
      </c>
      <c r="X195">
        <f t="shared" si="65"/>
        <v>61.570799515387513</v>
      </c>
      <c r="Y195">
        <f t="shared" si="66"/>
        <v>9</v>
      </c>
      <c r="Z195">
        <f t="shared" si="67"/>
        <v>-1.5707963267948966</v>
      </c>
      <c r="AA195" t="e">
        <f t="shared" si="68"/>
        <v>#NUM!</v>
      </c>
      <c r="AB195" t="e">
        <f t="shared" si="69"/>
        <v>#NUM!</v>
      </c>
      <c r="AC195" t="e">
        <f t="shared" si="70"/>
        <v>#NUM!</v>
      </c>
      <c r="AE195">
        <v>3.2153875902064446E-6</v>
      </c>
      <c r="AF195">
        <v>-59.999999999999922</v>
      </c>
      <c r="AH195" s="1">
        <v>189</v>
      </c>
      <c r="AI195" s="1">
        <f t="shared" si="71"/>
        <v>0</v>
      </c>
      <c r="AJ195" s="1">
        <f t="shared" si="72"/>
        <v>0</v>
      </c>
      <c r="AK195" s="2">
        <f t="shared" si="73"/>
        <v>0</v>
      </c>
      <c r="AL195" s="2">
        <f t="shared" si="74"/>
        <v>0</v>
      </c>
      <c r="AY195">
        <v>-78.544653470010275</v>
      </c>
      <c r="BO195">
        <v>76.048565163233263</v>
      </c>
    </row>
    <row r="196" spans="23:67" x14ac:dyDescent="0.25">
      <c r="W196" t="e">
        <f t="shared" si="64"/>
        <v>#NUM!</v>
      </c>
      <c r="X196">
        <f t="shared" si="65"/>
        <v>61.570799515387513</v>
      </c>
      <c r="Y196">
        <f t="shared" si="66"/>
        <v>9</v>
      </c>
      <c r="Z196">
        <f t="shared" si="67"/>
        <v>-1.5707963267948966</v>
      </c>
      <c r="AA196" t="e">
        <f t="shared" si="68"/>
        <v>#NUM!</v>
      </c>
      <c r="AB196" t="e">
        <f t="shared" si="69"/>
        <v>#NUM!</v>
      </c>
      <c r="AC196" t="e">
        <f t="shared" si="70"/>
        <v>#NUM!</v>
      </c>
      <c r="AE196">
        <v>3.2153875902064446E-6</v>
      </c>
      <c r="AF196">
        <v>-59.999999999999922</v>
      </c>
      <c r="AH196" s="1">
        <v>190</v>
      </c>
      <c r="AI196" s="1">
        <f t="shared" si="71"/>
        <v>0</v>
      </c>
      <c r="AJ196" s="1">
        <f t="shared" si="72"/>
        <v>0</v>
      </c>
      <c r="AK196" s="2">
        <f t="shared" si="73"/>
        <v>0</v>
      </c>
      <c r="AL196" s="2">
        <f t="shared" si="74"/>
        <v>0</v>
      </c>
      <c r="AY196">
        <v>-80.421821050989195</v>
      </c>
      <c r="BO196">
        <v>73.838017034132406</v>
      </c>
    </row>
    <row r="197" spans="23:67" x14ac:dyDescent="0.25">
      <c r="W197" t="e">
        <f t="shared" si="64"/>
        <v>#NUM!</v>
      </c>
      <c r="X197">
        <f t="shared" si="65"/>
        <v>61.570799515387513</v>
      </c>
      <c r="Y197">
        <f t="shared" si="66"/>
        <v>9</v>
      </c>
      <c r="Z197">
        <f t="shared" si="67"/>
        <v>-1.5707963267948966</v>
      </c>
      <c r="AA197" t="e">
        <f t="shared" si="68"/>
        <v>#NUM!</v>
      </c>
      <c r="AB197" t="e">
        <f t="shared" si="69"/>
        <v>#NUM!</v>
      </c>
      <c r="AC197" t="e">
        <f t="shared" si="70"/>
        <v>#NUM!</v>
      </c>
      <c r="AE197">
        <v>3.2153875902064446E-6</v>
      </c>
      <c r="AF197">
        <v>-59.999999999999922</v>
      </c>
      <c r="AH197" s="1">
        <v>191</v>
      </c>
      <c r="AI197" s="1">
        <f t="shared" si="71"/>
        <v>0</v>
      </c>
      <c r="AJ197" s="1">
        <f t="shared" si="72"/>
        <v>0</v>
      </c>
      <c r="AK197" s="2">
        <f t="shared" si="73"/>
        <v>0</v>
      </c>
      <c r="AL197" s="2">
        <f t="shared" si="74"/>
        <v>0</v>
      </c>
      <c r="AY197">
        <v>-82.248402998682764</v>
      </c>
      <c r="BO197">
        <v>71.578270917630903</v>
      </c>
    </row>
    <row r="198" spans="23:67" x14ac:dyDescent="0.25">
      <c r="W198" t="e">
        <f t="shared" si="64"/>
        <v>#NUM!</v>
      </c>
      <c r="X198">
        <f t="shared" si="65"/>
        <v>61.570799515387513</v>
      </c>
      <c r="Y198">
        <f t="shared" si="66"/>
        <v>9</v>
      </c>
      <c r="Z198">
        <f t="shared" si="67"/>
        <v>-1.5707963267948966</v>
      </c>
      <c r="AA198" t="e">
        <f t="shared" si="68"/>
        <v>#NUM!</v>
      </c>
      <c r="AB198" t="e">
        <f t="shared" si="69"/>
        <v>#NUM!</v>
      </c>
      <c r="AC198" t="e">
        <f t="shared" si="70"/>
        <v>#NUM!</v>
      </c>
      <c r="AE198">
        <v>3.2153875902064446E-6</v>
      </c>
      <c r="AF198">
        <v>-59.999999999999922</v>
      </c>
      <c r="AH198" s="1">
        <v>192</v>
      </c>
      <c r="AI198" s="1">
        <f t="shared" si="71"/>
        <v>0</v>
      </c>
      <c r="AJ198" s="1">
        <f t="shared" si="72"/>
        <v>0</v>
      </c>
      <c r="AK198" s="2">
        <f t="shared" si="73"/>
        <v>0</v>
      </c>
      <c r="AL198" s="2">
        <f t="shared" si="74"/>
        <v>0</v>
      </c>
      <c r="AY198">
        <v>-84.022928067629167</v>
      </c>
      <c r="BO198">
        <v>69.270395842512329</v>
      </c>
    </row>
    <row r="199" spans="23:67" x14ac:dyDescent="0.25">
      <c r="W199" t="e">
        <f t="shared" si="64"/>
        <v>#NUM!</v>
      </c>
      <c r="X199">
        <f t="shared" si="65"/>
        <v>61.570799515387513</v>
      </c>
      <c r="Y199">
        <f t="shared" si="66"/>
        <v>9</v>
      </c>
      <c r="Z199">
        <f t="shared" si="67"/>
        <v>-1.5707963267948966</v>
      </c>
      <c r="AA199" t="e">
        <f t="shared" si="68"/>
        <v>#NUM!</v>
      </c>
      <c r="AB199" t="e">
        <f t="shared" si="69"/>
        <v>#NUM!</v>
      </c>
      <c r="AC199" t="e">
        <f t="shared" si="70"/>
        <v>#NUM!</v>
      </c>
      <c r="AE199">
        <v>3.2153875902064446E-6</v>
      </c>
      <c r="AF199">
        <v>-59.999999999999922</v>
      </c>
      <c r="AH199" s="1">
        <v>193</v>
      </c>
      <c r="AI199" s="1">
        <f t="shared" si="71"/>
        <v>0</v>
      </c>
      <c r="AJ199" s="1">
        <f t="shared" si="72"/>
        <v>0</v>
      </c>
      <c r="AK199" s="2">
        <f t="shared" si="73"/>
        <v>0</v>
      </c>
      <c r="AL199" s="2">
        <f t="shared" si="74"/>
        <v>0</v>
      </c>
      <c r="AY199">
        <v>-85.743943308162585</v>
      </c>
      <c r="BO199">
        <v>66.915507600298938</v>
      </c>
    </row>
    <row r="200" spans="23:67" x14ac:dyDescent="0.25">
      <c r="W200" t="e">
        <f t="shared" si="64"/>
        <v>#NUM!</v>
      </c>
      <c r="X200">
        <f t="shared" si="65"/>
        <v>61.570799515387513</v>
      </c>
      <c r="Y200">
        <f t="shared" si="66"/>
        <v>9</v>
      </c>
      <c r="Z200">
        <f t="shared" si="67"/>
        <v>-1.5707963267948966</v>
      </c>
      <c r="AA200" t="e">
        <f t="shared" si="68"/>
        <v>#NUM!</v>
      </c>
      <c r="AB200" t="e">
        <f t="shared" si="69"/>
        <v>#NUM!</v>
      </c>
      <c r="AC200" t="e">
        <f t="shared" si="70"/>
        <v>#NUM!</v>
      </c>
      <c r="AE200">
        <v>3.2153875902064446E-6</v>
      </c>
      <c r="AF200">
        <v>-59.999999999999922</v>
      </c>
      <c r="AH200" s="1">
        <v>194</v>
      </c>
      <c r="AI200" s="1">
        <f t="shared" si="71"/>
        <v>0</v>
      </c>
      <c r="AJ200" s="1">
        <f t="shared" si="72"/>
        <v>0</v>
      </c>
      <c r="AK200" s="2">
        <f t="shared" si="73"/>
        <v>0</v>
      </c>
      <c r="AL200" s="2">
        <f t="shared" si="74"/>
        <v>0</v>
      </c>
      <c r="AY200">
        <v>-87.410015346074147</v>
      </c>
      <c r="BO200">
        <v>64.514769190474993</v>
      </c>
    </row>
    <row r="201" spans="23:67" x14ac:dyDescent="0.25">
      <c r="W201" t="e">
        <f t="shared" si="64"/>
        <v>#NUM!</v>
      </c>
      <c r="X201">
        <f t="shared" si="65"/>
        <v>61.570799515387513</v>
      </c>
      <c r="Y201">
        <f t="shared" si="66"/>
        <v>9</v>
      </c>
      <c r="Z201">
        <f t="shared" si="67"/>
        <v>-1.5707963267948966</v>
      </c>
      <c r="AA201" t="e">
        <f t="shared" si="68"/>
        <v>#NUM!</v>
      </c>
      <c r="AB201" t="e">
        <f t="shared" si="69"/>
        <v>#NUM!</v>
      </c>
      <c r="AC201" t="e">
        <f t="shared" si="70"/>
        <v>#NUM!</v>
      </c>
      <c r="AE201">
        <v>3.2153875902064446E-6</v>
      </c>
      <c r="AF201">
        <v>-59.999999999999922</v>
      </c>
      <c r="AH201" s="1">
        <v>195</v>
      </c>
      <c r="AI201" s="1">
        <f t="shared" si="71"/>
        <v>0</v>
      </c>
      <c r="AJ201" s="1">
        <f t="shared" si="72"/>
        <v>0</v>
      </c>
      <c r="AK201" s="2">
        <f t="shared" si="73"/>
        <v>0</v>
      </c>
      <c r="AL201" s="2">
        <f t="shared" si="74"/>
        <v>0</v>
      </c>
      <c r="AY201">
        <v>-89.019731812542062</v>
      </c>
      <c r="BO201">
        <v>62.069391208362894</v>
      </c>
    </row>
    <row r="202" spans="23:67" x14ac:dyDescent="0.25">
      <c r="W202" t="e">
        <f t="shared" si="64"/>
        <v>#NUM!</v>
      </c>
      <c r="X202">
        <f t="shared" si="65"/>
        <v>61.570799515387513</v>
      </c>
      <c r="Y202">
        <f t="shared" si="66"/>
        <v>9</v>
      </c>
      <c r="Z202">
        <f t="shared" si="67"/>
        <v>-1.5707963267948966</v>
      </c>
      <c r="AA202" t="e">
        <f t="shared" si="68"/>
        <v>#NUM!</v>
      </c>
      <c r="AB202" t="e">
        <f t="shared" si="69"/>
        <v>#NUM!</v>
      </c>
      <c r="AC202" t="e">
        <f t="shared" si="70"/>
        <v>#NUM!</v>
      </c>
      <c r="AE202">
        <v>3.2153875902064446E-6</v>
      </c>
      <c r="AF202">
        <v>-59.999999999999922</v>
      </c>
      <c r="AH202" s="1">
        <v>196</v>
      </c>
      <c r="AI202" s="1">
        <f t="shared" si="71"/>
        <v>0</v>
      </c>
      <c r="AJ202" s="1">
        <f t="shared" si="72"/>
        <v>0</v>
      </c>
      <c r="AK202" s="2">
        <f t="shared" si="73"/>
        <v>0</v>
      </c>
      <c r="AL202" s="2">
        <f t="shared" si="74"/>
        <v>0</v>
      </c>
      <c r="AY202">
        <v>-90.571702914357161</v>
      </c>
      <c r="BO202">
        <v>59.580632161598629</v>
      </c>
    </row>
    <row r="203" spans="23:67" x14ac:dyDescent="0.25">
      <c r="W203" t="e">
        <f t="shared" si="64"/>
        <v>#NUM!</v>
      </c>
      <c r="X203">
        <f t="shared" si="65"/>
        <v>61.570799515387513</v>
      </c>
      <c r="Y203">
        <f t="shared" si="66"/>
        <v>9</v>
      </c>
      <c r="Z203">
        <f t="shared" si="67"/>
        <v>-1.5707963267948966</v>
      </c>
      <c r="AA203" t="e">
        <f t="shared" si="68"/>
        <v>#NUM!</v>
      </c>
      <c r="AB203" t="e">
        <f t="shared" si="69"/>
        <v>#NUM!</v>
      </c>
      <c r="AC203" t="e">
        <f t="shared" si="70"/>
        <v>#NUM!</v>
      </c>
      <c r="AE203">
        <v>3.2153875902064446E-6</v>
      </c>
      <c r="AF203">
        <v>-59.999999999999922</v>
      </c>
      <c r="AH203" s="1">
        <v>197</v>
      </c>
      <c r="AI203" s="1">
        <f t="shared" si="71"/>
        <v>0</v>
      </c>
      <c r="AJ203" s="1">
        <f t="shared" si="72"/>
        <v>0</v>
      </c>
      <c r="AK203" s="2">
        <f t="shared" si="73"/>
        <v>0</v>
      </c>
      <c r="AL203" s="2">
        <f t="shared" si="74"/>
        <v>0</v>
      </c>
      <c r="AY203">
        <v>-92.064563134086512</v>
      </c>
      <c r="BO203">
        <v>57.049798701590817</v>
      </c>
    </row>
    <row r="204" spans="23:67" x14ac:dyDescent="0.25">
      <c r="W204" t="e">
        <f t="shared" si="64"/>
        <v>#NUM!</v>
      </c>
      <c r="X204">
        <f t="shared" si="65"/>
        <v>61.570799515387513</v>
      </c>
      <c r="Y204">
        <f t="shared" si="66"/>
        <v>9</v>
      </c>
      <c r="Z204">
        <f t="shared" si="67"/>
        <v>-1.5707963267948966</v>
      </c>
      <c r="AA204" t="e">
        <f t="shared" si="68"/>
        <v>#NUM!</v>
      </c>
      <c r="AB204" t="e">
        <f t="shared" si="69"/>
        <v>#NUM!</v>
      </c>
      <c r="AC204" t="e">
        <f t="shared" si="70"/>
        <v>#NUM!</v>
      </c>
      <c r="AE204">
        <v>3.2153875902064446E-6</v>
      </c>
      <c r="AF204">
        <v>-59.999999999999922</v>
      </c>
      <c r="AH204" s="1">
        <v>198</v>
      </c>
      <c r="AI204" s="1">
        <f t="shared" si="71"/>
        <v>0</v>
      </c>
      <c r="AJ204" s="1">
        <f t="shared" si="72"/>
        <v>0</v>
      </c>
      <c r="AK204" s="2">
        <f t="shared" si="73"/>
        <v>0</v>
      </c>
      <c r="AL204" s="2">
        <f t="shared" si="74"/>
        <v>0</v>
      </c>
      <c r="AY204">
        <v>-93.496973049239003</v>
      </c>
      <c r="BO204">
        <v>54.47824575690386</v>
      </c>
    </row>
    <row r="205" spans="23:67" x14ac:dyDescent="0.25">
      <c r="W205" t="e">
        <f t="shared" si="64"/>
        <v>#NUM!</v>
      </c>
      <c r="X205">
        <f t="shared" si="65"/>
        <v>61.570799515387513</v>
      </c>
      <c r="Y205">
        <f t="shared" si="66"/>
        <v>9</v>
      </c>
      <c r="Z205">
        <f t="shared" si="67"/>
        <v>-1.5707963267948966</v>
      </c>
      <c r="AA205" t="e">
        <f t="shared" si="68"/>
        <v>#NUM!</v>
      </c>
      <c r="AB205" t="e">
        <f t="shared" si="69"/>
        <v>#NUM!</v>
      </c>
      <c r="AC205" t="e">
        <f t="shared" si="70"/>
        <v>#NUM!</v>
      </c>
      <c r="AE205">
        <v>3.2153875902064446E-6</v>
      </c>
      <c r="AF205">
        <v>-59.999999999999922</v>
      </c>
      <c r="AH205" s="1">
        <v>199</v>
      </c>
      <c r="AI205" s="1">
        <f t="shared" si="71"/>
        <v>0</v>
      </c>
      <c r="AJ205" s="1">
        <f t="shared" si="72"/>
        <v>0</v>
      </c>
      <c r="AK205" s="2">
        <f t="shared" si="73"/>
        <v>0</v>
      </c>
      <c r="AL205" s="2">
        <f t="shared" si="74"/>
        <v>0</v>
      </c>
      <c r="AY205">
        <v>-94.867621258778129</v>
      </c>
      <c r="BO205">
        <v>51.867376556203979</v>
      </c>
    </row>
    <row r="206" spans="23:67" x14ac:dyDescent="0.25">
      <c r="W206" t="e">
        <f t="shared" si="64"/>
        <v>#NUM!</v>
      </c>
      <c r="X206">
        <f t="shared" si="65"/>
        <v>61.570799515387513</v>
      </c>
      <c r="Y206">
        <f t="shared" si="66"/>
        <v>9</v>
      </c>
      <c r="Z206">
        <f t="shared" si="67"/>
        <v>-1.5707963267948966</v>
      </c>
      <c r="AA206" t="e">
        <f t="shared" si="68"/>
        <v>#NUM!</v>
      </c>
      <c r="AB206" t="e">
        <f t="shared" si="69"/>
        <v>#NUM!</v>
      </c>
      <c r="AC206" t="e">
        <f t="shared" si="70"/>
        <v>#NUM!</v>
      </c>
      <c r="AE206">
        <v>3.2153875902064446E-6</v>
      </c>
      <c r="AF206">
        <v>-59.999999999999922</v>
      </c>
      <c r="AH206" s="1">
        <v>200</v>
      </c>
      <c r="AI206" s="1">
        <f t="shared" si="71"/>
        <v>0</v>
      </c>
      <c r="AJ206" s="1">
        <f t="shared" si="72"/>
        <v>0</v>
      </c>
      <c r="AK206" s="2">
        <f t="shared" si="73"/>
        <v>0</v>
      </c>
      <c r="AL206" s="2">
        <f t="shared" si="74"/>
        <v>0</v>
      </c>
      <c r="AY206">
        <v>-96.175226404524849</v>
      </c>
      <c r="BO206">
        <v>49.218642529253216</v>
      </c>
    </row>
    <row r="207" spans="23:67" x14ac:dyDescent="0.25">
      <c r="W207" t="e">
        <f t="shared" si="64"/>
        <v>#NUM!</v>
      </c>
      <c r="X207">
        <f t="shared" si="65"/>
        <v>61.570799515387513</v>
      </c>
      <c r="Y207">
        <f t="shared" si="66"/>
        <v>9</v>
      </c>
      <c r="Z207">
        <f t="shared" si="67"/>
        <v>-1.5707963267948966</v>
      </c>
      <c r="AA207" t="e">
        <f t="shared" si="68"/>
        <v>#NUM!</v>
      </c>
      <c r="AB207" t="e">
        <f t="shared" si="69"/>
        <v>#NUM!</v>
      </c>
      <c r="AC207" t="e">
        <f t="shared" si="70"/>
        <v>#NUM!</v>
      </c>
      <c r="AE207">
        <v>3.2153875902064446E-6</v>
      </c>
      <c r="AF207">
        <v>-59.999999999999922</v>
      </c>
      <c r="AH207" s="1">
        <v>201</v>
      </c>
      <c r="AI207" s="1">
        <f t="shared" si="71"/>
        <v>0</v>
      </c>
      <c r="AJ207" s="1">
        <f t="shared" si="72"/>
        <v>0</v>
      </c>
      <c r="AK207" s="2">
        <f t="shared" si="73"/>
        <v>0</v>
      </c>
      <c r="AL207" s="2">
        <f t="shared" si="74"/>
        <v>0</v>
      </c>
      <c r="AY207">
        <v>-97.418539274155421</v>
      </c>
      <c r="BO207">
        <v>46.533543075434004</v>
      </c>
    </row>
    <row r="208" spans="23:67" x14ac:dyDescent="0.25">
      <c r="W208" t="e">
        <f t="shared" si="64"/>
        <v>#NUM!</v>
      </c>
      <c r="X208">
        <f t="shared" si="65"/>
        <v>61.570799515387513</v>
      </c>
      <c r="Y208">
        <f t="shared" si="66"/>
        <v>9</v>
      </c>
      <c r="Z208">
        <f t="shared" si="67"/>
        <v>-1.5707963267948966</v>
      </c>
      <c r="AA208" t="e">
        <f t="shared" si="68"/>
        <v>#NUM!</v>
      </c>
      <c r="AB208" t="e">
        <f t="shared" si="69"/>
        <v>#NUM!</v>
      </c>
      <c r="AC208" t="e">
        <f t="shared" si="70"/>
        <v>#NUM!</v>
      </c>
      <c r="AE208">
        <v>3.2153875902064446E-6</v>
      </c>
      <c r="AF208">
        <v>-59.999999999999922</v>
      </c>
      <c r="AH208" s="1">
        <v>202</v>
      </c>
      <c r="AI208" s="1">
        <f t="shared" si="71"/>
        <v>0</v>
      </c>
      <c r="AJ208" s="1">
        <f t="shared" si="72"/>
        <v>0</v>
      </c>
      <c r="AK208" s="2">
        <f t="shared" si="73"/>
        <v>0</v>
      </c>
      <c r="AL208" s="2">
        <f t="shared" si="74"/>
        <v>0</v>
      </c>
      <c r="AY208">
        <v>-98.596344971669311</v>
      </c>
      <c r="BO208">
        <v>43.813625190438827</v>
      </c>
    </row>
    <row r="209" spans="23:67" x14ac:dyDescent="0.25">
      <c r="W209" t="e">
        <f t="shared" si="64"/>
        <v>#NUM!</v>
      </c>
      <c r="X209">
        <f t="shared" si="65"/>
        <v>61.570799515387513</v>
      </c>
      <c r="Y209">
        <f t="shared" si="66"/>
        <v>9</v>
      </c>
      <c r="Z209">
        <f t="shared" si="67"/>
        <v>-1.5707963267948966</v>
      </c>
      <c r="AA209" t="e">
        <f t="shared" si="68"/>
        <v>#NUM!</v>
      </c>
      <c r="AB209" t="e">
        <f t="shared" si="69"/>
        <v>#NUM!</v>
      </c>
      <c r="AC209" t="e">
        <f t="shared" si="70"/>
        <v>#NUM!</v>
      </c>
      <c r="AE209">
        <v>3.2153875902064446E-6</v>
      </c>
      <c r="AF209">
        <v>-59.999999999999922</v>
      </c>
      <c r="AH209" s="1">
        <v>203</v>
      </c>
      <c r="AI209" s="1">
        <f t="shared" si="71"/>
        <v>0</v>
      </c>
      <c r="AJ209" s="1">
        <f t="shared" si="72"/>
        <v>0</v>
      </c>
      <c r="AK209" s="2">
        <f t="shared" si="73"/>
        <v>0</v>
      </c>
      <c r="AL209" s="2">
        <f t="shared" si="74"/>
        <v>0</v>
      </c>
      <c r="AY209">
        <v>-99.707465140420894</v>
      </c>
      <c r="BO209">
        <v>41.060482943056698</v>
      </c>
    </row>
    <row r="210" spans="23:67" x14ac:dyDescent="0.25">
      <c r="W210" t="e">
        <f t="shared" si="64"/>
        <v>#NUM!</v>
      </c>
      <c r="X210">
        <f t="shared" si="65"/>
        <v>61.570799515387513</v>
      </c>
      <c r="Y210">
        <f t="shared" si="66"/>
        <v>9</v>
      </c>
      <c r="Z210">
        <f t="shared" si="67"/>
        <v>-1.5707963267948966</v>
      </c>
      <c r="AA210" t="e">
        <f t="shared" si="68"/>
        <v>#NUM!</v>
      </c>
      <c r="AB210" t="e">
        <f t="shared" si="69"/>
        <v>#NUM!</v>
      </c>
      <c r="AC210" t="e">
        <f t="shared" si="70"/>
        <v>#NUM!</v>
      </c>
      <c r="AE210">
        <v>3.2153875902064446E-6</v>
      </c>
      <c r="AF210">
        <v>-59.999999999999922</v>
      </c>
      <c r="AH210" s="1">
        <v>204</v>
      </c>
      <c r="AI210" s="1">
        <f t="shared" si="71"/>
        <v>0</v>
      </c>
      <c r="AJ210" s="1">
        <f t="shared" si="72"/>
        <v>0</v>
      </c>
      <c r="AK210" s="2">
        <f t="shared" si="73"/>
        <v>0</v>
      </c>
      <c r="AL210" s="2">
        <f t="shared" si="74"/>
        <v>0</v>
      </c>
      <c r="AY210">
        <v>-100.75076022311241</v>
      </c>
      <c r="BO210">
        <v>38.275756795420236</v>
      </c>
    </row>
    <row r="211" spans="23:67" x14ac:dyDescent="0.25">
      <c r="W211" t="e">
        <f t="shared" ref="W211:W218" si="75">3.14159265358/2-Z211-AA211</f>
        <v>#NUM!</v>
      </c>
      <c r="X211">
        <f t="shared" ref="X211:X218" si="76">3.1415926/2+AE211-AF211</f>
        <v>61.570799515387513</v>
      </c>
      <c r="Y211">
        <f t="shared" ref="Y211:Y218" si="77">SQRT( V211*V211+(U211+$G$2)*(U211+$G$2)     )</f>
        <v>9</v>
      </c>
      <c r="Z211">
        <f t="shared" ref="Z211:Z218" si="78">ATAN2(  V211, -U211-$G$2)</f>
        <v>-1.5707963267948966</v>
      </c>
      <c r="AA211" t="e">
        <f t="shared" ref="AA211:AA218" si="79" xml:space="preserve"> ACOS((Y211*Y211+$C$2*$C$2-($E$2+$T$2)*($E$2+$T$2))/(2*Y211*$C$2))</f>
        <v>#NUM!</v>
      </c>
      <c r="AB211" t="e">
        <f t="shared" ref="AB211:AB218" si="80">-$G$2-$C$2*COS(W211)+(U211+$G$2+COS(W211)*$C$2)*$E$2/($E$2+$T$2)</f>
        <v>#NUM!</v>
      </c>
      <c r="AC211" t="e">
        <f t="shared" ref="AC211:AC218" si="81">$C$2*SIN(W211)+(V211-$C$2*SIN(W211))*$E$2/($T$2+$E$2)</f>
        <v>#NUM!</v>
      </c>
      <c r="AE211">
        <v>3.2153875902064446E-6</v>
      </c>
      <c r="AF211">
        <v>-59.999999999999922</v>
      </c>
      <c r="AH211" s="1">
        <v>205</v>
      </c>
      <c r="AI211" s="1">
        <f t="shared" ref="AI211:AI220" si="82">U211</f>
        <v>0</v>
      </c>
      <c r="AJ211" s="1">
        <f t="shared" ref="AJ211:AJ220" si="83">V211</f>
        <v>0</v>
      </c>
      <c r="AK211" s="2">
        <f t="shared" ref="AK211:AK220" si="84">D211*180/3.1415926</f>
        <v>0</v>
      </c>
      <c r="AL211" s="2">
        <f t="shared" ref="AL211:AL220" si="85">E211*180/3.1415926</f>
        <v>0</v>
      </c>
      <c r="AY211">
        <v>-101.72513174256733</v>
      </c>
      <c r="BO211">
        <v>35.461132761629614</v>
      </c>
    </row>
    <row r="212" spans="23:67" x14ac:dyDescent="0.25">
      <c r="W212" t="e">
        <f t="shared" si="75"/>
        <v>#NUM!</v>
      </c>
      <c r="X212">
        <f t="shared" si="76"/>
        <v>61.570799515387513</v>
      </c>
      <c r="Y212">
        <f t="shared" si="77"/>
        <v>9</v>
      </c>
      <c r="Z212">
        <f t="shared" si="78"/>
        <v>-1.5707963267948966</v>
      </c>
      <c r="AA212" t="e">
        <f t="shared" si="79"/>
        <v>#NUM!</v>
      </c>
      <c r="AB212" t="e">
        <f t="shared" si="80"/>
        <v>#NUM!</v>
      </c>
      <c r="AC212" t="e">
        <f t="shared" si="81"/>
        <v>#NUM!</v>
      </c>
      <c r="AE212">
        <v>3.2153875902064446E-6</v>
      </c>
      <c r="AF212">
        <v>-59.999999999999922</v>
      </c>
      <c r="AH212" s="1">
        <v>206</v>
      </c>
      <c r="AI212" s="1">
        <f t="shared" si="82"/>
        <v>0</v>
      </c>
      <c r="AJ212" s="1">
        <f t="shared" si="83"/>
        <v>0</v>
      </c>
      <c r="AK212" s="2">
        <f t="shared" si="84"/>
        <v>0</v>
      </c>
      <c r="AL212" s="2">
        <f t="shared" si="85"/>
        <v>0</v>
      </c>
      <c r="AY212">
        <v>-102.62952458666661</v>
      </c>
      <c r="BO212">
        <v>32.61834140132202</v>
      </c>
    </row>
    <row r="213" spans="23:67" x14ac:dyDescent="0.25">
      <c r="W213" t="e">
        <f t="shared" si="75"/>
        <v>#NUM!</v>
      </c>
      <c r="X213">
        <f t="shared" si="76"/>
        <v>61.570799515387513</v>
      </c>
      <c r="Y213">
        <f t="shared" si="77"/>
        <v>9</v>
      </c>
      <c r="Z213">
        <f t="shared" si="78"/>
        <v>-1.5707963267948966</v>
      </c>
      <c r="AA213" t="e">
        <f t="shared" si="79"/>
        <v>#NUM!</v>
      </c>
      <c r="AB213" t="e">
        <f t="shared" si="80"/>
        <v>#NUM!</v>
      </c>
      <c r="AC213" t="e">
        <f t="shared" si="81"/>
        <v>#NUM!</v>
      </c>
      <c r="AE213">
        <v>3.2153875902064446E-6</v>
      </c>
      <c r="AF213">
        <v>-59.999999999999922</v>
      </c>
      <c r="AH213" s="1">
        <v>207</v>
      </c>
      <c r="AI213" s="1">
        <f t="shared" si="82"/>
        <v>0</v>
      </c>
      <c r="AJ213" s="1">
        <f t="shared" si="83"/>
        <v>0</v>
      </c>
      <c r="AK213" s="2">
        <f t="shared" si="84"/>
        <v>0</v>
      </c>
      <c r="AL213" s="2">
        <f t="shared" si="85"/>
        <v>0</v>
      </c>
      <c r="AY213">
        <v>-103.46292928056559</v>
      </c>
      <c r="BO213">
        <v>29.749156646483328</v>
      </c>
    </row>
    <row r="214" spans="23:67" x14ac:dyDescent="0.25">
      <c r="W214" t="e">
        <f t="shared" si="75"/>
        <v>#NUM!</v>
      </c>
      <c r="X214">
        <f t="shared" si="76"/>
        <v>61.570799515387513</v>
      </c>
      <c r="Y214">
        <f t="shared" si="77"/>
        <v>9</v>
      </c>
      <c r="Z214">
        <f t="shared" si="78"/>
        <v>-1.5707963267948966</v>
      </c>
      <c r="AA214" t="e">
        <f t="shared" si="79"/>
        <v>#NUM!</v>
      </c>
      <c r="AB214" t="e">
        <f t="shared" si="80"/>
        <v>#NUM!</v>
      </c>
      <c r="AC214" t="e">
        <f t="shared" si="81"/>
        <v>#NUM!</v>
      </c>
      <c r="AE214">
        <v>3.2153875902064446E-6</v>
      </c>
      <c r="AF214">
        <v>-59.999999999999922</v>
      </c>
      <c r="AH214" s="1">
        <v>208</v>
      </c>
      <c r="AI214" s="1">
        <f t="shared" si="82"/>
        <v>0</v>
      </c>
      <c r="AJ214" s="1">
        <f t="shared" si="83"/>
        <v>0</v>
      </c>
      <c r="AK214" s="2">
        <f t="shared" si="84"/>
        <v>0</v>
      </c>
      <c r="AL214" s="2">
        <f t="shared" si="85"/>
        <v>0</v>
      </c>
      <c r="AY214">
        <v>-104.22438422922602</v>
      </c>
      <c r="BO214">
        <v>26.85539446157609</v>
      </c>
    </row>
    <row r="215" spans="23:67" x14ac:dyDescent="0.25">
      <c r="W215" t="e">
        <f t="shared" si="75"/>
        <v>#NUM!</v>
      </c>
      <c r="X215">
        <f t="shared" si="76"/>
        <v>61.570799515387513</v>
      </c>
      <c r="Y215">
        <f t="shared" si="77"/>
        <v>9</v>
      </c>
      <c r="Z215">
        <f t="shared" si="78"/>
        <v>-1.5707963267948966</v>
      </c>
      <c r="AA215" t="e">
        <f t="shared" si="79"/>
        <v>#NUM!</v>
      </c>
      <c r="AB215" t="e">
        <f t="shared" si="80"/>
        <v>#NUM!</v>
      </c>
      <c r="AC215" t="e">
        <f t="shared" si="81"/>
        <v>#NUM!</v>
      </c>
      <c r="AE215">
        <v>3.2153875902064446E-6</v>
      </c>
      <c r="AF215">
        <v>-59.999999999999922</v>
      </c>
      <c r="AH215" s="1">
        <v>209</v>
      </c>
      <c r="AI215" s="1">
        <f t="shared" si="82"/>
        <v>0</v>
      </c>
      <c r="AJ215" s="1">
        <f t="shared" si="83"/>
        <v>0</v>
      </c>
      <c r="AK215" s="2">
        <f t="shared" si="84"/>
        <v>0</v>
      </c>
      <c r="AL215" s="2">
        <f t="shared" si="85"/>
        <v>0</v>
      </c>
      <c r="AY215">
        <v>-104.91297791341526</v>
      </c>
      <c r="BO215">
        <v>23.938911338856585</v>
      </c>
    </row>
    <row r="216" spans="23:67" x14ac:dyDescent="0.25">
      <c r="W216" t="e">
        <f t="shared" si="75"/>
        <v>#NUM!</v>
      </c>
      <c r="X216">
        <f t="shared" si="76"/>
        <v>61.570799515387513</v>
      </c>
      <c r="Y216">
        <f t="shared" si="77"/>
        <v>9</v>
      </c>
      <c r="Z216">
        <f t="shared" si="78"/>
        <v>-1.5707963267948966</v>
      </c>
      <c r="AA216" t="e">
        <f t="shared" si="79"/>
        <v>#NUM!</v>
      </c>
      <c r="AB216" t="e">
        <f t="shared" si="80"/>
        <v>#NUM!</v>
      </c>
      <c r="AC216" t="e">
        <f t="shared" si="81"/>
        <v>#NUM!</v>
      </c>
      <c r="AE216">
        <v>3.2153875902064446E-6</v>
      </c>
      <c r="AF216">
        <v>-59.999999999999922</v>
      </c>
      <c r="AH216" s="1">
        <v>210</v>
      </c>
      <c r="AI216" s="1">
        <f t="shared" si="82"/>
        <v>0</v>
      </c>
      <c r="AJ216" s="1">
        <f t="shared" si="83"/>
        <v>0</v>
      </c>
      <c r="AK216" s="2">
        <f t="shared" si="84"/>
        <v>0</v>
      </c>
      <c r="AL216" s="2">
        <f t="shared" si="85"/>
        <v>0</v>
      </c>
      <c r="AY216">
        <v>-105.527851022645</v>
      </c>
      <c r="BO216">
        <v>21.001602632541804</v>
      </c>
    </row>
    <row r="217" spans="23:67" x14ac:dyDescent="0.25">
      <c r="W217" t="e">
        <f t="shared" si="75"/>
        <v>#NUM!</v>
      </c>
      <c r="X217">
        <f t="shared" si="76"/>
        <v>61.570799515387513</v>
      </c>
      <c r="Y217">
        <f t="shared" si="77"/>
        <v>9</v>
      </c>
      <c r="Z217">
        <f t="shared" si="78"/>
        <v>-1.5707963267948966</v>
      </c>
      <c r="AA217" t="e">
        <f t="shared" si="79"/>
        <v>#NUM!</v>
      </c>
      <c r="AB217" t="e">
        <f t="shared" si="80"/>
        <v>#NUM!</v>
      </c>
      <c r="AC217" t="e">
        <f t="shared" si="81"/>
        <v>#NUM!</v>
      </c>
      <c r="AE217">
        <v>3.2153875902064446E-6</v>
      </c>
      <c r="AF217">
        <v>-59.999999999999922</v>
      </c>
      <c r="AH217" s="1">
        <v>211</v>
      </c>
      <c r="AI217" s="1">
        <f t="shared" si="82"/>
        <v>0</v>
      </c>
      <c r="AJ217" s="1">
        <f t="shared" si="83"/>
        <v>0</v>
      </c>
      <c r="AK217" s="2">
        <f t="shared" si="84"/>
        <v>0</v>
      </c>
      <c r="AL217" s="2">
        <f t="shared" si="85"/>
        <v>0</v>
      </c>
      <c r="AY217">
        <v>-106.06819850905003</v>
      </c>
      <c r="BO217">
        <v>18.04540073723404</v>
      </c>
    </row>
    <row r="218" spans="23:67" x14ac:dyDescent="0.25">
      <c r="W218" t="e">
        <f t="shared" si="75"/>
        <v>#NUM!</v>
      </c>
      <c r="X218">
        <f t="shared" si="76"/>
        <v>61.570799515387513</v>
      </c>
      <c r="Y218">
        <f t="shared" si="77"/>
        <v>9</v>
      </c>
      <c r="Z218">
        <f t="shared" si="78"/>
        <v>-1.5707963267948966</v>
      </c>
      <c r="AA218" t="e">
        <f t="shared" si="79"/>
        <v>#NUM!</v>
      </c>
      <c r="AB218" t="e">
        <f t="shared" si="80"/>
        <v>#NUM!</v>
      </c>
      <c r="AC218" t="e">
        <f t="shared" si="81"/>
        <v>#NUM!</v>
      </c>
      <c r="AE218">
        <v>3.2153875902064446E-6</v>
      </c>
      <c r="AF218">
        <v>-59.999999999999922</v>
      </c>
      <c r="AH218" s="1">
        <v>212</v>
      </c>
      <c r="AI218" s="1">
        <f t="shared" si="82"/>
        <v>0</v>
      </c>
      <c r="AJ218" s="1">
        <f t="shared" si="83"/>
        <v>0</v>
      </c>
      <c r="AK218" s="2">
        <f t="shared" si="84"/>
        <v>0</v>
      </c>
      <c r="AL218" s="2">
        <f t="shared" si="85"/>
        <v>0</v>
      </c>
      <c r="AY218">
        <v>-106.53327154693659</v>
      </c>
      <c r="BO218">
        <v>15.072273117684958</v>
      </c>
    </row>
    <row r="219" spans="23:67" x14ac:dyDescent="0.25">
      <c r="AH219" s="1">
        <v>213</v>
      </c>
      <c r="AI219" s="1">
        <f t="shared" si="82"/>
        <v>0</v>
      </c>
      <c r="AJ219" s="1">
        <f t="shared" si="83"/>
        <v>0</v>
      </c>
      <c r="AK219" s="2">
        <f t="shared" si="84"/>
        <v>0</v>
      </c>
      <c r="AL219" s="2">
        <f t="shared" si="85"/>
        <v>0</v>
      </c>
      <c r="AY219">
        <v>-106.92237938365012</v>
      </c>
      <c r="BO219">
        <v>12.084220198555332</v>
      </c>
    </row>
    <row r="220" spans="23:67" x14ac:dyDescent="0.25">
      <c r="AH220" s="1">
        <v>214</v>
      </c>
      <c r="AI220" s="1">
        <f t="shared" si="82"/>
        <v>0</v>
      </c>
      <c r="AJ220" s="1">
        <f t="shared" si="83"/>
        <v>0</v>
      </c>
      <c r="AK220" s="2">
        <f t="shared" si="84"/>
        <v>0</v>
      </c>
      <c r="AL220" s="2">
        <f t="shared" si="85"/>
        <v>0</v>
      </c>
      <c r="AY220">
        <v>-107.23489106851224</v>
      </c>
      <c r="BO220">
        <v>9.0832731242685902</v>
      </c>
    </row>
    <row r="221" spans="23:67" x14ac:dyDescent="0.25">
      <c r="AY221">
        <v>-107.47023704783025</v>
      </c>
      <c r="BO221">
        <v>6.0714914003477425</v>
      </c>
    </row>
    <row r="222" spans="23:67" x14ac:dyDescent="0.25">
      <c r="AY222">
        <v>-107.62791061537467</v>
      </c>
      <c r="BO222">
        <v>3.0509604287390886</v>
      </c>
    </row>
    <row r="223" spans="23:67" x14ac:dyDescent="0.25">
      <c r="AY223">
        <v>-107.70746920921601</v>
      </c>
      <c r="BO223">
        <v>2.3788950550098775E-2</v>
      </c>
    </row>
    <row r="224" spans="23:67" x14ac:dyDescent="0.25">
      <c r="AY224">
        <v>-107.70853554738908</v>
      </c>
      <c r="BO224">
        <v>-3.0078935896526602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DN252"/>
  <sheetViews>
    <sheetView workbookViewId="0">
      <selection activeCell="Q6" sqref="Q6"/>
    </sheetView>
  </sheetViews>
  <sheetFormatPr defaultRowHeight="15" x14ac:dyDescent="0.25"/>
  <cols>
    <col min="4" max="4" width="12.7109375" bestFit="1" customWidth="1"/>
    <col min="5" max="5" width="12" bestFit="1" customWidth="1"/>
    <col min="9" max="9" width="7.140625" customWidth="1"/>
    <col min="11" max="11" width="12.7109375" bestFit="1" customWidth="1"/>
    <col min="21" max="21" width="9.140625" style="4"/>
    <col min="23" max="32" width="1.28515625" customWidth="1"/>
    <col min="34" max="34" width="5.140625" customWidth="1"/>
    <col min="35" max="35" width="5.42578125" customWidth="1"/>
    <col min="36" max="36" width="4.140625" customWidth="1"/>
    <col min="37" max="37" width="4.85546875" customWidth="1"/>
    <col min="38" max="38" width="6.140625" customWidth="1"/>
  </cols>
  <sheetData>
    <row r="1" spans="1:118" x14ac:dyDescent="0.25">
      <c r="A1" t="s">
        <v>121</v>
      </c>
      <c r="C1">
        <v>40</v>
      </c>
      <c r="D1">
        <v>1.25565681949167</v>
      </c>
      <c r="E1">
        <v>2.8532538575946007</v>
      </c>
      <c r="G1">
        <f>C2+E2+T2</f>
        <v>72</v>
      </c>
      <c r="N1">
        <v>164</v>
      </c>
      <c r="O1">
        <v>146</v>
      </c>
      <c r="P1">
        <v>192</v>
      </c>
      <c r="Q1">
        <f>P1*N1/O1</f>
        <v>215.67123287671234</v>
      </c>
      <c r="U1" s="8">
        <f>28/12</f>
        <v>2.3333333333333335</v>
      </c>
      <c r="V1">
        <v>70</v>
      </c>
    </row>
    <row r="2" spans="1:118" x14ac:dyDescent="0.25">
      <c r="A2" t="s">
        <v>107</v>
      </c>
      <c r="B2" t="s">
        <v>0</v>
      </c>
      <c r="C2">
        <v>20</v>
      </c>
      <c r="D2" t="s">
        <v>1</v>
      </c>
      <c r="E2">
        <v>32</v>
      </c>
      <c r="F2" t="s">
        <v>2</v>
      </c>
      <c r="G2">
        <v>12</v>
      </c>
      <c r="I2" t="s">
        <v>19</v>
      </c>
      <c r="J2">
        <v>15</v>
      </c>
      <c r="K2" t="s">
        <v>20</v>
      </c>
      <c r="L2">
        <v>180</v>
      </c>
      <c r="M2" t="s">
        <v>22</v>
      </c>
      <c r="N2">
        <v>0</v>
      </c>
      <c r="O2" t="s">
        <v>21</v>
      </c>
      <c r="P2">
        <v>16</v>
      </c>
      <c r="Q2" t="s">
        <v>23</v>
      </c>
      <c r="R2">
        <v>107</v>
      </c>
      <c r="S2" t="s">
        <v>50</v>
      </c>
      <c r="T2">
        <v>20</v>
      </c>
    </row>
    <row r="3" spans="1:118" x14ac:dyDescent="0.25">
      <c r="A3">
        <v>1</v>
      </c>
      <c r="B3">
        <v>2</v>
      </c>
      <c r="C3">
        <v>3</v>
      </c>
      <c r="D3">
        <v>4</v>
      </c>
      <c r="E3">
        <v>5</v>
      </c>
      <c r="F3">
        <v>6</v>
      </c>
      <c r="G3">
        <v>7</v>
      </c>
      <c r="H3">
        <v>8</v>
      </c>
      <c r="I3">
        <v>9</v>
      </c>
      <c r="J3">
        <v>10</v>
      </c>
      <c r="K3">
        <v>11</v>
      </c>
      <c r="L3">
        <v>12</v>
      </c>
      <c r="M3">
        <v>13</v>
      </c>
      <c r="N3">
        <v>14</v>
      </c>
      <c r="O3">
        <v>15</v>
      </c>
      <c r="P3">
        <v>16</v>
      </c>
      <c r="Q3">
        <v>17</v>
      </c>
      <c r="R3">
        <v>18</v>
      </c>
      <c r="S3">
        <v>19</v>
      </c>
      <c r="T3">
        <v>20</v>
      </c>
      <c r="U3" s="4">
        <v>21</v>
      </c>
      <c r="V3">
        <v>22</v>
      </c>
      <c r="W3">
        <v>23</v>
      </c>
      <c r="X3">
        <v>24</v>
      </c>
      <c r="Y3">
        <v>25</v>
      </c>
      <c r="Z3">
        <v>26</v>
      </c>
      <c r="AA3">
        <v>27</v>
      </c>
      <c r="AB3">
        <v>28</v>
      </c>
      <c r="AC3">
        <v>29</v>
      </c>
      <c r="AD3">
        <v>30</v>
      </c>
      <c r="AE3">
        <v>31</v>
      </c>
      <c r="AF3">
        <v>32</v>
      </c>
      <c r="AG3">
        <v>33</v>
      </c>
      <c r="AH3">
        <v>34</v>
      </c>
      <c r="AI3">
        <v>35</v>
      </c>
      <c r="AJ3">
        <v>36</v>
      </c>
      <c r="AK3">
        <v>37</v>
      </c>
      <c r="AL3">
        <v>38</v>
      </c>
      <c r="AM3">
        <v>39</v>
      </c>
      <c r="AN3">
        <v>40</v>
      </c>
      <c r="AO3">
        <v>41</v>
      </c>
      <c r="AP3">
        <v>42</v>
      </c>
      <c r="AQ3">
        <v>43</v>
      </c>
      <c r="AR3">
        <v>44</v>
      </c>
      <c r="AS3">
        <v>45</v>
      </c>
      <c r="AT3">
        <v>46</v>
      </c>
      <c r="AU3">
        <v>47</v>
      </c>
      <c r="AV3">
        <v>48</v>
      </c>
      <c r="AW3">
        <v>49</v>
      </c>
      <c r="AX3">
        <v>50</v>
      </c>
      <c r="AY3">
        <v>51</v>
      </c>
      <c r="AZ3">
        <v>52</v>
      </c>
      <c r="BA3">
        <v>53</v>
      </c>
      <c r="BB3">
        <v>54</v>
      </c>
      <c r="BC3">
        <v>55</v>
      </c>
      <c r="BD3">
        <v>56</v>
      </c>
      <c r="BE3">
        <v>57</v>
      </c>
      <c r="BF3">
        <v>58</v>
      </c>
      <c r="BG3">
        <v>59</v>
      </c>
      <c r="BH3">
        <v>60</v>
      </c>
      <c r="BI3">
        <v>61</v>
      </c>
      <c r="BJ3">
        <v>62</v>
      </c>
      <c r="BK3">
        <v>63</v>
      </c>
      <c r="BL3">
        <v>64</v>
      </c>
      <c r="BM3">
        <v>65</v>
      </c>
    </row>
    <row r="4" spans="1:118" x14ac:dyDescent="0.25">
      <c r="A4">
        <v>12</v>
      </c>
      <c r="E4" t="s">
        <v>42</v>
      </c>
      <c r="G4">
        <f>ATAN2(1,0)</f>
        <v>0</v>
      </c>
      <c r="W4">
        <v>2.6686184949798095</v>
      </c>
    </row>
    <row r="5" spans="1:118" ht="18.75" x14ac:dyDescent="0.3">
      <c r="B5" t="s">
        <v>5</v>
      </c>
      <c r="C5" t="s">
        <v>6</v>
      </c>
      <c r="D5" t="s">
        <v>3</v>
      </c>
      <c r="E5" t="s">
        <v>4</v>
      </c>
      <c r="F5" t="s">
        <v>7</v>
      </c>
      <c r="G5" t="s">
        <v>8</v>
      </c>
      <c r="H5" t="s">
        <v>9</v>
      </c>
      <c r="J5" t="s">
        <v>10</v>
      </c>
      <c r="K5" t="s">
        <v>11</v>
      </c>
      <c r="L5" t="s">
        <v>12</v>
      </c>
      <c r="M5" t="s">
        <v>13</v>
      </c>
      <c r="N5" t="s">
        <v>49</v>
      </c>
      <c r="O5" t="s">
        <v>15</v>
      </c>
      <c r="P5" t="s">
        <v>16</v>
      </c>
      <c r="Q5" s="7" t="s">
        <v>17</v>
      </c>
      <c r="R5" s="7" t="s">
        <v>18</v>
      </c>
      <c r="U5" s="4" t="s">
        <v>43</v>
      </c>
      <c r="V5" t="s">
        <v>44</v>
      </c>
      <c r="W5" t="s">
        <v>45</v>
      </c>
      <c r="X5" t="s">
        <v>46</v>
      </c>
      <c r="Y5" t="s">
        <v>14</v>
      </c>
      <c r="Z5" t="s">
        <v>47</v>
      </c>
      <c r="AA5" t="s">
        <v>48</v>
      </c>
      <c r="AB5" t="s">
        <v>5</v>
      </c>
      <c r="AC5" t="s">
        <v>6</v>
      </c>
      <c r="AH5" s="1" t="s">
        <v>51</v>
      </c>
      <c r="AI5" s="1" t="s">
        <v>24</v>
      </c>
      <c r="AJ5" s="1" t="s">
        <v>25</v>
      </c>
      <c r="AK5" s="3" t="s">
        <v>52</v>
      </c>
      <c r="AL5" s="3" t="s">
        <v>53</v>
      </c>
      <c r="AY5" t="s">
        <v>24</v>
      </c>
      <c r="AZ5" t="s">
        <v>25</v>
      </c>
      <c r="BA5" t="s">
        <v>26</v>
      </c>
      <c r="BB5" t="s">
        <v>27</v>
      </c>
      <c r="BC5" t="s">
        <v>28</v>
      </c>
      <c r="BD5" t="s">
        <v>29</v>
      </c>
      <c r="BE5" t="s">
        <v>30</v>
      </c>
      <c r="BF5" t="s">
        <v>31</v>
      </c>
      <c r="BG5" t="s">
        <v>32</v>
      </c>
      <c r="BH5" t="s">
        <v>33</v>
      </c>
      <c r="BI5" t="s">
        <v>34</v>
      </c>
      <c r="BJ5" t="s">
        <v>35</v>
      </c>
      <c r="BK5" t="s">
        <v>36</v>
      </c>
      <c r="BL5" t="s">
        <v>37</v>
      </c>
      <c r="BM5" t="s">
        <v>38</v>
      </c>
      <c r="BN5" t="s">
        <v>54</v>
      </c>
      <c r="BO5" t="s">
        <v>55</v>
      </c>
      <c r="BP5" t="s">
        <v>56</v>
      </c>
      <c r="BQ5" t="s">
        <v>57</v>
      </c>
      <c r="BR5" t="s">
        <v>58</v>
      </c>
      <c r="BS5" t="s">
        <v>59</v>
      </c>
      <c r="BT5" t="s">
        <v>60</v>
      </c>
      <c r="BU5" t="s">
        <v>61</v>
      </c>
      <c r="BV5" t="s">
        <v>62</v>
      </c>
      <c r="BW5" t="s">
        <v>63</v>
      </c>
      <c r="BX5" t="s">
        <v>64</v>
      </c>
      <c r="BY5" t="s">
        <v>65</v>
      </c>
      <c r="BZ5" t="s">
        <v>66</v>
      </c>
      <c r="CA5" t="s">
        <v>67</v>
      </c>
      <c r="CB5" t="s">
        <v>68</v>
      </c>
      <c r="CC5" t="s">
        <v>69</v>
      </c>
      <c r="CD5" t="s">
        <v>70</v>
      </c>
      <c r="CE5" t="s">
        <v>71</v>
      </c>
      <c r="CF5" t="s">
        <v>72</v>
      </c>
      <c r="CG5" t="s">
        <v>73</v>
      </c>
      <c r="CH5" t="s">
        <v>74</v>
      </c>
      <c r="CI5" t="s">
        <v>75</v>
      </c>
      <c r="CJ5" t="s">
        <v>76</v>
      </c>
      <c r="CK5" t="s">
        <v>77</v>
      </c>
      <c r="CL5" t="s">
        <v>78</v>
      </c>
      <c r="CM5" t="s">
        <v>79</v>
      </c>
      <c r="CN5" t="s">
        <v>80</v>
      </c>
      <c r="CO5" t="s">
        <v>81</v>
      </c>
      <c r="CP5" t="s">
        <v>82</v>
      </c>
      <c r="CQ5" t="s">
        <v>83</v>
      </c>
      <c r="CR5" t="s">
        <v>84</v>
      </c>
      <c r="CS5" t="s">
        <v>85</v>
      </c>
      <c r="CT5" t="s">
        <v>86</v>
      </c>
      <c r="CU5" t="s">
        <v>87</v>
      </c>
      <c r="CV5" t="s">
        <v>88</v>
      </c>
      <c r="CW5" t="s">
        <v>89</v>
      </c>
      <c r="CX5" t="s">
        <v>90</v>
      </c>
      <c r="CY5" t="s">
        <v>91</v>
      </c>
      <c r="CZ5" t="s">
        <v>92</v>
      </c>
      <c r="DA5" t="s">
        <v>93</v>
      </c>
      <c r="DB5" t="s">
        <v>94</v>
      </c>
      <c r="DC5" t="s">
        <v>95</v>
      </c>
      <c r="DD5" t="s">
        <v>96</v>
      </c>
      <c r="DE5" t="s">
        <v>97</v>
      </c>
      <c r="DF5" t="s">
        <v>98</v>
      </c>
      <c r="DG5" t="s">
        <v>99</v>
      </c>
      <c r="DH5" t="s">
        <v>100</v>
      </c>
      <c r="DI5" t="s">
        <v>101</v>
      </c>
      <c r="DJ5" t="s">
        <v>102</v>
      </c>
      <c r="DK5" t="s">
        <v>103</v>
      </c>
      <c r="DL5" t="s">
        <v>104</v>
      </c>
      <c r="DM5" t="s">
        <v>105</v>
      </c>
      <c r="DN5" t="s">
        <v>106</v>
      </c>
    </row>
    <row r="6" spans="1:118" x14ac:dyDescent="0.25">
      <c r="A6">
        <v>0</v>
      </c>
      <c r="B6">
        <f>AB6</f>
        <v>-19.833506546880365</v>
      </c>
      <c r="C6">
        <f>AC6</f>
        <v>40.86965234584153</v>
      </c>
      <c r="D6">
        <f t="shared" ref="D6" si="0">3.14159265358/2-G6-H6</f>
        <v>0.53873992320006436</v>
      </c>
      <c r="E6">
        <f>3.1415926/2+L6-M6</f>
        <v>1.0188462087006105</v>
      </c>
      <c r="F6">
        <f>SQRT( C6*C6+(B6+$G$2)*(B6+$G$2)     )</f>
        <v>41.613607241982372</v>
      </c>
      <c r="G6">
        <f>ATAN2(  C6, -B6-$G$2)</f>
        <v>0.18937374386205114</v>
      </c>
      <c r="H6">
        <f xml:space="preserve"> ACOS((F6*F6+$C$2*$C$2-$E$2*$E$2)/(2*F6*$C$2))</f>
        <v>0.84268265972788459</v>
      </c>
      <c r="J6">
        <f>G6*180/3.1415926</f>
        <v>10.850316458973452</v>
      </c>
      <c r="K6">
        <f>H6*180/3.1415926</f>
        <v>48.282160694871514</v>
      </c>
      <c r="L6">
        <f>ACOS( ($C$2*$C$2+N6*N6-$E$2*$E$2)/(2*$C$2*N6))</f>
        <v>0.10979397390471868</v>
      </c>
      <c r="M6">
        <f>ATAN2(C6,-B6+$G$2)</f>
        <v>0.66174406520410833</v>
      </c>
      <c r="N6">
        <f>SQRT(C6*C6+(-B6+$G$2)*(-B6+$G$2))</f>
        <v>51.804445966926671</v>
      </c>
      <c r="O6">
        <f>L6*180/3.1415926</f>
        <v>6.2907314280181845</v>
      </c>
      <c r="P6">
        <f>M6*180/3.1415926</f>
        <v>37.915142700787968</v>
      </c>
      <c r="Q6" s="7">
        <f>D6*180/3.1415926</f>
        <v>30.867524381108989</v>
      </c>
      <c r="R6" s="7">
        <f>E6*180/3.1415926</f>
        <v>58.375588727230223</v>
      </c>
      <c r="S6">
        <f xml:space="preserve"> ((F6*F6+$C$2*$C$2-$E$2*$E$2)/(2*F6*$C$2))</f>
        <v>0.66546280237661015</v>
      </c>
      <c r="T6">
        <f>(Q6+36.7351)^2+(R6-62.206)^2</f>
        <v>4584.7868737318749</v>
      </c>
      <c r="U6" s="9">
        <v>-14</v>
      </c>
      <c r="V6">
        <v>60</v>
      </c>
      <c r="W6">
        <f t="shared" ref="W6:W69" si="1">3.14159265358/2-Z6-AA6</f>
        <v>0.53873992320194775</v>
      </c>
      <c r="X6">
        <f>3.1415926/2+AE6-AF6</f>
        <v>-58.429203700000002</v>
      </c>
      <c r="Y6">
        <f>SQRT( V6*V6+(U6+$G$2)*(U6+$G$2)     )</f>
        <v>60.033324079214538</v>
      </c>
      <c r="Z6">
        <f>ATAN2(  V6, -U6-$G$2)</f>
        <v>3.3320995878247196E-2</v>
      </c>
      <c r="AA6">
        <f xml:space="preserve"> ACOS((Y6*Y6+$C$2*$C$2-($E$2+$T$2)*($E$2+$T$2))/(2*Y6*$C$2))</f>
        <v>0.99873540770980507</v>
      </c>
      <c r="AB6">
        <f>-$G$2-$C$2*COS(W6)+(U6+$G$2+COS(W6)*$C$2)*$E$2/($E$2+$T$2)</f>
        <v>-19.833506546880365</v>
      </c>
      <c r="AC6">
        <f>$C$2*SIN(W6)+(V6-$C$2*SIN(W6))*$E$2/($T$2+$E$2)</f>
        <v>40.86965234584153</v>
      </c>
      <c r="AE6">
        <v>0</v>
      </c>
      <c r="AF6">
        <v>60</v>
      </c>
      <c r="AH6" s="1">
        <v>0</v>
      </c>
      <c r="AI6" s="1">
        <f>U6</f>
        <v>-14</v>
      </c>
      <c r="AJ6" s="1">
        <f>V6</f>
        <v>60</v>
      </c>
      <c r="AK6" s="2">
        <f>D6*180/3.1415926</f>
        <v>30.867524381108989</v>
      </c>
      <c r="AL6" s="2">
        <f>E6*180/3.1415926</f>
        <v>58.375588727230223</v>
      </c>
      <c r="AY6">
        <v>-19.833506546880365</v>
      </c>
      <c r="AZ6">
        <v>40.86965234584153</v>
      </c>
    </row>
    <row r="7" spans="1:118" x14ac:dyDescent="0.25">
      <c r="A7">
        <v>1</v>
      </c>
      <c r="B7">
        <f t="shared" ref="B7" si="2">AB7</f>
        <v>-18.245852614565919</v>
      </c>
      <c r="C7">
        <f t="shared" ref="C7" si="3">AC7</f>
        <v>41.113117984579134</v>
      </c>
      <c r="D7">
        <f t="shared" ref="D7" si="4">3.14159265358/2-G7-H7</f>
        <v>0.57603771242571422</v>
      </c>
      <c r="E7">
        <f t="shared" ref="E7" si="5">3.1415926/2+L7-M7</f>
        <v>1.1805950107560763</v>
      </c>
      <c r="F7">
        <f t="shared" ref="F7" si="6">SQRT( C7*C7+(B7+$G$2)*(B7+$G$2)     )</f>
        <v>41.584842735025511</v>
      </c>
      <c r="G7">
        <f t="shared" ref="G7" si="7">ATAN2(  C7, -B7-$G$2)</f>
        <v>0.1507659245910549</v>
      </c>
      <c r="H7">
        <f t="shared" ref="H7" si="8" xml:space="preserve"> ACOS((F7*F7+$C$2*$C$2-$E$2*$E$2)/(2*F7*$C$2))</f>
        <v>0.84399268977323094</v>
      </c>
      <c r="J7">
        <f t="shared" ref="J7" si="9">G7*180/3.1415926</f>
        <v>8.6382513208077576</v>
      </c>
      <c r="K7">
        <f t="shared" ref="K7" si="10">H7*180/3.1415926</f>
        <v>48.357219888785565</v>
      </c>
      <c r="L7">
        <f t="shared" ref="L7" si="11">ACOS( ($C$2*$C$2+N7*N7-$E$2*$E$2)/(2*$C$2*N7))</f>
        <v>0.24406796763478322</v>
      </c>
      <c r="M7">
        <f t="shared" ref="M7" si="12">ATAN2(C7,-B7+$G$2)</f>
        <v>0.63426925687870694</v>
      </c>
      <c r="N7">
        <f t="shared" ref="N7" si="13">SQRT(C7*C7+(-B7+$G$2)*(-B7+$G$2))</f>
        <v>51.040180943997136</v>
      </c>
      <c r="O7">
        <f t="shared" ref="O7" si="14">L7*180/3.1415926</f>
        <v>13.984064698351078</v>
      </c>
      <c r="P7">
        <f t="shared" ref="P7" si="15">M7*180/3.1415926</f>
        <v>36.340952113958778</v>
      </c>
      <c r="Q7" s="7">
        <f t="shared" ref="Q7" si="16">D7*180/3.1415926</f>
        <v>33.004530325360633</v>
      </c>
      <c r="R7" s="7">
        <f t="shared" ref="R7" si="17">E7*180/3.1415926</f>
        <v>67.643112584392298</v>
      </c>
      <c r="S7">
        <f t="shared" ref="S7" si="18" xml:space="preserve"> ((F7*F7+$C$2*$C$2-$E$2*$E$2)/(2*F7*$C$2))</f>
        <v>0.66448438457472381</v>
      </c>
      <c r="U7" s="9">
        <f>U6+$U$1</f>
        <v>-11.666666666666666</v>
      </c>
      <c r="V7">
        <v>60</v>
      </c>
      <c r="W7">
        <f t="shared" si="1"/>
        <v>0.57603771242759771</v>
      </c>
      <c r="X7">
        <f t="shared" ref="X7:X70" si="19">3.1415926/2+AE7-AF7</f>
        <v>-40.855610899361977</v>
      </c>
      <c r="Y7">
        <f t="shared" ref="Y7:Y70" si="20">SQRT( V7*V7+(U7+$G$2)*(U7+$G$2)     )</f>
        <v>60.000925918781547</v>
      </c>
      <c r="Z7">
        <f t="shared" ref="Z7:Z70" si="21">ATAN2(  V7, -U7-$G$2)</f>
        <v>-5.5554984006926317E-3</v>
      </c>
      <c r="AA7">
        <f t="shared" ref="AA7:AA70" si="22" xml:space="preserve"> ACOS((Y7*Y7+$C$2*$C$2-($E$2+$T$2)*($E$2+$T$2))/(2*Y7*$C$2))</f>
        <v>1.000314112763095</v>
      </c>
      <c r="AB7">
        <f t="shared" ref="AB7:AB70" si="23">-$G$2-$C$2*COS(W7)+(U7+$G$2+COS(W7)*$C$2)*$E$2/($E$2+$T$2)</f>
        <v>-18.245852614565919</v>
      </c>
      <c r="AC7">
        <f t="shared" ref="AC7:AC70" si="24">$C$2*SIN(W7)+(V7-$C$2*SIN(W7))*$E$2/($T$2+$E$2)</f>
        <v>41.113117984579134</v>
      </c>
      <c r="AE7">
        <v>15.529142447332418</v>
      </c>
      <c r="AF7">
        <v>57.955549646694394</v>
      </c>
      <c r="AH7" s="1">
        <v>1</v>
      </c>
      <c r="AI7" s="1">
        <f t="shared" ref="AI7:AJ22" si="25">U7</f>
        <v>-11.666666666666666</v>
      </c>
      <c r="AJ7" s="1">
        <f t="shared" si="25"/>
        <v>60</v>
      </c>
      <c r="AK7" s="2">
        <f t="shared" ref="AK7:AL22" si="26">D7*180/3.1415926</f>
        <v>33.004530325360633</v>
      </c>
      <c r="AL7" s="2">
        <f t="shared" si="26"/>
        <v>67.643112584392298</v>
      </c>
      <c r="AY7">
        <v>-18.245852614565919</v>
      </c>
      <c r="AZ7">
        <v>41.113117984579134</v>
      </c>
    </row>
    <row r="8" spans="1:118" x14ac:dyDescent="0.25">
      <c r="A8">
        <v>2</v>
      </c>
      <c r="B8">
        <f t="shared" ref="B8:B71" si="27">AB8</f>
        <v>-16.629666681765414</v>
      </c>
      <c r="C8">
        <f t="shared" ref="C8:C71" si="28">AC8</f>
        <v>41.378412536251915</v>
      </c>
      <c r="D8">
        <f t="shared" ref="D8:D71" si="29">3.14159265358/2-G8-H8</f>
        <v>0.61773916187261357</v>
      </c>
      <c r="E8">
        <f t="shared" ref="E8:E71" si="30">3.1415926/2+L8-M8</f>
        <v>1.2897465977066083</v>
      </c>
      <c r="F8">
        <f t="shared" ref="F8:F71" si="31">SQRT( C8*C8+(B8+$G$2)*(B8+$G$2)     )</f>
        <v>41.63660453980966</v>
      </c>
      <c r="G8">
        <f t="shared" ref="G8:G71" si="32">ATAN2(  C8, -B8-$G$2)</f>
        <v>0.11142263354356884</v>
      </c>
      <c r="H8">
        <f t="shared" ref="H8:H71" si="33" xml:space="preserve"> ACOS((F8*F8+$C$2*$C$2-$E$2*$E$2)/(2*F8*$C$2))</f>
        <v>0.84163453137381761</v>
      </c>
      <c r="J8">
        <f t="shared" ref="J8:J71" si="34">G8*180/3.1415926</f>
        <v>6.384046753179387</v>
      </c>
      <c r="K8">
        <f t="shared" ref="K8:K71" si="35">H8*180/3.1415926</f>
        <v>48.222107362771091</v>
      </c>
      <c r="L8">
        <f t="shared" ref="L8:L71" si="36">ACOS( ($C$2*$C$2+N8*N8-$E$2*$E$2)/(2*$C$2*N8))</f>
        <v>0.32421837794123687</v>
      </c>
      <c r="M8">
        <f t="shared" ref="M8:M71" si="37">ATAN2(C8,-B8+$G$2)</f>
        <v>0.60526808023462864</v>
      </c>
      <c r="N8">
        <f t="shared" ref="N8:N71" si="38">SQRT(C8*C8+(-B8+$G$2)*(-B8+$G$2))</f>
        <v>50.31730158036337</v>
      </c>
      <c r="O8">
        <f t="shared" ref="O8:O71" si="39">L8*180/3.1415926</f>
        <v>18.576345013488584</v>
      </c>
      <c r="P8">
        <f t="shared" ref="P8:P71" si="40">M8*180/3.1415926</f>
        <v>34.6793070629951</v>
      </c>
      <c r="Q8" s="7">
        <f t="shared" ref="Q8:Q71" si="41">D8*180/3.1415926</f>
        <v>35.393847419003485</v>
      </c>
      <c r="R8" s="7">
        <f t="shared" ref="R8:R71" si="42">E8*180/3.1415926</f>
        <v>73.897037950493484</v>
      </c>
      <c r="S8">
        <f t="shared" ref="S8:S71" si="43" xml:space="preserve"> ((F8*F8+$C$2*$C$2-$E$2*$E$2)/(2*F8*$C$2))</f>
        <v>0.66624479221377153</v>
      </c>
      <c r="U8" s="9">
        <f t="shared" ref="U8:U18" si="44">U7+$U$1</f>
        <v>-9.3333333333333321</v>
      </c>
      <c r="V8">
        <v>60</v>
      </c>
      <c r="W8">
        <f t="shared" si="1"/>
        <v>0.61773916187449696</v>
      </c>
      <c r="X8">
        <f t="shared" si="19"/>
        <v>-20.390728659116508</v>
      </c>
      <c r="Y8">
        <f t="shared" si="20"/>
        <v>60.059230024294443</v>
      </c>
      <c r="Z8">
        <f t="shared" si="21"/>
        <v>-4.4415215246910861E-2</v>
      </c>
      <c r="AA8">
        <f t="shared" si="22"/>
        <v>0.99747238016241391</v>
      </c>
      <c r="AB8">
        <f t="shared" si="23"/>
        <v>-16.629666681765414</v>
      </c>
      <c r="AC8">
        <f t="shared" si="24"/>
        <v>41.378412536251915</v>
      </c>
      <c r="AE8">
        <v>29.999999535898773</v>
      </c>
      <c r="AF8">
        <v>51.961524495015283</v>
      </c>
      <c r="AH8" s="1">
        <v>2</v>
      </c>
      <c r="AI8" s="1">
        <f t="shared" si="25"/>
        <v>-9.3333333333333321</v>
      </c>
      <c r="AJ8" s="1">
        <f t="shared" si="25"/>
        <v>60</v>
      </c>
      <c r="AK8" s="2">
        <f t="shared" si="26"/>
        <v>35.393847419003485</v>
      </c>
      <c r="AL8" s="2">
        <f t="shared" si="26"/>
        <v>73.897037950493484</v>
      </c>
      <c r="AY8">
        <v>-16.629666681765414</v>
      </c>
      <c r="AZ8">
        <v>41.378412536251915</v>
      </c>
    </row>
    <row r="9" spans="1:118" x14ac:dyDescent="0.25">
      <c r="A9">
        <v>3</v>
      </c>
      <c r="B9">
        <f t="shared" si="27"/>
        <v>-14.98231154257417</v>
      </c>
      <c r="C9">
        <f t="shared" si="28"/>
        <v>41.661987500311113</v>
      </c>
      <c r="D9">
        <f t="shared" si="29"/>
        <v>0.6637288878847063</v>
      </c>
      <c r="E9">
        <f t="shared" si="30"/>
        <v>1.38154388479821</v>
      </c>
      <c r="F9">
        <f t="shared" si="31"/>
        <v>41.768593280275198</v>
      </c>
      <c r="G9">
        <f t="shared" si="32"/>
        <v>7.1461620988210267E-2</v>
      </c>
      <c r="H9">
        <f t="shared" si="33"/>
        <v>0.83560581791708355</v>
      </c>
      <c r="J9">
        <f t="shared" si="34"/>
        <v>4.0944493496317271</v>
      </c>
      <c r="K9">
        <f t="shared" si="35"/>
        <v>47.87668751991427</v>
      </c>
      <c r="L9">
        <f t="shared" si="36"/>
        <v>0.38546774741335388</v>
      </c>
      <c r="M9">
        <f t="shared" si="37"/>
        <v>0.5747201626151438</v>
      </c>
      <c r="N9">
        <f t="shared" si="38"/>
        <v>49.636340907208407</v>
      </c>
      <c r="O9">
        <f t="shared" si="39"/>
        <v>22.085675441941042</v>
      </c>
      <c r="P9">
        <f t="shared" si="40"/>
        <v>32.929040280628961</v>
      </c>
      <c r="Q9" s="7">
        <f t="shared" si="41"/>
        <v>38.028864665407966</v>
      </c>
      <c r="R9" s="7">
        <f t="shared" si="42"/>
        <v>79.156635161312067</v>
      </c>
      <c r="S9">
        <f t="shared" si="43"/>
        <v>0.6707284688123849</v>
      </c>
      <c r="U9" s="9">
        <f t="shared" si="44"/>
        <v>-6.9999999999999982</v>
      </c>
      <c r="V9">
        <v>60</v>
      </c>
      <c r="W9">
        <f t="shared" si="1"/>
        <v>0.6637288878865899</v>
      </c>
      <c r="X9">
        <f t="shared" si="19"/>
        <v>1.5707951631888193</v>
      </c>
      <c r="Y9">
        <f t="shared" si="20"/>
        <v>60.207972893961475</v>
      </c>
      <c r="Z9">
        <f t="shared" si="21"/>
        <v>-8.3141231888441247E-2</v>
      </c>
      <c r="AA9">
        <f t="shared" si="22"/>
        <v>0.99020867079185138</v>
      </c>
      <c r="AB9">
        <f t="shared" si="23"/>
        <v>-14.98231154257417</v>
      </c>
      <c r="AC9">
        <f t="shared" si="24"/>
        <v>41.661987500311113</v>
      </c>
      <c r="AE9">
        <v>42.426406302787257</v>
      </c>
      <c r="AF9">
        <v>42.426407439598435</v>
      </c>
      <c r="AH9" s="1">
        <v>3</v>
      </c>
      <c r="AI9" s="1">
        <f t="shared" si="25"/>
        <v>-6.9999999999999982</v>
      </c>
      <c r="AJ9" s="1">
        <f t="shared" si="25"/>
        <v>60</v>
      </c>
      <c r="AK9" s="2">
        <f t="shared" si="26"/>
        <v>38.028864665407966</v>
      </c>
      <c r="AL9" s="2">
        <f t="shared" si="26"/>
        <v>79.156635161312067</v>
      </c>
      <c r="AY9">
        <v>-14.98231154257417</v>
      </c>
      <c r="AZ9">
        <v>41.661987500311113</v>
      </c>
    </row>
    <row r="10" spans="1:118" x14ac:dyDescent="0.25">
      <c r="A10">
        <v>4</v>
      </c>
      <c r="B10">
        <f t="shared" si="27"/>
        <v>-13.301143585556035</v>
      </c>
      <c r="C10">
        <f t="shared" si="28"/>
        <v>41.95988336128007</v>
      </c>
      <c r="D10">
        <f t="shared" si="29"/>
        <v>0.71389790863297775</v>
      </c>
      <c r="E10">
        <f t="shared" si="30"/>
        <v>1.4639162643980344</v>
      </c>
      <c r="F10">
        <f t="shared" si="31"/>
        <v>41.980052242969656</v>
      </c>
      <c r="G10">
        <f t="shared" si="32"/>
        <v>3.0999294420452843E-2</v>
      </c>
      <c r="H10">
        <f t="shared" si="33"/>
        <v>0.82589912373656937</v>
      </c>
      <c r="J10">
        <f t="shared" si="34"/>
        <v>1.7761287684728795</v>
      </c>
      <c r="K10">
        <f t="shared" si="35"/>
        <v>47.32053490085967</v>
      </c>
      <c r="L10">
        <f t="shared" si="36"/>
        <v>0.43573078634138684</v>
      </c>
      <c r="M10">
        <f t="shared" si="37"/>
        <v>0.54261082194335231</v>
      </c>
      <c r="N10">
        <f t="shared" si="38"/>
        <v>48.997751769128669</v>
      </c>
      <c r="O10">
        <f t="shared" si="39"/>
        <v>24.965535487144205</v>
      </c>
      <c r="P10">
        <f t="shared" si="40"/>
        <v>31.089310545805148</v>
      </c>
      <c r="Q10" s="7">
        <f t="shared" si="41"/>
        <v>40.903337865621403</v>
      </c>
      <c r="R10" s="7">
        <f t="shared" si="42"/>
        <v>83.876224941339046</v>
      </c>
      <c r="S10">
        <f t="shared" si="43"/>
        <v>0.67789624208548671</v>
      </c>
      <c r="U10" s="9">
        <f t="shared" si="44"/>
        <v>-4.6666666666666643</v>
      </c>
      <c r="V10">
        <v>60</v>
      </c>
      <c r="W10">
        <f t="shared" si="1"/>
        <v>0.71389790863486113</v>
      </c>
      <c r="X10">
        <f t="shared" si="19"/>
        <v>23.532319062965925</v>
      </c>
      <c r="Y10">
        <f t="shared" si="20"/>
        <v>60.44648689359687</v>
      </c>
      <c r="Z10">
        <f t="shared" si="21"/>
        <v>-0.12161902326134662</v>
      </c>
      <c r="AA10">
        <f t="shared" si="22"/>
        <v>0.97851744141648545</v>
      </c>
      <c r="AB10">
        <f t="shared" si="23"/>
        <v>-13.301143585556035</v>
      </c>
      <c r="AC10">
        <f t="shared" si="24"/>
        <v>41.95988336128007</v>
      </c>
      <c r="AE10">
        <v>51.961523691168374</v>
      </c>
      <c r="AF10">
        <v>30.000000928202446</v>
      </c>
      <c r="AH10" s="1">
        <v>4</v>
      </c>
      <c r="AI10" s="1">
        <f t="shared" si="25"/>
        <v>-4.6666666666666643</v>
      </c>
      <c r="AJ10" s="1">
        <f t="shared" si="25"/>
        <v>60</v>
      </c>
      <c r="AK10" s="2">
        <f t="shared" si="26"/>
        <v>40.903337865621403</v>
      </c>
      <c r="AL10" s="2">
        <f t="shared" si="26"/>
        <v>83.876224941339046</v>
      </c>
      <c r="AY10">
        <v>-13.301143585556035</v>
      </c>
      <c r="AZ10">
        <v>41.95988336128007</v>
      </c>
    </row>
    <row r="11" spans="1:118" x14ac:dyDescent="0.25">
      <c r="A11">
        <v>5</v>
      </c>
      <c r="B11">
        <f t="shared" si="27"/>
        <v>-11.583569246398675</v>
      </c>
      <c r="C11">
        <f t="shared" si="28"/>
        <v>42.267737438384209</v>
      </c>
      <c r="D11">
        <f t="shared" si="29"/>
        <v>0.76814993548851496</v>
      </c>
      <c r="E11">
        <f t="shared" si="30"/>
        <v>1.540233800276456</v>
      </c>
      <c r="F11">
        <f t="shared" si="31"/>
        <v>42.269788770855371</v>
      </c>
      <c r="G11">
        <f t="shared" si="32"/>
        <v>-9.8518942780663962E-3</v>
      </c>
      <c r="H11">
        <f t="shared" si="33"/>
        <v>0.81249828557955139</v>
      </c>
      <c r="J11">
        <f t="shared" si="34"/>
        <v>-0.56447197197114329</v>
      </c>
      <c r="K11">
        <f t="shared" si="35"/>
        <v>46.552723419427224</v>
      </c>
      <c r="L11">
        <f t="shared" si="36"/>
        <v>0.47836900612563893</v>
      </c>
      <c r="M11">
        <f t="shared" si="37"/>
        <v>0.5089315058491829</v>
      </c>
      <c r="N11">
        <f t="shared" si="38"/>
        <v>48.401925236088154</v>
      </c>
      <c r="O11">
        <f t="shared" si="39"/>
        <v>27.408525568405974</v>
      </c>
      <c r="P11">
        <f t="shared" si="40"/>
        <v>29.159627843805374</v>
      </c>
      <c r="Q11" s="7">
        <f t="shared" si="41"/>
        <v>44.011750087497873</v>
      </c>
      <c r="R11" s="7">
        <f t="shared" si="42"/>
        <v>88.248897724600596</v>
      </c>
      <c r="S11">
        <f t="shared" si="43"/>
        <v>0.68768680690357864</v>
      </c>
      <c r="U11" s="9">
        <f t="shared" si="44"/>
        <v>-2.3333333333333308</v>
      </c>
      <c r="V11">
        <v>60</v>
      </c>
      <c r="W11">
        <f t="shared" si="1"/>
        <v>0.76814993549039834</v>
      </c>
      <c r="X11">
        <f t="shared" si="19"/>
        <v>43.997201530347233</v>
      </c>
      <c r="Y11">
        <f t="shared" si="20"/>
        <v>60.773715078514364</v>
      </c>
      <c r="Z11">
        <f t="shared" si="21"/>
        <v>-0.15973845067091277</v>
      </c>
      <c r="AA11">
        <f t="shared" si="22"/>
        <v>0.96238484197051444</v>
      </c>
      <c r="AB11">
        <f t="shared" si="23"/>
        <v>-11.583569246398675</v>
      </c>
      <c r="AC11">
        <f t="shared" si="24"/>
        <v>42.267737438384209</v>
      </c>
      <c r="AE11">
        <v>57.955549230592602</v>
      </c>
      <c r="AF11">
        <v>15.529144000245365</v>
      </c>
      <c r="AH11" s="1">
        <v>5</v>
      </c>
      <c r="AI11" s="1">
        <f t="shared" si="25"/>
        <v>-2.3333333333333308</v>
      </c>
      <c r="AJ11" s="1">
        <f t="shared" si="25"/>
        <v>60</v>
      </c>
      <c r="AK11" s="2">
        <f t="shared" si="26"/>
        <v>44.011750087497873</v>
      </c>
      <c r="AL11" s="2">
        <f t="shared" si="26"/>
        <v>88.248897724600596</v>
      </c>
      <c r="AY11">
        <v>-11.583569246398675</v>
      </c>
      <c r="AZ11">
        <v>42.267737438384209</v>
      </c>
    </row>
    <row r="12" spans="1:118" x14ac:dyDescent="0.25">
      <c r="A12">
        <v>6</v>
      </c>
      <c r="B12">
        <f t="shared" si="27"/>
        <v>-9.8270793278644781</v>
      </c>
      <c r="C12">
        <f t="shared" si="28"/>
        <v>42.580800480926449</v>
      </c>
      <c r="D12">
        <f t="shared" si="29"/>
        <v>0.82641036226977682</v>
      </c>
      <c r="E12">
        <f t="shared" si="30"/>
        <v>1.6122931401232834</v>
      </c>
      <c r="F12">
        <f t="shared" si="31"/>
        <v>42.636207076191241</v>
      </c>
      <c r="G12">
        <f t="shared" si="32"/>
        <v>-5.0986299248864927E-2</v>
      </c>
      <c r="H12">
        <f t="shared" si="33"/>
        <v>0.79537226376908821</v>
      </c>
      <c r="J12">
        <f t="shared" si="34"/>
        <v>-2.9212998097830019</v>
      </c>
      <c r="K12">
        <f t="shared" si="35"/>
        <v>45.571474633100379</v>
      </c>
      <c r="L12">
        <f t="shared" si="36"/>
        <v>0.51517655871654733</v>
      </c>
      <c r="M12">
        <f t="shared" si="37"/>
        <v>0.47367971859326419</v>
      </c>
      <c r="N12">
        <f t="shared" si="38"/>
        <v>47.849200218826589</v>
      </c>
      <c r="O12">
        <f t="shared" si="39"/>
        <v>29.5174430220451</v>
      </c>
      <c r="P12">
        <f t="shared" si="40"/>
        <v>27.139849179294462</v>
      </c>
      <c r="Q12" s="7">
        <f t="shared" si="41"/>
        <v>47.349826711636581</v>
      </c>
      <c r="R12" s="7">
        <f t="shared" si="42"/>
        <v>92.377593842750656</v>
      </c>
      <c r="S12">
        <f t="shared" si="43"/>
        <v>0.70001897196814877</v>
      </c>
      <c r="U12" s="9">
        <f t="shared" si="44"/>
        <v>0</v>
      </c>
      <c r="V12">
        <v>60</v>
      </c>
      <c r="W12">
        <f t="shared" si="1"/>
        <v>0.8264103622716602</v>
      </c>
      <c r="X12">
        <f t="shared" si="19"/>
        <v>61.57079469230618</v>
      </c>
      <c r="Y12">
        <f t="shared" si="20"/>
        <v>61.188234163113421</v>
      </c>
      <c r="Z12">
        <f t="shared" si="21"/>
        <v>-0.19739555984988078</v>
      </c>
      <c r="AA12">
        <f t="shared" si="22"/>
        <v>0.94178152436822071</v>
      </c>
      <c r="AB12">
        <f t="shared" si="23"/>
        <v>-9.8270793278644781</v>
      </c>
      <c r="AC12">
        <f t="shared" si="24"/>
        <v>42.580800480926449</v>
      </c>
      <c r="AE12">
        <v>59.999999999999979</v>
      </c>
      <c r="AF12">
        <v>1.6076937967568483E-6</v>
      </c>
      <c r="AH12" s="1">
        <v>6</v>
      </c>
      <c r="AI12" s="1">
        <f t="shared" si="25"/>
        <v>0</v>
      </c>
      <c r="AJ12" s="1">
        <f t="shared" si="25"/>
        <v>60</v>
      </c>
      <c r="AK12" s="2">
        <f t="shared" si="26"/>
        <v>47.349826711636581</v>
      </c>
      <c r="AL12" s="2">
        <f t="shared" si="26"/>
        <v>92.377593842750656</v>
      </c>
      <c r="AY12">
        <v>-9.8270793278644781</v>
      </c>
      <c r="AZ12">
        <v>42.580800480926449</v>
      </c>
    </row>
    <row r="13" spans="1:118" x14ac:dyDescent="0.25">
      <c r="A13">
        <v>7</v>
      </c>
      <c r="B13">
        <f t="shared" si="27"/>
        <v>-8.029252658232803</v>
      </c>
      <c r="C13">
        <f t="shared" si="28"/>
        <v>42.89395394695736</v>
      </c>
      <c r="D13">
        <f t="shared" si="29"/>
        <v>0.88863838898402481</v>
      </c>
      <c r="E13">
        <f t="shared" si="30"/>
        <v>1.6811769575832156</v>
      </c>
      <c r="F13">
        <f t="shared" si="31"/>
        <v>43.077350425204315</v>
      </c>
      <c r="G13">
        <f t="shared" si="32"/>
        <v>-9.2308182938881336E-2</v>
      </c>
      <c r="H13">
        <f t="shared" si="33"/>
        <v>0.77446612074485666</v>
      </c>
      <c r="J13">
        <f t="shared" si="34"/>
        <v>-5.2888693871377983</v>
      </c>
      <c r="K13">
        <f t="shared" si="35"/>
        <v>44.373640851482207</v>
      </c>
      <c r="L13">
        <f t="shared" si="36"/>
        <v>0.54723894167935172</v>
      </c>
      <c r="M13">
        <f t="shared" si="37"/>
        <v>0.43685828409613631</v>
      </c>
      <c r="N13">
        <f t="shared" si="38"/>
        <v>47.33985896948812</v>
      </c>
      <c r="O13">
        <f t="shared" si="39"/>
        <v>31.354482278282454</v>
      </c>
      <c r="P13">
        <f t="shared" si="40"/>
        <v>25.030136351003797</v>
      </c>
      <c r="Q13" s="7">
        <f t="shared" si="41"/>
        <v>50.915230070609553</v>
      </c>
      <c r="R13" s="7">
        <f t="shared" si="42"/>
        <v>96.324345927278671</v>
      </c>
      <c r="S13">
        <f t="shared" si="43"/>
        <v>0.7147944961206425</v>
      </c>
      <c r="U13" s="9">
        <f t="shared" si="44"/>
        <v>2.3333333333333335</v>
      </c>
      <c r="V13">
        <v>60</v>
      </c>
      <c r="W13">
        <f t="shared" si="1"/>
        <v>0.88863838898590752</v>
      </c>
      <c r="X13">
        <f t="shared" si="19"/>
        <v>75.055487257215589</v>
      </c>
      <c r="Y13">
        <f t="shared" si="20"/>
        <v>61.688284499120613</v>
      </c>
      <c r="Z13">
        <f t="shared" si="21"/>
        <v>-0.2344941194010895</v>
      </c>
      <c r="AA13">
        <f t="shared" si="22"/>
        <v>0.91665205720518195</v>
      </c>
      <c r="AB13">
        <f t="shared" si="23"/>
        <v>-8.029252658232803</v>
      </c>
      <c r="AC13">
        <f t="shared" si="24"/>
        <v>42.89395394695736</v>
      </c>
      <c r="AE13">
        <v>57.955550062796135</v>
      </c>
      <c r="AF13">
        <v>-15.529140894419459</v>
      </c>
      <c r="AH13" s="1">
        <v>7</v>
      </c>
      <c r="AI13" s="1">
        <f t="shared" si="25"/>
        <v>2.3333333333333335</v>
      </c>
      <c r="AJ13" s="1">
        <f t="shared" si="25"/>
        <v>60</v>
      </c>
      <c r="AK13" s="2">
        <f t="shared" si="26"/>
        <v>50.915230070609553</v>
      </c>
      <c r="AL13" s="2">
        <f t="shared" si="26"/>
        <v>96.324345927278671</v>
      </c>
      <c r="AY13">
        <v>-8.029252658232803</v>
      </c>
      <c r="AZ13">
        <v>42.89395394695736</v>
      </c>
    </row>
    <row r="14" spans="1:118" x14ac:dyDescent="0.25">
      <c r="A14">
        <v>8</v>
      </c>
      <c r="B14">
        <f t="shared" si="27"/>
        <v>-6.1877185053343773</v>
      </c>
      <c r="C14">
        <f t="shared" si="28"/>
        <v>43.201716678801894</v>
      </c>
      <c r="D14">
        <f t="shared" si="29"/>
        <v>0.95484321191784993</v>
      </c>
      <c r="E14">
        <f t="shared" si="30"/>
        <v>1.7475912264018569</v>
      </c>
      <c r="F14">
        <f t="shared" si="31"/>
        <v>43.59095020951829</v>
      </c>
      <c r="G14">
        <f t="shared" si="32"/>
        <v>-0.13373517260148512</v>
      </c>
      <c r="H14">
        <f t="shared" si="33"/>
        <v>0.74968828747363514</v>
      </c>
      <c r="J14">
        <f t="shared" si="34"/>
        <v>-7.6624610932261934</v>
      </c>
      <c r="K14">
        <f t="shared" si="35"/>
        <v>42.953975555345501</v>
      </c>
      <c r="L14">
        <f t="shared" si="36"/>
        <v>0.57526864997918126</v>
      </c>
      <c r="M14">
        <f t="shared" si="37"/>
        <v>0.39847372357732463</v>
      </c>
      <c r="N14">
        <f t="shared" si="38"/>
        <v>46.8741018945937</v>
      </c>
      <c r="O14">
        <f t="shared" si="39"/>
        <v>32.960466292240639</v>
      </c>
      <c r="P14">
        <f t="shared" si="40"/>
        <v>22.830862997295839</v>
      </c>
      <c r="Q14" s="7">
        <f t="shared" si="41"/>
        <v>54.70848707283465</v>
      </c>
      <c r="R14" s="7">
        <f t="shared" si="42"/>
        <v>100.12960329494481</v>
      </c>
      <c r="S14">
        <f t="shared" si="43"/>
        <v>0.73190130866317094</v>
      </c>
      <c r="U14" s="9">
        <f t="shared" si="44"/>
        <v>4.666666666666667</v>
      </c>
      <c r="V14">
        <v>60</v>
      </c>
      <c r="W14">
        <f t="shared" si="1"/>
        <v>0.95484321191973287</v>
      </c>
      <c r="X14">
        <f t="shared" si="19"/>
        <v>83.532319742457247</v>
      </c>
      <c r="Y14">
        <f t="shared" si="20"/>
        <v>62.271805640898016</v>
      </c>
      <c r="Z14">
        <f t="shared" si="21"/>
        <v>-0.27094685033842053</v>
      </c>
      <c r="AA14">
        <f t="shared" si="22"/>
        <v>0.88689996520868764</v>
      </c>
      <c r="AB14">
        <f t="shared" si="23"/>
        <v>-6.1877185053343773</v>
      </c>
      <c r="AC14">
        <f t="shared" si="24"/>
        <v>43.201716678801894</v>
      </c>
      <c r="AE14">
        <v>51.961525298862163</v>
      </c>
      <c r="AF14">
        <v>-29.999998143595079</v>
      </c>
      <c r="AH14" s="1">
        <v>8</v>
      </c>
      <c r="AI14" s="1">
        <f t="shared" si="25"/>
        <v>4.666666666666667</v>
      </c>
      <c r="AJ14" s="1">
        <f t="shared" si="25"/>
        <v>60</v>
      </c>
      <c r="AK14" s="2">
        <f t="shared" si="26"/>
        <v>54.70848707283465</v>
      </c>
      <c r="AL14" s="2">
        <f t="shared" si="26"/>
        <v>100.12960329494481</v>
      </c>
      <c r="AY14">
        <v>-6.1877185053343773</v>
      </c>
      <c r="AZ14">
        <v>43.201716678801894</v>
      </c>
    </row>
    <row r="15" spans="1:118" x14ac:dyDescent="0.25">
      <c r="A15">
        <v>9</v>
      </c>
      <c r="B15">
        <f t="shared" si="27"/>
        <v>-4.3000630515963358</v>
      </c>
      <c r="C15">
        <f t="shared" si="28"/>
        <v>43.498225094514225</v>
      </c>
      <c r="D15">
        <f t="shared" si="29"/>
        <v>1.0251061023715176</v>
      </c>
      <c r="E15">
        <f t="shared" si="30"/>
        <v>1.8120262166894672</v>
      </c>
      <c r="F15">
        <f t="shared" si="31"/>
        <v>44.174479231592748</v>
      </c>
      <c r="G15">
        <f t="shared" si="32"/>
        <v>-0.17520231820207727</v>
      </c>
      <c r="H15">
        <f t="shared" si="33"/>
        <v>0.7208925426205598</v>
      </c>
      <c r="J15">
        <f t="shared" si="34"/>
        <v>-10.038353565122959</v>
      </c>
      <c r="K15">
        <f t="shared" si="35"/>
        <v>41.304100879184894</v>
      </c>
      <c r="L15">
        <f t="shared" si="36"/>
        <v>0.59976331260065507</v>
      </c>
      <c r="M15">
        <f t="shared" si="37"/>
        <v>0.35853339591118788</v>
      </c>
      <c r="N15">
        <f t="shared" si="38"/>
        <v>46.451992872847157</v>
      </c>
      <c r="O15">
        <f t="shared" si="39"/>
        <v>34.363907104988058</v>
      </c>
      <c r="P15">
        <f t="shared" si="40"/>
        <v>20.542450750620503</v>
      </c>
      <c r="Q15" s="7">
        <f t="shared" si="41"/>
        <v>58.734254220892034</v>
      </c>
      <c r="R15" s="7">
        <f t="shared" si="42"/>
        <v>103.82145635436756</v>
      </c>
      <c r="S15">
        <f t="shared" si="43"/>
        <v>0.75121690083960202</v>
      </c>
      <c r="U15" s="9">
        <f t="shared" si="44"/>
        <v>7</v>
      </c>
      <c r="V15">
        <v>60</v>
      </c>
      <c r="W15">
        <f t="shared" si="1"/>
        <v>1.0251061023734012</v>
      </c>
      <c r="X15">
        <f t="shared" si="19"/>
        <v>86.423610042385633</v>
      </c>
      <c r="Y15">
        <f t="shared" si="20"/>
        <v>62.936475910238251</v>
      </c>
      <c r="Z15">
        <f t="shared" si="21"/>
        <v>-0.30667631940168272</v>
      </c>
      <c r="AA15">
        <f t="shared" si="22"/>
        <v>0.8523665438182817</v>
      </c>
      <c r="AB15">
        <f t="shared" si="23"/>
        <v>-4.3000630515963358</v>
      </c>
      <c r="AC15">
        <f t="shared" si="24"/>
        <v>43.498225094514225</v>
      </c>
      <c r="AE15">
        <v>42.4264085764096</v>
      </c>
      <c r="AF15">
        <v>-42.426405165976036</v>
      </c>
      <c r="AH15" s="1">
        <v>9</v>
      </c>
      <c r="AI15" s="1">
        <f t="shared" si="25"/>
        <v>7</v>
      </c>
      <c r="AJ15" s="1">
        <f t="shared" si="25"/>
        <v>60</v>
      </c>
      <c r="AK15" s="2">
        <f t="shared" si="26"/>
        <v>58.734254220892034</v>
      </c>
      <c r="AL15" s="2">
        <f t="shared" si="26"/>
        <v>103.82145635436756</v>
      </c>
      <c r="AY15">
        <v>-4.3000630515963358</v>
      </c>
      <c r="AZ15">
        <v>43.498225094514225</v>
      </c>
    </row>
    <row r="16" spans="1:118" x14ac:dyDescent="0.25">
      <c r="A16">
        <v>10</v>
      </c>
      <c r="B16">
        <f t="shared" si="27"/>
        <v>-2.3636564525099644</v>
      </c>
      <c r="C16">
        <f t="shared" si="28"/>
        <v>43.777163319837754</v>
      </c>
      <c r="D16">
        <f t="shared" si="29"/>
        <v>1.0996118543652424</v>
      </c>
      <c r="E16">
        <f t="shared" si="30"/>
        <v>1.8748473041711931</v>
      </c>
      <c r="F16">
        <f t="shared" si="31"/>
        <v>44.825206583985768</v>
      </c>
      <c r="G16">
        <f t="shared" si="32"/>
        <v>-0.21666725376398527</v>
      </c>
      <c r="H16">
        <f t="shared" si="33"/>
        <v>0.68785172618874291</v>
      </c>
      <c r="J16">
        <f t="shared" si="34"/>
        <v>-12.414119411128402</v>
      </c>
      <c r="K16">
        <f t="shared" si="35"/>
        <v>39.411001513682493</v>
      </c>
      <c r="L16">
        <f t="shared" si="36"/>
        <v>0.62109180051808766</v>
      </c>
      <c r="M16">
        <f t="shared" si="37"/>
        <v>0.31704079634689464</v>
      </c>
      <c r="N16">
        <f t="shared" si="38"/>
        <v>46.073361663953712</v>
      </c>
      <c r="O16">
        <f t="shared" si="39"/>
        <v>35.585939466898346</v>
      </c>
      <c r="P16">
        <f t="shared" si="40"/>
        <v>18.165099874006909</v>
      </c>
      <c r="Q16" s="7">
        <f t="shared" si="41"/>
        <v>63.00311943239987</v>
      </c>
      <c r="R16" s="7">
        <f t="shared" si="42"/>
        <v>107.42083959289144</v>
      </c>
      <c r="S16">
        <f t="shared" si="43"/>
        <v>0.77261169042325861</v>
      </c>
      <c r="U16" s="9">
        <f t="shared" si="44"/>
        <v>9.3333333333333339</v>
      </c>
      <c r="V16">
        <v>60</v>
      </c>
      <c r="W16">
        <f t="shared" si="1"/>
        <v>1.0996118543671258</v>
      </c>
      <c r="X16">
        <f t="shared" si="19"/>
        <v>83.532321507827518</v>
      </c>
      <c r="Y16">
        <f t="shared" si="20"/>
        <v>63.679754326717621</v>
      </c>
      <c r="Z16">
        <f t="shared" si="21"/>
        <v>-0.34161549064780716</v>
      </c>
      <c r="AA16">
        <f t="shared" si="22"/>
        <v>0.81279996307068136</v>
      </c>
      <c r="AB16">
        <f t="shared" si="23"/>
        <v>-2.3636564525099644</v>
      </c>
      <c r="AC16">
        <f t="shared" si="24"/>
        <v>43.777163319837754</v>
      </c>
      <c r="AE16">
        <v>30.000002320506066</v>
      </c>
      <c r="AF16">
        <v>-51.961522887321451</v>
      </c>
      <c r="AH16" s="1">
        <v>10</v>
      </c>
      <c r="AI16" s="1">
        <f t="shared" si="25"/>
        <v>9.3333333333333339</v>
      </c>
      <c r="AJ16" s="1">
        <f t="shared" si="25"/>
        <v>60</v>
      </c>
      <c r="AK16" s="2">
        <f t="shared" si="26"/>
        <v>63.00311943239987</v>
      </c>
      <c r="AL16" s="2">
        <f t="shared" si="26"/>
        <v>107.42083959289144</v>
      </c>
      <c r="AY16">
        <v>-2.3636564525099644</v>
      </c>
      <c r="AZ16">
        <v>43.777163319837754</v>
      </c>
    </row>
    <row r="17" spans="1:54" x14ac:dyDescent="0.25">
      <c r="A17">
        <v>11</v>
      </c>
      <c r="B17">
        <f t="shared" si="27"/>
        <v>-0.37535794962416702</v>
      </c>
      <c r="C17">
        <f t="shared" si="28"/>
        <v>44.0316048664262</v>
      </c>
      <c r="D17">
        <f t="shared" si="29"/>
        <v>1.1786963458618134</v>
      </c>
      <c r="E17">
        <f t="shared" si="30"/>
        <v>1.936357007113513</v>
      </c>
      <c r="F17">
        <f t="shared" si="31"/>
        <v>45.540251755040323</v>
      </c>
      <c r="G17">
        <f t="shared" si="32"/>
        <v>-0.25811745104146988</v>
      </c>
      <c r="H17">
        <f t="shared" si="33"/>
        <v>0.65021743196965665</v>
      </c>
      <c r="J17">
        <f t="shared" si="34"/>
        <v>-14.789040815624718</v>
      </c>
      <c r="K17">
        <f t="shared" si="35"/>
        <v>37.254715253192984</v>
      </c>
      <c r="L17">
        <f t="shared" si="36"/>
        <v>0.63954860595853813</v>
      </c>
      <c r="M17">
        <f t="shared" si="37"/>
        <v>0.273987898845025</v>
      </c>
      <c r="N17">
        <f t="shared" si="38"/>
        <v>45.737639986059769</v>
      </c>
      <c r="O17">
        <f t="shared" si="39"/>
        <v>36.643436539969201</v>
      </c>
      <c r="P17">
        <f t="shared" si="40"/>
        <v>15.698350509262246</v>
      </c>
      <c r="Q17" s="7">
        <f t="shared" si="41"/>
        <v>67.534327097385699</v>
      </c>
      <c r="R17" s="7">
        <f t="shared" si="42"/>
        <v>110.94508603070696</v>
      </c>
      <c r="S17">
        <f t="shared" si="43"/>
        <v>0.79595219285979202</v>
      </c>
      <c r="U17" s="9">
        <f t="shared" si="44"/>
        <v>11.666666666666668</v>
      </c>
      <c r="V17">
        <v>60</v>
      </c>
      <c r="W17">
        <f t="shared" si="1"/>
        <v>1.1786963458636968</v>
      </c>
      <c r="X17">
        <f t="shared" si="19"/>
        <v>75.055490667649082</v>
      </c>
      <c r="Y17">
        <f t="shared" si="20"/>
        <v>64.498923332960459</v>
      </c>
      <c r="Z17">
        <f t="shared" si="21"/>
        <v>-0.37570794944912655</v>
      </c>
      <c r="AA17">
        <f t="shared" si="22"/>
        <v>0.76780793037542994</v>
      </c>
      <c r="AB17">
        <f t="shared" si="23"/>
        <v>-0.37535794962416702</v>
      </c>
      <c r="AC17">
        <f t="shared" si="24"/>
        <v>44.0316048664262</v>
      </c>
      <c r="AE17">
        <v>15.529145553158294</v>
      </c>
      <c r="AF17">
        <v>-57.955548814490783</v>
      </c>
      <c r="AH17" s="1">
        <v>11</v>
      </c>
      <c r="AI17" s="1">
        <f t="shared" si="25"/>
        <v>11.666666666666668</v>
      </c>
      <c r="AJ17" s="1">
        <f t="shared" si="25"/>
        <v>60</v>
      </c>
      <c r="AK17" s="2">
        <f t="shared" si="26"/>
        <v>67.534327097385699</v>
      </c>
      <c r="AL17" s="2">
        <f t="shared" si="26"/>
        <v>110.94508603070696</v>
      </c>
      <c r="AY17">
        <v>-0.37535794962416702</v>
      </c>
      <c r="AZ17">
        <v>44.0316048664262</v>
      </c>
    </row>
    <row r="18" spans="1:54" x14ac:dyDescent="0.25">
      <c r="A18">
        <v>12</v>
      </c>
      <c r="B18">
        <f t="shared" si="27"/>
        <v>-3.0678010204149508</v>
      </c>
      <c r="C18">
        <f t="shared" si="28"/>
        <v>24.57454229643842</v>
      </c>
      <c r="D18">
        <f t="shared" si="29"/>
        <v>0.40573097784765988</v>
      </c>
      <c r="E18">
        <f t="shared" si="30"/>
        <v>2.4111062793175289</v>
      </c>
      <c r="F18">
        <f t="shared" si="31"/>
        <v>26.147510544798354</v>
      </c>
      <c r="G18">
        <f t="shared" si="32"/>
        <v>-0.34862729965304989</v>
      </c>
      <c r="H18">
        <f t="shared" si="33"/>
        <v>1.5136926485953901</v>
      </c>
      <c r="J18">
        <f t="shared" si="34"/>
        <v>-19.974873233897032</v>
      </c>
      <c r="K18">
        <f t="shared" si="35"/>
        <v>86.728201723918701</v>
      </c>
      <c r="L18">
        <f t="shared" si="36"/>
        <v>1.3903401758002365</v>
      </c>
      <c r="M18">
        <f t="shared" si="37"/>
        <v>0.55003019648270746</v>
      </c>
      <c r="N18">
        <f t="shared" si="38"/>
        <v>28.826147100683759</v>
      </c>
      <c r="O18">
        <f t="shared" si="39"/>
        <v>79.660625519694236</v>
      </c>
      <c r="P18">
        <f t="shared" si="40"/>
        <v>31.51440940078842</v>
      </c>
      <c r="Q18" s="7">
        <f t="shared" si="41"/>
        <v>23.246673044932301</v>
      </c>
      <c r="R18" s="7">
        <f t="shared" si="42"/>
        <v>138.14621611890581</v>
      </c>
      <c r="S18">
        <f t="shared" si="43"/>
        <v>5.7072649027209363E-2</v>
      </c>
      <c r="U18" s="9">
        <f t="shared" si="44"/>
        <v>14.000000000000002</v>
      </c>
      <c r="V18">
        <v>35</v>
      </c>
      <c r="W18">
        <f t="shared" si="1"/>
        <v>0.40573097784954282</v>
      </c>
      <c r="X18">
        <f t="shared" si="19"/>
        <v>61.570799515387513</v>
      </c>
      <c r="Y18">
        <f t="shared" si="20"/>
        <v>43.600458713183279</v>
      </c>
      <c r="Z18">
        <f t="shared" si="21"/>
        <v>-0.63891398500388707</v>
      </c>
      <c r="AA18">
        <f t="shared" si="22"/>
        <v>1.8039793339443442</v>
      </c>
      <c r="AB18">
        <f t="shared" si="23"/>
        <v>-3.0678010204149508</v>
      </c>
      <c r="AC18">
        <f t="shared" si="24"/>
        <v>24.57454229643842</v>
      </c>
      <c r="AE18">
        <v>3.2153875902064446E-6</v>
      </c>
      <c r="AF18">
        <v>-59.999999999999922</v>
      </c>
      <c r="AH18" s="1">
        <v>12</v>
      </c>
      <c r="AI18" s="1">
        <f t="shared" si="25"/>
        <v>14.000000000000002</v>
      </c>
      <c r="AJ18" s="1">
        <f t="shared" si="25"/>
        <v>35</v>
      </c>
      <c r="AK18" s="2">
        <f t="shared" si="26"/>
        <v>23.246673044932301</v>
      </c>
      <c r="AL18" s="2">
        <f t="shared" si="26"/>
        <v>138.14621611890581</v>
      </c>
      <c r="AY18">
        <v>-3.0678010204149508</v>
      </c>
      <c r="AZ18">
        <v>24.57454229643842</v>
      </c>
    </row>
    <row r="19" spans="1:54" x14ac:dyDescent="0.25">
      <c r="A19">
        <v>13</v>
      </c>
      <c r="B19">
        <f t="shared" si="27"/>
        <v>5.8156608222448263</v>
      </c>
      <c r="C19">
        <f t="shared" si="28"/>
        <v>24.346582421735683</v>
      </c>
      <c r="D19">
        <f t="shared" si="29"/>
        <v>0.87112784450651093</v>
      </c>
      <c r="E19">
        <f t="shared" si="30"/>
        <v>2.8858721595467869</v>
      </c>
      <c r="F19">
        <f t="shared" si="31"/>
        <v>30.168756125363178</v>
      </c>
      <c r="G19">
        <f t="shared" si="32"/>
        <v>-0.63171974744057791</v>
      </c>
      <c r="H19">
        <f t="shared" si="33"/>
        <v>1.3313882297240669</v>
      </c>
      <c r="J19">
        <f t="shared" si="34"/>
        <v>-36.194875980833423</v>
      </c>
      <c r="K19">
        <f t="shared" si="35"/>
        <v>76.282927757829597</v>
      </c>
      <c r="L19">
        <f t="shared" si="36"/>
        <v>1.5638275255833647</v>
      </c>
      <c r="M19">
        <f t="shared" si="37"/>
        <v>0.24875166603657772</v>
      </c>
      <c r="N19">
        <f t="shared" si="38"/>
        <v>25.119755705099653</v>
      </c>
      <c r="O19">
        <f t="shared" si="39"/>
        <v>89.600718630737049</v>
      </c>
      <c r="P19">
        <f t="shared" si="40"/>
        <v>14.252420853863732</v>
      </c>
      <c r="Q19" s="7">
        <f t="shared" si="41"/>
        <v>49.911949757957785</v>
      </c>
      <c r="R19" s="7">
        <f t="shared" si="42"/>
        <v>165.3482977768733</v>
      </c>
      <c r="S19">
        <f t="shared" si="43"/>
        <v>0.23712764702873013</v>
      </c>
      <c r="U19" s="4">
        <v>25</v>
      </c>
      <c r="V19">
        <v>30</v>
      </c>
      <c r="W19">
        <f t="shared" si="1"/>
        <v>0.87112784450839453</v>
      </c>
      <c r="X19">
        <f t="shared" si="19"/>
        <v>61.570799515387513</v>
      </c>
      <c r="Y19">
        <f t="shared" si="20"/>
        <v>47.634021455258214</v>
      </c>
      <c r="Z19">
        <f t="shared" si="21"/>
        <v>-0.88949810150704767</v>
      </c>
      <c r="AA19">
        <f t="shared" si="22"/>
        <v>1.5891665837886533</v>
      </c>
      <c r="AB19">
        <f t="shared" si="23"/>
        <v>5.8156608222448263</v>
      </c>
      <c r="AC19">
        <f t="shared" si="24"/>
        <v>24.346582421735683</v>
      </c>
      <c r="AE19">
        <v>3.2153875902064446E-6</v>
      </c>
      <c r="AF19">
        <v>-59.999999999999922</v>
      </c>
      <c r="AH19" s="1">
        <v>13</v>
      </c>
      <c r="AI19" s="1">
        <f t="shared" si="25"/>
        <v>25</v>
      </c>
      <c r="AJ19" s="1">
        <f t="shared" si="25"/>
        <v>30</v>
      </c>
      <c r="AK19" s="2">
        <f t="shared" si="26"/>
        <v>49.911949757957785</v>
      </c>
      <c r="AL19" s="2">
        <f t="shared" si="26"/>
        <v>165.3482977768733</v>
      </c>
      <c r="AY19">
        <v>5.8156608222448263</v>
      </c>
      <c r="AZ19">
        <v>24.346582421735683</v>
      </c>
    </row>
    <row r="20" spans="1:54" x14ac:dyDescent="0.25">
      <c r="A20">
        <v>14</v>
      </c>
      <c r="B20">
        <f t="shared" si="27"/>
        <v>-8.9906603193697858</v>
      </c>
      <c r="C20">
        <f t="shared" si="28"/>
        <v>12.134725666200417</v>
      </c>
      <c r="D20">
        <f t="shared" si="29"/>
        <v>-0.96576743264968279</v>
      </c>
      <c r="E20">
        <f t="shared" si="30"/>
        <v>2.1322315109567458</v>
      </c>
      <c r="F20">
        <f t="shared" si="31"/>
        <v>12.502307479315917</v>
      </c>
      <c r="G20">
        <f t="shared" si="32"/>
        <v>-0.24308981447837966</v>
      </c>
      <c r="H20">
        <f t="shared" si="33"/>
        <v>2.7796535739180626</v>
      </c>
      <c r="J20">
        <f t="shared" si="34"/>
        <v>-13.928020649815744</v>
      </c>
      <c r="K20">
        <f t="shared" si="35"/>
        <v>159.26242101068459</v>
      </c>
      <c r="L20">
        <f t="shared" si="36"/>
        <v>1.6080697562181721</v>
      </c>
      <c r="M20">
        <f t="shared" si="37"/>
        <v>1.0466345452614263</v>
      </c>
      <c r="N20">
        <f t="shared" si="38"/>
        <v>24.245811754550694</v>
      </c>
      <c r="O20">
        <f t="shared" si="39"/>
        <v>92.135611765596522</v>
      </c>
      <c r="P20">
        <f t="shared" si="40"/>
        <v>59.967743159013274</v>
      </c>
      <c r="Q20" s="7">
        <f t="shared" si="41"/>
        <v>-55.334398825914889</v>
      </c>
      <c r="R20" s="7">
        <f t="shared" si="42"/>
        <v>122.16786860658324</v>
      </c>
      <c r="S20">
        <f t="shared" si="43"/>
        <v>-0.93521197680188517</v>
      </c>
      <c r="U20" s="4">
        <v>0</v>
      </c>
      <c r="V20">
        <v>30</v>
      </c>
      <c r="W20">
        <f t="shared" si="1"/>
        <v>-0.96576743264779896</v>
      </c>
      <c r="X20">
        <f t="shared" si="19"/>
        <v>61.570799515387513</v>
      </c>
      <c r="Y20">
        <f t="shared" si="20"/>
        <v>32.310988842807021</v>
      </c>
      <c r="Z20">
        <f t="shared" si="21"/>
        <v>-0.3805063771123649</v>
      </c>
      <c r="AA20">
        <f t="shared" si="22"/>
        <v>2.9170701365501639</v>
      </c>
      <c r="AB20">
        <f t="shared" si="23"/>
        <v>-8.9906603193697858</v>
      </c>
      <c r="AC20">
        <f t="shared" si="24"/>
        <v>12.134725666200417</v>
      </c>
      <c r="AE20">
        <v>3.2153875902064446E-6</v>
      </c>
      <c r="AF20">
        <v>-59.999999999999922</v>
      </c>
      <c r="AH20" s="1">
        <v>14</v>
      </c>
      <c r="AI20" s="1">
        <f t="shared" si="25"/>
        <v>0</v>
      </c>
      <c r="AJ20" s="1">
        <f t="shared" si="25"/>
        <v>30</v>
      </c>
      <c r="AK20" s="2">
        <f t="shared" si="26"/>
        <v>-55.334398825914889</v>
      </c>
      <c r="AL20" s="2">
        <f t="shared" si="26"/>
        <v>122.16786860658324</v>
      </c>
      <c r="AY20">
        <v>-8.9906603193697858</v>
      </c>
      <c r="AZ20">
        <v>12.134725666200417</v>
      </c>
    </row>
    <row r="21" spans="1:54" x14ac:dyDescent="0.25">
      <c r="A21">
        <v>15</v>
      </c>
      <c r="B21">
        <f t="shared" si="27"/>
        <v>-19.434156555154736</v>
      </c>
      <c r="C21">
        <f t="shared" si="28"/>
        <v>10.790070620957902</v>
      </c>
      <c r="D21">
        <f t="shared" si="29"/>
        <v>-1.6444224754907246</v>
      </c>
      <c r="E21">
        <f>2</f>
        <v>2</v>
      </c>
      <c r="F21">
        <f t="shared" si="31"/>
        <v>13.103141138361021</v>
      </c>
      <c r="G21">
        <f t="shared" si="32"/>
        <v>0.60329249954269948</v>
      </c>
      <c r="H21">
        <f t="shared" si="33"/>
        <v>2.6119263027380253</v>
      </c>
      <c r="J21">
        <f t="shared" si="34"/>
        <v>34.56611462532917</v>
      </c>
      <c r="K21">
        <f t="shared" si="35"/>
        <v>149.65235609889217</v>
      </c>
      <c r="L21">
        <f t="shared" si="36"/>
        <v>1.2009516080565894</v>
      </c>
      <c r="M21">
        <f t="shared" si="37"/>
        <v>1.2401390455013515</v>
      </c>
      <c r="N21">
        <f t="shared" si="38"/>
        <v>33.234497473848407</v>
      </c>
      <c r="O21">
        <f t="shared" si="39"/>
        <v>68.809459714854839</v>
      </c>
      <c r="P21">
        <f t="shared" si="40"/>
        <v>71.054734528672896</v>
      </c>
      <c r="Q21" s="7">
        <f t="shared" si="41"/>
        <v>-94.218469189267395</v>
      </c>
      <c r="R21" s="7">
        <f t="shared" si="42"/>
        <v>114.59156098088593</v>
      </c>
      <c r="S21">
        <f t="shared" si="43"/>
        <v>-0.86297569325572976</v>
      </c>
      <c r="U21" s="4">
        <v>-25</v>
      </c>
      <c r="V21">
        <v>30</v>
      </c>
      <c r="W21">
        <f t="shared" si="1"/>
        <v>-1.6444224754888412</v>
      </c>
      <c r="X21">
        <f t="shared" si="19"/>
        <v>61.570799515387513</v>
      </c>
      <c r="Y21">
        <f t="shared" si="20"/>
        <v>32.695565448543633</v>
      </c>
      <c r="Z21">
        <f t="shared" si="21"/>
        <v>0.40890782895092542</v>
      </c>
      <c r="AA21">
        <f t="shared" si="22"/>
        <v>2.8063109733279159</v>
      </c>
      <c r="AB21">
        <f t="shared" si="23"/>
        <v>-19.434156555154736</v>
      </c>
      <c r="AC21">
        <f t="shared" si="24"/>
        <v>10.790070620957902</v>
      </c>
      <c r="AE21">
        <v>3.2153875902064446E-6</v>
      </c>
      <c r="AF21">
        <v>-59.999999999999922</v>
      </c>
      <c r="AH21" s="1">
        <v>15</v>
      </c>
      <c r="AI21" s="1">
        <f t="shared" si="25"/>
        <v>-25</v>
      </c>
      <c r="AJ21" s="1">
        <f t="shared" si="25"/>
        <v>30</v>
      </c>
      <c r="AK21" s="2">
        <f t="shared" si="26"/>
        <v>-94.218469189267395</v>
      </c>
      <c r="AL21" s="2">
        <f t="shared" si="26"/>
        <v>114.59156098088593</v>
      </c>
      <c r="AY21">
        <v>-19.434156555154736</v>
      </c>
      <c r="AZ21">
        <v>10.790070620957902</v>
      </c>
    </row>
    <row r="22" spans="1:54" x14ac:dyDescent="0.25">
      <c r="A22">
        <v>16</v>
      </c>
      <c r="B22">
        <f t="shared" si="27"/>
        <v>-27.392409660360013</v>
      </c>
      <c r="C22">
        <f t="shared" si="28"/>
        <v>15.170716790019444</v>
      </c>
      <c r="D22">
        <f t="shared" si="29"/>
        <v>-0.9751870092294127</v>
      </c>
      <c r="E22">
        <f t="shared" si="30"/>
        <v>1.1827593655929221</v>
      </c>
      <c r="F22">
        <f t="shared" si="31"/>
        <v>21.611962499396533</v>
      </c>
      <c r="G22">
        <f t="shared" si="32"/>
        <v>0.7926516419548465</v>
      </c>
      <c r="H22">
        <f t="shared" si="33"/>
        <v>1.7533316940645662</v>
      </c>
      <c r="J22">
        <f t="shared" si="34"/>
        <v>45.415594482834074</v>
      </c>
      <c r="K22">
        <f t="shared" si="35"/>
        <v>100.4585078700599</v>
      </c>
      <c r="L22">
        <f t="shared" si="36"/>
        <v>0.81514799108294167</v>
      </c>
      <c r="M22">
        <f t="shared" si="37"/>
        <v>1.2031849254900195</v>
      </c>
      <c r="N22">
        <f t="shared" si="38"/>
        <v>42.212706461119062</v>
      </c>
      <c r="O22">
        <f t="shared" si="39"/>
        <v>46.704540364313786</v>
      </c>
      <c r="P22">
        <f t="shared" si="40"/>
        <v>68.937419380286144</v>
      </c>
      <c r="Q22">
        <f t="shared" si="41"/>
        <v>-55.874100817940004</v>
      </c>
      <c r="R22">
        <f t="shared" si="42"/>
        <v>67.767120984027642</v>
      </c>
      <c r="S22">
        <f t="shared" si="43"/>
        <v>-0.18152340044206963</v>
      </c>
      <c r="U22" s="4">
        <v>-30</v>
      </c>
      <c r="V22">
        <v>35</v>
      </c>
      <c r="W22">
        <f t="shared" si="1"/>
        <v>-0.97518700922752943</v>
      </c>
      <c r="X22">
        <f t="shared" si="19"/>
        <v>61.570799515387513</v>
      </c>
      <c r="Y22">
        <f t="shared" si="20"/>
        <v>39.357337308308857</v>
      </c>
      <c r="Z22">
        <f t="shared" si="21"/>
        <v>0.47501075626509681</v>
      </c>
      <c r="AA22">
        <f t="shared" si="22"/>
        <v>2.0709725797524325</v>
      </c>
      <c r="AB22">
        <f t="shared" si="23"/>
        <v>-27.392409660360013</v>
      </c>
      <c r="AC22">
        <f t="shared" si="24"/>
        <v>15.170716790019444</v>
      </c>
      <c r="AE22">
        <v>3.2153875902064446E-6</v>
      </c>
      <c r="AF22">
        <v>-59.999999999999922</v>
      </c>
      <c r="AH22" s="1">
        <v>16</v>
      </c>
      <c r="AI22" s="1">
        <f t="shared" si="25"/>
        <v>-30</v>
      </c>
      <c r="AJ22" s="1">
        <f t="shared" si="25"/>
        <v>35</v>
      </c>
      <c r="AK22" s="2">
        <f t="shared" si="26"/>
        <v>-55.874100817940004</v>
      </c>
      <c r="AL22" s="2">
        <f t="shared" si="26"/>
        <v>67.767120984027642</v>
      </c>
      <c r="AY22">
        <v>-12</v>
      </c>
      <c r="BA22">
        <v>0</v>
      </c>
    </row>
    <row r="23" spans="1:54" x14ac:dyDescent="0.25">
      <c r="A23">
        <v>17</v>
      </c>
      <c r="B23">
        <f t="shared" si="27"/>
        <v>-27.795181452342817</v>
      </c>
      <c r="C23">
        <f t="shared" si="28"/>
        <v>20.000412905485721</v>
      </c>
      <c r="D23">
        <f t="shared" si="29"/>
        <v>-0.64343401334186279</v>
      </c>
      <c r="E23">
        <f t="shared" si="30"/>
        <v>1.1682548223731064</v>
      </c>
      <c r="F23">
        <f t="shared" si="31"/>
        <v>25.485373717141254</v>
      </c>
      <c r="G23">
        <f t="shared" si="32"/>
        <v>0.66845516387230752</v>
      </c>
      <c r="H23">
        <f t="shared" si="33"/>
        <v>1.5457751762595553</v>
      </c>
      <c r="J23">
        <f t="shared" si="34"/>
        <v>38.299660336930813</v>
      </c>
      <c r="K23">
        <f t="shared" si="35"/>
        <v>88.566395186543275</v>
      </c>
      <c r="L23">
        <f t="shared" si="36"/>
        <v>0.7025423494714278</v>
      </c>
      <c r="M23">
        <f t="shared" si="37"/>
        <v>1.1050838270983212</v>
      </c>
      <c r="N23">
        <f t="shared" si="38"/>
        <v>44.538443879583511</v>
      </c>
      <c r="O23">
        <f t="shared" si="39"/>
        <v>40.252712240554999</v>
      </c>
      <c r="P23">
        <f t="shared" si="40"/>
        <v>63.316640380964046</v>
      </c>
      <c r="Q23">
        <f t="shared" si="41"/>
        <v>-36.866053988520122</v>
      </c>
      <c r="R23">
        <f t="shared" si="42"/>
        <v>66.936071859590939</v>
      </c>
      <c r="S23">
        <f t="shared" si="43"/>
        <v>2.501853983526266E-2</v>
      </c>
      <c r="U23" s="4">
        <f t="shared" ref="U23:U65" si="45">U22+$U$1</f>
        <v>-27.666666666666668</v>
      </c>
      <c r="V23">
        <v>40</v>
      </c>
      <c r="W23">
        <f t="shared" si="1"/>
        <v>-0.6434340133399794</v>
      </c>
      <c r="X23">
        <f t="shared" si="19"/>
        <v>61.570799515387513</v>
      </c>
      <c r="Y23">
        <f t="shared" si="20"/>
        <v>42.958636436046767</v>
      </c>
      <c r="Z23">
        <f t="shared" si="21"/>
        <v>0.37330189081265902</v>
      </c>
      <c r="AA23">
        <f t="shared" si="22"/>
        <v>1.8409284493173204</v>
      </c>
      <c r="AB23">
        <f t="shared" si="23"/>
        <v>-27.795181452342817</v>
      </c>
      <c r="AC23">
        <f t="shared" si="24"/>
        <v>20.000412905485721</v>
      </c>
      <c r="AE23">
        <v>3.2153875902064446E-6</v>
      </c>
      <c r="AF23">
        <v>-59.999999999999922</v>
      </c>
      <c r="AH23" s="1">
        <v>17</v>
      </c>
      <c r="AI23" s="1">
        <f t="shared" ref="AI23:AJ38" si="46">U23</f>
        <v>-27.666666666666668</v>
      </c>
      <c r="AJ23" s="1">
        <f t="shared" si="46"/>
        <v>40</v>
      </c>
      <c r="AK23" s="2">
        <f t="shared" ref="AK23:AL38" si="47">D23*180/3.1415926</f>
        <v>-36.866053988520122</v>
      </c>
      <c r="AL23" s="2">
        <f t="shared" si="47"/>
        <v>66.936071859590939</v>
      </c>
      <c r="AY23">
        <v>-29.167117021908272</v>
      </c>
      <c r="BA23">
        <v>10.261096099155651</v>
      </c>
    </row>
    <row r="24" spans="1:54" x14ac:dyDescent="0.25">
      <c r="A24">
        <v>18</v>
      </c>
      <c r="B24">
        <f t="shared" si="27"/>
        <v>-26.379411318027088</v>
      </c>
      <c r="C24">
        <f t="shared" si="28"/>
        <v>20.027375714466071</v>
      </c>
      <c r="D24">
        <f t="shared" si="29"/>
        <v>-0.63905993708498143</v>
      </c>
      <c r="E24">
        <f t="shared" si="30"/>
        <v>1.2451944703028111</v>
      </c>
      <c r="F24">
        <f t="shared" si="31"/>
        <v>24.654882840147323</v>
      </c>
      <c r="G24">
        <f t="shared" si="32"/>
        <v>0.62269657369048503</v>
      </c>
      <c r="H24">
        <f t="shared" si="33"/>
        <v>1.5871596901844964</v>
      </c>
      <c r="J24">
        <f t="shared" si="34"/>
        <v>35.677886198320969</v>
      </c>
      <c r="K24">
        <f t="shared" si="35"/>
        <v>90.937553212090378</v>
      </c>
      <c r="L24">
        <f t="shared" si="36"/>
        <v>0.7642389160458688</v>
      </c>
      <c r="M24">
        <f t="shared" si="37"/>
        <v>1.0898407457430577</v>
      </c>
      <c r="N24">
        <f t="shared" si="38"/>
        <v>43.290587789110596</v>
      </c>
      <c r="O24">
        <f t="shared" si="39"/>
        <v>43.787665176018173</v>
      </c>
      <c r="P24">
        <f t="shared" si="40"/>
        <v>62.443276137634896</v>
      </c>
      <c r="Q24">
        <f t="shared" si="41"/>
        <v>-36.615437875457388</v>
      </c>
      <c r="R24">
        <f t="shared" si="42"/>
        <v>71.34438903838327</v>
      </c>
      <c r="S24">
        <f t="shared" si="43"/>
        <v>-1.6362633157936166E-2</v>
      </c>
      <c r="U24" s="4">
        <f t="shared" si="45"/>
        <v>-25.333333333333336</v>
      </c>
      <c r="V24">
        <v>40</v>
      </c>
      <c r="W24">
        <f t="shared" si="1"/>
        <v>-0.63905993708309849</v>
      </c>
      <c r="X24">
        <f t="shared" si="19"/>
        <v>61.570799515387513</v>
      </c>
      <c r="Y24">
        <f t="shared" si="20"/>
        <v>42.16370213557839</v>
      </c>
      <c r="Z24">
        <f t="shared" si="21"/>
        <v>0.32175055439664224</v>
      </c>
      <c r="AA24">
        <f t="shared" si="22"/>
        <v>1.8881057094764564</v>
      </c>
      <c r="AB24">
        <f t="shared" si="23"/>
        <v>-26.379411318027088</v>
      </c>
      <c r="AC24">
        <f t="shared" si="24"/>
        <v>20.027375714466071</v>
      </c>
      <c r="AE24">
        <v>3.2153875902064446E-6</v>
      </c>
      <c r="AF24">
        <v>-59.999999999999922</v>
      </c>
      <c r="AH24" s="1">
        <v>18</v>
      </c>
      <c r="AI24" s="1">
        <f t="shared" si="46"/>
        <v>-25.333333333333336</v>
      </c>
      <c r="AJ24" s="1">
        <f t="shared" si="46"/>
        <v>40</v>
      </c>
      <c r="AK24" s="2">
        <f t="shared" si="47"/>
        <v>-36.615437875457388</v>
      </c>
      <c r="AL24" s="2">
        <f t="shared" si="47"/>
        <v>71.34438903838327</v>
      </c>
      <c r="AY24">
        <v>-14</v>
      </c>
      <c r="BA24">
        <v>60</v>
      </c>
    </row>
    <row r="25" spans="1:54" x14ac:dyDescent="0.25">
      <c r="A25">
        <v>19</v>
      </c>
      <c r="B25">
        <f t="shared" si="27"/>
        <v>-24.996769510035708</v>
      </c>
      <c r="C25">
        <f t="shared" si="28"/>
        <v>20.09992684624207</v>
      </c>
      <c r="D25">
        <f t="shared" si="29"/>
        <v>-0.62735999412321786</v>
      </c>
      <c r="E25">
        <f t="shared" si="30"/>
        <v>1.3178452869954125</v>
      </c>
      <c r="F25">
        <f t="shared" si="31"/>
        <v>23.935811599385481</v>
      </c>
      <c r="G25">
        <f t="shared" si="32"/>
        <v>0.57398684930430555</v>
      </c>
      <c r="H25">
        <f t="shared" si="33"/>
        <v>1.6241694716089123</v>
      </c>
      <c r="J25">
        <f t="shared" si="34"/>
        <v>32.887024522140457</v>
      </c>
      <c r="K25">
        <f t="shared" si="35"/>
        <v>93.058057524582978</v>
      </c>
      <c r="L25">
        <f t="shared" si="36"/>
        <v>0.82016932947760934</v>
      </c>
      <c r="M25">
        <f t="shared" si="37"/>
        <v>1.0731203424821967</v>
      </c>
      <c r="N25">
        <f t="shared" si="38"/>
        <v>42.104251725959813</v>
      </c>
      <c r="O25">
        <f t="shared" si="39"/>
        <v>46.992241866742901</v>
      </c>
      <c r="P25">
        <f t="shared" si="40"/>
        <v>61.48526758268892</v>
      </c>
      <c r="Q25">
        <f t="shared" si="41"/>
        <v>-35.945080511769476</v>
      </c>
      <c r="R25">
        <f t="shared" si="42"/>
        <v>75.506974284053967</v>
      </c>
      <c r="S25">
        <f t="shared" si="43"/>
        <v>-5.3347807809486149E-2</v>
      </c>
      <c r="U25" s="4">
        <f t="shared" si="45"/>
        <v>-23.000000000000004</v>
      </c>
      <c r="V25">
        <v>40</v>
      </c>
      <c r="W25">
        <f t="shared" si="1"/>
        <v>-0.62735999412133459</v>
      </c>
      <c r="X25">
        <f t="shared" si="19"/>
        <v>61.570799515387513</v>
      </c>
      <c r="Y25">
        <f t="shared" si="20"/>
        <v>41.484937025383083</v>
      </c>
      <c r="Z25">
        <f t="shared" si="21"/>
        <v>0.2683662109059069</v>
      </c>
      <c r="AA25">
        <f t="shared" si="22"/>
        <v>1.9297901100054278</v>
      </c>
      <c r="AB25">
        <f t="shared" si="23"/>
        <v>-24.996769510035708</v>
      </c>
      <c r="AC25">
        <f t="shared" si="24"/>
        <v>20.09992684624207</v>
      </c>
      <c r="AE25">
        <v>3.2153875902064446E-6</v>
      </c>
      <c r="AF25">
        <v>-59.999999999999922</v>
      </c>
      <c r="AH25" s="1">
        <v>19</v>
      </c>
      <c r="AI25" s="1">
        <f t="shared" si="46"/>
        <v>-23.000000000000004</v>
      </c>
      <c r="AJ25" s="1">
        <f t="shared" si="46"/>
        <v>40</v>
      </c>
      <c r="AK25" s="2">
        <f t="shared" si="47"/>
        <v>-35.945080511769476</v>
      </c>
      <c r="AL25" s="2">
        <f t="shared" si="47"/>
        <v>75.506974284053967</v>
      </c>
      <c r="AY25">
        <v>-19.833506546880365</v>
      </c>
      <c r="BA25">
        <v>40.86965234584153</v>
      </c>
    </row>
    <row r="26" spans="1:54" x14ac:dyDescent="0.25">
      <c r="A26">
        <v>20</v>
      </c>
      <c r="B26">
        <f t="shared" si="27"/>
        <v>-23.648668218439632</v>
      </c>
      <c r="C26">
        <f t="shared" si="28"/>
        <v>20.223557783405063</v>
      </c>
      <c r="D26">
        <f t="shared" si="29"/>
        <v>-0.60764729712235011</v>
      </c>
      <c r="E26">
        <f t="shared" si="30"/>
        <v>1.3870861703679274</v>
      </c>
      <c r="F26">
        <f t="shared" si="31"/>
        <v>23.338460975008807</v>
      </c>
      <c r="G26">
        <f t="shared" si="32"/>
        <v>0.52258172917030687</v>
      </c>
      <c r="H26">
        <f t="shared" si="33"/>
        <v>1.6558618947420431</v>
      </c>
      <c r="J26">
        <f t="shared" si="34"/>
        <v>29.941728042858017</v>
      </c>
      <c r="K26">
        <f t="shared" si="35"/>
        <v>94.873899643629073</v>
      </c>
      <c r="L26">
        <f t="shared" si="36"/>
        <v>0.87105647597663871</v>
      </c>
      <c r="M26">
        <f t="shared" si="37"/>
        <v>1.0547666056087115</v>
      </c>
      <c r="N26">
        <f t="shared" si="38"/>
        <v>40.985605218992575</v>
      </c>
      <c r="O26">
        <f t="shared" si="39"/>
        <v>49.907860642336303</v>
      </c>
      <c r="P26">
        <f t="shared" si="40"/>
        <v>60.433675903606357</v>
      </c>
      <c r="Q26">
        <f t="shared" si="41"/>
        <v>-34.815626151533145</v>
      </c>
      <c r="R26">
        <f t="shared" si="42"/>
        <v>79.474184738729946</v>
      </c>
      <c r="S26">
        <f t="shared" si="43"/>
        <v>-8.4963013845390262E-2</v>
      </c>
      <c r="U26" s="4">
        <f t="shared" si="45"/>
        <v>-20.666666666666671</v>
      </c>
      <c r="V26">
        <v>40</v>
      </c>
      <c r="W26">
        <f t="shared" si="1"/>
        <v>-0.60764729712046694</v>
      </c>
      <c r="X26">
        <f t="shared" si="19"/>
        <v>61.570799515387513</v>
      </c>
      <c r="Y26">
        <f t="shared" si="20"/>
        <v>40.928121275122209</v>
      </c>
      <c r="Z26">
        <f t="shared" si="21"/>
        <v>0.21336864215180809</v>
      </c>
      <c r="AA26">
        <f t="shared" si="22"/>
        <v>1.9650749817586588</v>
      </c>
      <c r="AB26">
        <f t="shared" si="23"/>
        <v>-23.648668218439632</v>
      </c>
      <c r="AC26">
        <f t="shared" si="24"/>
        <v>20.223557783405063</v>
      </c>
      <c r="AE26">
        <v>3.2153875902064446E-6</v>
      </c>
      <c r="AF26">
        <v>-59.999999999999922</v>
      </c>
      <c r="AH26" s="1">
        <v>20</v>
      </c>
      <c r="AI26" s="1">
        <f t="shared" si="46"/>
        <v>-20.666666666666671</v>
      </c>
      <c r="AJ26" s="1">
        <f t="shared" si="46"/>
        <v>40</v>
      </c>
      <c r="AK26" s="2">
        <f t="shared" si="47"/>
        <v>-34.815626151533145</v>
      </c>
      <c r="AL26" s="2">
        <f t="shared" si="47"/>
        <v>79.474184738729946</v>
      </c>
      <c r="AY26">
        <v>1.5130248501190131</v>
      </c>
      <c r="BA26">
        <v>17.030071996494279</v>
      </c>
    </row>
    <row r="27" spans="1:54" x14ac:dyDescent="0.25">
      <c r="A27">
        <v>21</v>
      </c>
      <c r="B27">
        <f t="shared" si="27"/>
        <v>-22.334745654409062</v>
      </c>
      <c r="C27">
        <f t="shared" si="28"/>
        <v>20.404370399555575</v>
      </c>
      <c r="D27">
        <f t="shared" si="29"/>
        <v>-0.57929231561971584</v>
      </c>
      <c r="E27">
        <f t="shared" si="30"/>
        <v>1.4535614295167592</v>
      </c>
      <c r="F27">
        <f t="shared" si="31"/>
        <v>22.872369775420882</v>
      </c>
      <c r="G27">
        <f t="shared" si="32"/>
        <v>0.46883142717334031</v>
      </c>
      <c r="H27">
        <f t="shared" si="33"/>
        <v>1.6812572152363756</v>
      </c>
      <c r="J27">
        <f t="shared" si="34"/>
        <v>26.862062538344805</v>
      </c>
      <c r="K27">
        <f t="shared" si="35"/>
        <v>96.328944352156796</v>
      </c>
      <c r="L27">
        <f t="shared" si="36"/>
        <v>0.91736022419607954</v>
      </c>
      <c r="M27">
        <f t="shared" si="37"/>
        <v>1.0345950946793203</v>
      </c>
      <c r="N27">
        <f t="shared" si="38"/>
        <v>39.940118809978792</v>
      </c>
      <c r="O27">
        <f t="shared" si="39"/>
        <v>52.560870036202118</v>
      </c>
      <c r="P27">
        <f t="shared" si="40"/>
        <v>59.277933441235398</v>
      </c>
      <c r="Q27">
        <f t="shared" si="41"/>
        <v>-33.191005355547645</v>
      </c>
      <c r="R27">
        <f t="shared" si="42"/>
        <v>83.282936594966714</v>
      </c>
      <c r="S27">
        <f t="shared" si="43"/>
        <v>-0.11023639203839058</v>
      </c>
      <c r="U27" s="4">
        <f t="shared" si="45"/>
        <v>-18.333333333333339</v>
      </c>
      <c r="V27">
        <v>40</v>
      </c>
      <c r="W27">
        <f t="shared" si="1"/>
        <v>-0.57929231561783268</v>
      </c>
      <c r="X27">
        <f t="shared" si="19"/>
        <v>61.570799515387513</v>
      </c>
      <c r="Y27">
        <f t="shared" si="20"/>
        <v>40.498285286060089</v>
      </c>
      <c r="Z27">
        <f t="shared" si="21"/>
        <v>0.15702977597173201</v>
      </c>
      <c r="AA27">
        <f t="shared" si="22"/>
        <v>1.9930588664361006</v>
      </c>
      <c r="AB27">
        <f t="shared" si="23"/>
        <v>-22.334745654409062</v>
      </c>
      <c r="AC27">
        <f t="shared" si="24"/>
        <v>20.404370399555575</v>
      </c>
      <c r="AE27">
        <v>3.2153875902064446E-6</v>
      </c>
      <c r="AF27">
        <v>-59.999999999999922</v>
      </c>
      <c r="AH27" s="1">
        <v>21</v>
      </c>
      <c r="AI27" s="1">
        <f t="shared" si="46"/>
        <v>-18.333333333333339</v>
      </c>
      <c r="AJ27" s="1">
        <f t="shared" si="46"/>
        <v>40</v>
      </c>
      <c r="AK27" s="2">
        <f t="shared" si="47"/>
        <v>-33.191005355547645</v>
      </c>
      <c r="AL27" s="2">
        <f t="shared" si="47"/>
        <v>83.282936594966714</v>
      </c>
      <c r="AY27">
        <v>12</v>
      </c>
      <c r="BA27">
        <v>0</v>
      </c>
    </row>
    <row r="28" spans="1:54" x14ac:dyDescent="0.25">
      <c r="A28">
        <v>22</v>
      </c>
      <c r="B28">
        <f t="shared" si="27"/>
        <v>-21.052171765018493</v>
      </c>
      <c r="C28">
        <f t="shared" si="28"/>
        <v>20.648628977310089</v>
      </c>
      <c r="D28">
        <f t="shared" si="29"/>
        <v>-0.5417990655797984</v>
      </c>
      <c r="E28">
        <f t="shared" si="30"/>
        <v>1.517805119284207</v>
      </c>
      <c r="F28">
        <f t="shared" si="31"/>
        <v>22.545680125159407</v>
      </c>
      <c r="G28">
        <f t="shared" si="32"/>
        <v>0.41315799811382165</v>
      </c>
      <c r="H28">
        <f t="shared" si="33"/>
        <v>1.6994373942559768</v>
      </c>
      <c r="J28">
        <f t="shared" si="34"/>
        <v>23.672209967800374</v>
      </c>
      <c r="K28">
        <f t="shared" si="35"/>
        <v>97.370591898540837</v>
      </c>
      <c r="L28">
        <f t="shared" si="36"/>
        <v>0.95940119303849369</v>
      </c>
      <c r="M28">
        <f t="shared" si="37"/>
        <v>1.0123923737542868</v>
      </c>
      <c r="N28">
        <f t="shared" si="38"/>
        <v>38.971937814623686</v>
      </c>
      <c r="O28">
        <f t="shared" si="39"/>
        <v>54.969640158602637</v>
      </c>
      <c r="P28">
        <f t="shared" si="40"/>
        <v>58.005811216824114</v>
      </c>
      <c r="Q28">
        <f t="shared" si="41"/>
        <v>-31.042800331387241</v>
      </c>
      <c r="R28">
        <f t="shared" si="42"/>
        <v>86.96382894177853</v>
      </c>
      <c r="S28">
        <f t="shared" si="43"/>
        <v>-0.12828655761518543</v>
      </c>
      <c r="U28" s="4">
        <f t="shared" si="45"/>
        <v>-16.000000000000007</v>
      </c>
      <c r="V28">
        <v>40</v>
      </c>
      <c r="W28">
        <f t="shared" si="1"/>
        <v>-0.54179906557791524</v>
      </c>
      <c r="X28">
        <f t="shared" si="19"/>
        <v>61.570799515387513</v>
      </c>
      <c r="Y28">
        <f t="shared" si="20"/>
        <v>40.19950248448356</v>
      </c>
      <c r="Z28">
        <f t="shared" si="21"/>
        <v>9.9668652491162205E-2</v>
      </c>
      <c r="AA28">
        <f t="shared" si="22"/>
        <v>2.012926739876753</v>
      </c>
      <c r="AB28">
        <f t="shared" si="23"/>
        <v>-21.052171765018493</v>
      </c>
      <c r="AC28">
        <f t="shared" si="24"/>
        <v>20.648628977310089</v>
      </c>
      <c r="AE28">
        <v>3.2153875902064446E-6</v>
      </c>
      <c r="AF28">
        <v>-59.999999999999922</v>
      </c>
      <c r="AH28" s="1">
        <v>22</v>
      </c>
      <c r="AI28" s="1">
        <f t="shared" si="46"/>
        <v>-16.000000000000007</v>
      </c>
      <c r="AJ28" s="1">
        <f t="shared" si="46"/>
        <v>40</v>
      </c>
      <c r="AK28" s="2">
        <f t="shared" si="47"/>
        <v>-31.042800331387241</v>
      </c>
      <c r="AL28" s="2">
        <f t="shared" si="47"/>
        <v>86.96382894177853</v>
      </c>
      <c r="AY28">
        <v>-12</v>
      </c>
      <c r="BB28">
        <v>0</v>
      </c>
    </row>
    <row r="29" spans="1:54" x14ac:dyDescent="0.25">
      <c r="A29">
        <v>23</v>
      </c>
      <c r="B29">
        <f t="shared" si="27"/>
        <v>-19.795046908091514</v>
      </c>
      <c r="C29">
        <f t="shared" si="28"/>
        <v>20.962065353154607</v>
      </c>
      <c r="D29">
        <f t="shared" si="29"/>
        <v>-0.49488619583590987</v>
      </c>
      <c r="E29">
        <f t="shared" si="30"/>
        <v>1.5803194691662439</v>
      </c>
      <c r="F29">
        <f t="shared" si="31"/>
        <v>22.364501786743915</v>
      </c>
      <c r="G29">
        <f t="shared" si="32"/>
        <v>0.356018865321231</v>
      </c>
      <c r="H29">
        <f t="shared" si="33"/>
        <v>1.7096636573046788</v>
      </c>
      <c r="J29">
        <f t="shared" si="34"/>
        <v>20.398378757901828</v>
      </c>
      <c r="K29">
        <f t="shared" si="35"/>
        <v>97.956513621416789</v>
      </c>
      <c r="L29">
        <f t="shared" si="36"/>
        <v>0.99744321479095188</v>
      </c>
      <c r="M29">
        <f t="shared" si="37"/>
        <v>0.98792004562470792</v>
      </c>
      <c r="N29">
        <f t="shared" si="38"/>
        <v>38.083240300132871</v>
      </c>
      <c r="O29">
        <f t="shared" si="39"/>
        <v>57.149287486344136</v>
      </c>
      <c r="P29">
        <f t="shared" si="40"/>
        <v>56.603650076221669</v>
      </c>
      <c r="Q29">
        <f t="shared" si="41"/>
        <v>-28.354890844364661</v>
      </c>
      <c r="R29">
        <f t="shared" si="42"/>
        <v>90.545637410122453</v>
      </c>
      <c r="S29">
        <f t="shared" si="43"/>
        <v>-0.13842143792369804</v>
      </c>
      <c r="U29" s="4">
        <f t="shared" si="45"/>
        <v>-13.666666666666673</v>
      </c>
      <c r="V29">
        <v>40</v>
      </c>
      <c r="W29">
        <f t="shared" si="1"/>
        <v>-0.49488619583402649</v>
      </c>
      <c r="X29">
        <f t="shared" si="19"/>
        <v>61.570799515387513</v>
      </c>
      <c r="Y29">
        <f t="shared" si="20"/>
        <v>40.034707164881048</v>
      </c>
      <c r="Z29">
        <f t="shared" si="21"/>
        <v>4.1642579098588588E-2</v>
      </c>
      <c r="AA29">
        <f t="shared" si="22"/>
        <v>2.0240399435254379</v>
      </c>
      <c r="AB29">
        <f t="shared" si="23"/>
        <v>-19.795046908091514</v>
      </c>
      <c r="AC29">
        <f t="shared" si="24"/>
        <v>20.962065353154607</v>
      </c>
      <c r="AE29">
        <v>3.2153875902064446E-6</v>
      </c>
      <c r="AF29">
        <v>-59.999999999999922</v>
      </c>
      <c r="AH29" s="1">
        <v>23</v>
      </c>
      <c r="AI29" s="1">
        <f t="shared" si="46"/>
        <v>-13.666666666666673</v>
      </c>
      <c r="AJ29" s="1">
        <f t="shared" si="46"/>
        <v>40</v>
      </c>
      <c r="AK29" s="2">
        <f t="shared" si="47"/>
        <v>-28.354890844364661</v>
      </c>
      <c r="AL29" s="2">
        <f t="shared" si="47"/>
        <v>90.545637410122453</v>
      </c>
      <c r="AY29">
        <v>-28.772550131225248</v>
      </c>
      <c r="BB29">
        <v>10.894106759874163</v>
      </c>
    </row>
    <row r="30" spans="1:54" x14ac:dyDescent="0.25">
      <c r="A30">
        <v>24</v>
      </c>
      <c r="B30">
        <f t="shared" si="27"/>
        <v>-18.554094869653149</v>
      </c>
      <c r="C30">
        <f t="shared" si="28"/>
        <v>21.34897850420397</v>
      </c>
      <c r="D30">
        <f t="shared" si="29"/>
        <v>-0.43855625890933103</v>
      </c>
      <c r="E30">
        <f t="shared" si="30"/>
        <v>1.6416206980965899</v>
      </c>
      <c r="F30">
        <f t="shared" si="31"/>
        <v>22.332376558113488</v>
      </c>
      <c r="G30">
        <f t="shared" si="32"/>
        <v>0.29786459835481371</v>
      </c>
      <c r="H30">
        <f t="shared" si="33"/>
        <v>1.7114879873445172</v>
      </c>
      <c r="J30">
        <f t="shared" si="34"/>
        <v>17.066384643211364</v>
      </c>
      <c r="K30">
        <f t="shared" si="35"/>
        <v>98.06104003492149</v>
      </c>
      <c r="L30">
        <f t="shared" si="36"/>
        <v>1.0317494699498517</v>
      </c>
      <c r="M30">
        <f t="shared" si="37"/>
        <v>0.96092507185326159</v>
      </c>
      <c r="N30">
        <f t="shared" si="38"/>
        <v>37.273738697328554</v>
      </c>
      <c r="O30">
        <f t="shared" si="39"/>
        <v>59.114891151377584</v>
      </c>
      <c r="P30">
        <f t="shared" si="40"/>
        <v>55.056951984667613</v>
      </c>
      <c r="Q30">
        <f t="shared" si="41"/>
        <v>-25.127423143178905</v>
      </c>
      <c r="R30">
        <f t="shared" si="42"/>
        <v>94.057939166709971</v>
      </c>
      <c r="S30">
        <f t="shared" si="43"/>
        <v>-0.14022797455149677</v>
      </c>
      <c r="U30" s="4">
        <f t="shared" si="45"/>
        <v>-11.333333333333339</v>
      </c>
      <c r="V30">
        <v>40</v>
      </c>
      <c r="W30">
        <f t="shared" si="1"/>
        <v>-0.43855625890744721</v>
      </c>
      <c r="X30">
        <f t="shared" si="19"/>
        <v>61.570799515387513</v>
      </c>
      <c r="Y30">
        <f t="shared" si="20"/>
        <v>40.005555169806662</v>
      </c>
      <c r="Z30">
        <f t="shared" si="21"/>
        <v>-1.6665123713940598E-2</v>
      </c>
      <c r="AA30">
        <f t="shared" si="22"/>
        <v>2.0260177094113878</v>
      </c>
      <c r="AB30">
        <f t="shared" si="23"/>
        <v>-18.554094869653149</v>
      </c>
      <c r="AC30">
        <f t="shared" si="24"/>
        <v>21.34897850420397</v>
      </c>
      <c r="AE30">
        <v>3.2153875902064446E-6</v>
      </c>
      <c r="AF30">
        <v>-59.999999999999922</v>
      </c>
      <c r="AH30" s="1">
        <v>24</v>
      </c>
      <c r="AI30" s="1">
        <f t="shared" si="46"/>
        <v>-11.333333333333339</v>
      </c>
      <c r="AJ30" s="1">
        <f t="shared" si="46"/>
        <v>40</v>
      </c>
      <c r="AK30" s="2">
        <f t="shared" si="47"/>
        <v>-25.127423143178905</v>
      </c>
      <c r="AL30" s="2">
        <f t="shared" si="47"/>
        <v>94.057939166709971</v>
      </c>
      <c r="AY30">
        <v>-11.666666666666666</v>
      </c>
      <c r="BB30">
        <v>60</v>
      </c>
    </row>
    <row r="31" spans="1:54" x14ac:dyDescent="0.25">
      <c r="A31">
        <v>25</v>
      </c>
      <c r="B31">
        <f t="shared" si="27"/>
        <v>-17.316841349049973</v>
      </c>
      <c r="C31">
        <f t="shared" si="28"/>
        <v>21.811263101144704</v>
      </c>
      <c r="D31">
        <f t="shared" si="29"/>
        <v>-0.37313424877213208</v>
      </c>
      <c r="E31">
        <f t="shared" si="30"/>
        <v>1.7022549093839809</v>
      </c>
      <c r="F31">
        <f t="shared" si="31"/>
        <v>22.449944320606321</v>
      </c>
      <c r="G31">
        <f t="shared" si="32"/>
        <v>0.23910268735390905</v>
      </c>
      <c r="H31">
        <f t="shared" si="33"/>
        <v>1.7048278882082231</v>
      </c>
      <c r="J31">
        <f t="shared" si="34"/>
        <v>13.699575089304586</v>
      </c>
      <c r="K31">
        <f t="shared" si="35"/>
        <v>97.67944445676379</v>
      </c>
      <c r="L31">
        <f t="shared" si="36"/>
        <v>1.0626151501975762</v>
      </c>
      <c r="M31">
        <f t="shared" si="37"/>
        <v>0.93115654081359522</v>
      </c>
      <c r="N31">
        <f t="shared" si="38"/>
        <v>36.540503345639927</v>
      </c>
      <c r="O31">
        <f t="shared" si="39"/>
        <v>60.883364391539409</v>
      </c>
      <c r="P31">
        <f t="shared" si="40"/>
        <v>53.351340764695955</v>
      </c>
      <c r="Q31">
        <f t="shared" si="41"/>
        <v>-21.379018011114418</v>
      </c>
      <c r="R31">
        <f t="shared" si="42"/>
        <v>97.532023626843468</v>
      </c>
      <c r="S31">
        <f t="shared" si="43"/>
        <v>-0.13363062095830072</v>
      </c>
      <c r="U31" s="4">
        <f t="shared" si="45"/>
        <v>-9.0000000000000053</v>
      </c>
      <c r="V31">
        <v>40</v>
      </c>
      <c r="W31">
        <f t="shared" si="1"/>
        <v>-0.37313424877024892</v>
      </c>
      <c r="X31">
        <f t="shared" si="19"/>
        <v>61.570799515387513</v>
      </c>
      <c r="Y31">
        <f t="shared" si="20"/>
        <v>40.11234224026316</v>
      </c>
      <c r="Z31">
        <f t="shared" si="21"/>
        <v>-7.485984771076673E-2</v>
      </c>
      <c r="AA31">
        <f t="shared" si="22"/>
        <v>2.0187904232710157</v>
      </c>
      <c r="AB31">
        <f t="shared" si="23"/>
        <v>-17.316841349049973</v>
      </c>
      <c r="AC31">
        <f t="shared" si="24"/>
        <v>21.811263101144704</v>
      </c>
      <c r="AE31">
        <v>3.2153875902064446E-6</v>
      </c>
      <c r="AF31">
        <v>-59.999999999999922</v>
      </c>
      <c r="AH31" s="1">
        <v>25</v>
      </c>
      <c r="AI31" s="1">
        <f t="shared" si="46"/>
        <v>-9.0000000000000053</v>
      </c>
      <c r="AJ31" s="1">
        <f t="shared" si="46"/>
        <v>40</v>
      </c>
      <c r="AK31" s="2">
        <f t="shared" si="47"/>
        <v>-21.379018011114418</v>
      </c>
      <c r="AL31" s="2">
        <f t="shared" si="47"/>
        <v>97.532023626843468</v>
      </c>
      <c r="AY31">
        <v>-18.245852614565919</v>
      </c>
      <c r="BB31">
        <v>41.113117984579134</v>
      </c>
    </row>
    <row r="32" spans="1:54" x14ac:dyDescent="0.25">
      <c r="A32">
        <v>26</v>
      </c>
      <c r="B32">
        <f t="shared" si="27"/>
        <v>-16.068366855241941</v>
      </c>
      <c r="C32">
        <f t="shared" si="28"/>
        <v>22.347577119125951</v>
      </c>
      <c r="D32">
        <f t="shared" si="29"/>
        <v>-0.29926188132094289</v>
      </c>
      <c r="E32">
        <f t="shared" si="30"/>
        <v>1.7627858737251005</v>
      </c>
      <c r="F32">
        <f t="shared" si="31"/>
        <v>22.714880848556369</v>
      </c>
      <c r="G32">
        <f t="shared" si="32"/>
        <v>0.1800774766001941</v>
      </c>
      <c r="H32">
        <f t="shared" si="33"/>
        <v>1.6899807315107489</v>
      </c>
      <c r="J32">
        <f t="shared" si="34"/>
        <v>10.317679570557601</v>
      </c>
      <c r="K32">
        <f t="shared" si="35"/>
        <v>96.828765025718099</v>
      </c>
      <c r="L32">
        <f t="shared" si="36"/>
        <v>1.0903762857659434</v>
      </c>
      <c r="M32">
        <f t="shared" si="37"/>
        <v>0.89838671204084286</v>
      </c>
      <c r="N32">
        <f t="shared" si="38"/>
        <v>35.878230461043174</v>
      </c>
      <c r="O32">
        <f t="shared" si="39"/>
        <v>62.473960321230003</v>
      </c>
      <c r="P32">
        <f t="shared" si="40"/>
        <v>51.473767848622927</v>
      </c>
      <c r="Q32">
        <f t="shared" si="41"/>
        <v>-17.146443061321737</v>
      </c>
      <c r="R32">
        <f t="shared" si="42"/>
        <v>101.00019247260707</v>
      </c>
      <c r="S32">
        <f t="shared" si="43"/>
        <v>-0.11890243752120881</v>
      </c>
      <c r="U32" s="4">
        <f t="shared" si="45"/>
        <v>-6.6666666666666714</v>
      </c>
      <c r="V32">
        <v>40</v>
      </c>
      <c r="W32">
        <f t="shared" si="1"/>
        <v>-0.29926188131905973</v>
      </c>
      <c r="X32">
        <f t="shared" si="19"/>
        <v>61.570799515387513</v>
      </c>
      <c r="Y32">
        <f t="shared" si="20"/>
        <v>40.353989201124151</v>
      </c>
      <c r="Z32">
        <f t="shared" si="21"/>
        <v>-0.13255153229667391</v>
      </c>
      <c r="AA32">
        <f t="shared" si="22"/>
        <v>2.0026097404057337</v>
      </c>
      <c r="AB32">
        <f t="shared" si="23"/>
        <v>-16.068366855241941</v>
      </c>
      <c r="AC32">
        <f t="shared" si="24"/>
        <v>22.347577119125951</v>
      </c>
      <c r="AE32">
        <v>3.2153875902064446E-6</v>
      </c>
      <c r="AF32">
        <v>-59.999999999999922</v>
      </c>
      <c r="AH32" s="1">
        <v>26</v>
      </c>
      <c r="AI32" s="1">
        <f t="shared" si="46"/>
        <v>-6.6666666666666714</v>
      </c>
      <c r="AJ32" s="1">
        <f t="shared" si="46"/>
        <v>40</v>
      </c>
      <c r="AK32" s="2">
        <f t="shared" si="47"/>
        <v>-17.146443061321737</v>
      </c>
      <c r="AL32" s="2">
        <f t="shared" si="47"/>
        <v>101.00019247260707</v>
      </c>
      <c r="AY32">
        <v>4.3925078710812571</v>
      </c>
      <c r="BB32">
        <v>18.496650061793332</v>
      </c>
    </row>
    <row r="33" spans="1:57" x14ac:dyDescent="0.25">
      <c r="A33">
        <v>27</v>
      </c>
      <c r="B33">
        <f t="shared" si="27"/>
        <v>-14.792552897032021</v>
      </c>
      <c r="C33">
        <f t="shared" si="28"/>
        <v>22.952867510357464</v>
      </c>
      <c r="D33">
        <f t="shared" si="29"/>
        <v>-0.21784619287494289</v>
      </c>
      <c r="E33">
        <f t="shared" si="30"/>
        <v>1.8237607758459791</v>
      </c>
      <c r="F33">
        <f t="shared" si="31"/>
        <v>23.122120980367374</v>
      </c>
      <c r="G33">
        <f t="shared" si="32"/>
        <v>0.12106963386767998</v>
      </c>
      <c r="H33">
        <f t="shared" si="33"/>
        <v>1.6675728857972629</v>
      </c>
      <c r="J33">
        <f t="shared" si="34"/>
        <v>6.9367791661408917</v>
      </c>
      <c r="K33">
        <f t="shared" si="35"/>
        <v>95.544890016454488</v>
      </c>
      <c r="L33">
        <f t="shared" si="36"/>
        <v>1.1153966084742306</v>
      </c>
      <c r="M33">
        <f t="shared" si="37"/>
        <v>0.86243213262825169</v>
      </c>
      <c r="N33">
        <f t="shared" si="38"/>
        <v>35.279952064710663</v>
      </c>
      <c r="O33">
        <f t="shared" si="39"/>
        <v>63.907519238924074</v>
      </c>
      <c r="P33">
        <f t="shared" si="40"/>
        <v>49.413722158972902</v>
      </c>
      <c r="Q33">
        <f t="shared" si="41"/>
        <v>-12.481667647641428</v>
      </c>
      <c r="R33">
        <f t="shared" si="42"/>
        <v>104.49379707995116</v>
      </c>
      <c r="S33">
        <f t="shared" si="43"/>
        <v>-9.6625566319300374E-2</v>
      </c>
      <c r="U33" s="4">
        <f t="shared" si="45"/>
        <v>-4.3333333333333375</v>
      </c>
      <c r="V33">
        <v>40</v>
      </c>
      <c r="W33">
        <f t="shared" si="1"/>
        <v>-0.21784619287305906</v>
      </c>
      <c r="X33">
        <f t="shared" si="19"/>
        <v>61.570799515387513</v>
      </c>
      <c r="Y33">
        <f t="shared" si="20"/>
        <v>40.72809568071871</v>
      </c>
      <c r="Z33">
        <f t="shared" si="21"/>
        <v>-0.18937004997584456</v>
      </c>
      <c r="AA33">
        <f t="shared" si="22"/>
        <v>1.9780125696389037</v>
      </c>
      <c r="AB33">
        <f t="shared" si="23"/>
        <v>-14.792552897032021</v>
      </c>
      <c r="AC33">
        <f t="shared" si="24"/>
        <v>22.952867510357464</v>
      </c>
      <c r="AE33">
        <v>3.2153875902064446E-6</v>
      </c>
      <c r="AF33">
        <v>-59.999999999999922</v>
      </c>
      <c r="AH33" s="1">
        <v>27</v>
      </c>
      <c r="AI33" s="1">
        <f t="shared" si="46"/>
        <v>-4.3333333333333375</v>
      </c>
      <c r="AJ33" s="1">
        <f t="shared" si="46"/>
        <v>40</v>
      </c>
      <c r="AK33" s="2">
        <f t="shared" si="47"/>
        <v>-12.481667647641428</v>
      </c>
      <c r="AL33" s="2">
        <f t="shared" si="47"/>
        <v>104.49379707995116</v>
      </c>
      <c r="AY33">
        <v>12</v>
      </c>
      <c r="BB33">
        <v>0</v>
      </c>
    </row>
    <row r="34" spans="1:57" x14ac:dyDescent="0.25">
      <c r="A34">
        <v>28</v>
      </c>
      <c r="B34">
        <f t="shared" si="27"/>
        <v>-13.473578618053335</v>
      </c>
      <c r="C34">
        <f t="shared" si="28"/>
        <v>23.618394654477207</v>
      </c>
      <c r="D34">
        <f t="shared" si="29"/>
        <v>-0.12997433578545459</v>
      </c>
      <c r="E34">
        <f t="shared" si="30"/>
        <v>1.8856648823528981</v>
      </c>
      <c r="F34">
        <f t="shared" si="31"/>
        <v>23.664319132360887</v>
      </c>
      <c r="G34">
        <f t="shared" si="32"/>
        <v>6.2310374974934371E-2</v>
      </c>
      <c r="H34">
        <f t="shared" si="33"/>
        <v>1.6384602876005203</v>
      </c>
      <c r="J34">
        <f t="shared" si="34"/>
        <v>3.5701215668410304</v>
      </c>
      <c r="K34">
        <f t="shared" si="35"/>
        <v>93.876860980667473</v>
      </c>
      <c r="L34">
        <f t="shared" si="36"/>
        <v>1.1380387373396974</v>
      </c>
      <c r="M34">
        <f t="shared" si="37"/>
        <v>0.82317015498679924</v>
      </c>
      <c r="N34">
        <f t="shared" si="38"/>
        <v>34.738045046674422</v>
      </c>
      <c r="O34">
        <f t="shared" si="39"/>
        <v>65.20481768423619</v>
      </c>
      <c r="P34">
        <f t="shared" si="40"/>
        <v>47.164176506407564</v>
      </c>
      <c r="Q34">
        <f t="shared" si="41"/>
        <v>-7.4469810125545317</v>
      </c>
      <c r="R34">
        <f t="shared" si="42"/>
        <v>108.04064117782862</v>
      </c>
      <c r="S34">
        <f t="shared" si="43"/>
        <v>-6.7612340380267463E-2</v>
      </c>
      <c r="U34" s="4">
        <f t="shared" si="45"/>
        <v>-2.000000000000004</v>
      </c>
      <c r="V34">
        <v>40</v>
      </c>
      <c r="W34">
        <f t="shared" si="1"/>
        <v>-0.12997433578357165</v>
      </c>
      <c r="X34">
        <f t="shared" si="19"/>
        <v>61.570799515387513</v>
      </c>
      <c r="Y34">
        <f t="shared" si="20"/>
        <v>41.231056256176608</v>
      </c>
      <c r="Z34">
        <f t="shared" si="21"/>
        <v>-0.24497866312686409</v>
      </c>
      <c r="AA34">
        <f t="shared" si="22"/>
        <v>1.9457493257004357</v>
      </c>
      <c r="AB34">
        <f t="shared" si="23"/>
        <v>-13.473578618053335</v>
      </c>
      <c r="AC34">
        <f t="shared" si="24"/>
        <v>23.618394654477207</v>
      </c>
      <c r="AE34">
        <v>3.2153875902064446E-6</v>
      </c>
      <c r="AF34">
        <v>-59.999999999999922</v>
      </c>
      <c r="AH34" s="1">
        <v>28</v>
      </c>
      <c r="AI34" s="1">
        <f t="shared" si="46"/>
        <v>-2.000000000000004</v>
      </c>
      <c r="AJ34" s="1">
        <f t="shared" si="46"/>
        <v>40</v>
      </c>
      <c r="AK34" s="2">
        <f t="shared" si="47"/>
        <v>-7.4469810125545317</v>
      </c>
      <c r="AL34" s="2">
        <f t="shared" si="47"/>
        <v>108.04064117782862</v>
      </c>
      <c r="AY34">
        <v>-12</v>
      </c>
      <c r="BC34">
        <v>0</v>
      </c>
    </row>
    <row r="35" spans="1:57" x14ac:dyDescent="0.25">
      <c r="A35">
        <v>29</v>
      </c>
      <c r="B35">
        <f t="shared" si="27"/>
        <v>-12.097351982753803</v>
      </c>
      <c r="C35">
        <f t="shared" si="28"/>
        <v>24.332260451055468</v>
      </c>
      <c r="D35">
        <f t="shared" si="29"/>
        <v>-3.6814456599199463E-2</v>
      </c>
      <c r="E35">
        <f t="shared" si="30"/>
        <v>1.9488777906019878</v>
      </c>
      <c r="F35">
        <f t="shared" si="31"/>
        <v>24.33245520013433</v>
      </c>
      <c r="G35">
        <f t="shared" si="32"/>
        <v>4.0009214721028908E-3</v>
      </c>
      <c r="H35">
        <f t="shared" si="33"/>
        <v>1.6036098619170966</v>
      </c>
      <c r="J35">
        <f t="shared" si="34"/>
        <v>0.22923591842510715</v>
      </c>
      <c r="K35">
        <f t="shared" si="35"/>
        <v>91.880078640711531</v>
      </c>
      <c r="L35">
        <f t="shared" si="36"/>
        <v>1.1586291789645415</v>
      </c>
      <c r="M35">
        <f t="shared" si="37"/>
        <v>0.78054768836255395</v>
      </c>
      <c r="N35">
        <f t="shared" si="38"/>
        <v>34.245310207950034</v>
      </c>
      <c r="O35">
        <f t="shared" si="39"/>
        <v>66.384563107774525</v>
      </c>
      <c r="P35">
        <f t="shared" si="40"/>
        <v>44.722089014743581</v>
      </c>
      <c r="Q35">
        <f t="shared" si="41"/>
        <v>-2.1093130241826721</v>
      </c>
      <c r="R35">
        <f t="shared" si="42"/>
        <v>111.66247409303097</v>
      </c>
      <c r="S35">
        <f t="shared" si="43"/>
        <v>-3.2807646896725377E-2</v>
      </c>
      <c r="U35" s="4">
        <f t="shared" si="45"/>
        <v>0.33333333333332948</v>
      </c>
      <c r="V35">
        <v>40</v>
      </c>
      <c r="W35">
        <f t="shared" si="1"/>
        <v>-3.6814456597316303E-2</v>
      </c>
      <c r="X35">
        <f t="shared" si="19"/>
        <v>61.570799515387513</v>
      </c>
      <c r="Y35">
        <f t="shared" si="20"/>
        <v>41.85822632543227</v>
      </c>
      <c r="Z35">
        <f t="shared" si="21"/>
        <v>-0.29908441161295773</v>
      </c>
      <c r="AA35">
        <f t="shared" si="22"/>
        <v>1.906695195000274</v>
      </c>
      <c r="AB35">
        <f t="shared" si="23"/>
        <v>-12.097351982753803</v>
      </c>
      <c r="AC35">
        <f t="shared" si="24"/>
        <v>24.332260451055468</v>
      </c>
      <c r="AE35">
        <v>3.2153875902064446E-6</v>
      </c>
      <c r="AF35">
        <v>-59.999999999999922</v>
      </c>
      <c r="AH35" s="1">
        <v>29</v>
      </c>
      <c r="AI35" s="1">
        <f t="shared" si="46"/>
        <v>0.33333333333332948</v>
      </c>
      <c r="AJ35" s="1">
        <f t="shared" si="46"/>
        <v>40</v>
      </c>
      <c r="AK35" s="2">
        <f t="shared" si="47"/>
        <v>-2.1093130241826721</v>
      </c>
      <c r="AL35" s="2">
        <f t="shared" si="47"/>
        <v>111.66247409303097</v>
      </c>
      <c r="AY35">
        <v>-28.303800039278563</v>
      </c>
      <c r="BC35">
        <v>11.58387259422428</v>
      </c>
    </row>
    <row r="36" spans="1:57" x14ac:dyDescent="0.25">
      <c r="A36">
        <v>30</v>
      </c>
      <c r="B36">
        <f t="shared" si="27"/>
        <v>-10.652603479948628</v>
      </c>
      <c r="C36">
        <f t="shared" si="28"/>
        <v>25.080313583635039</v>
      </c>
      <c r="D36">
        <f t="shared" si="29"/>
        <v>6.0477625717446415E-2</v>
      </c>
      <c r="E36">
        <f t="shared" si="30"/>
        <v>2.0136413038568923</v>
      </c>
      <c r="F36">
        <f t="shared" si="31"/>
        <v>25.116480781266208</v>
      </c>
      <c r="G36">
        <f t="shared" si="32"/>
        <v>-5.3671676589831276E-2</v>
      </c>
      <c r="H36">
        <f t="shared" si="33"/>
        <v>1.5639903776623849</v>
      </c>
      <c r="J36">
        <f t="shared" si="34"/>
        <v>-3.0751606004450194</v>
      </c>
      <c r="K36">
        <f t="shared" si="35"/>
        <v>89.610049367708996</v>
      </c>
      <c r="L36">
        <f t="shared" si="36"/>
        <v>1.177426661848969</v>
      </c>
      <c r="M36">
        <f t="shared" si="37"/>
        <v>0.73458165799207698</v>
      </c>
      <c r="N36">
        <f t="shared" si="38"/>
        <v>33.795895814037081</v>
      </c>
      <c r="O36">
        <f t="shared" si="39"/>
        <v>67.461579560893554</v>
      </c>
      <c r="P36">
        <f t="shared" si="40"/>
        <v>42.08842942861969</v>
      </c>
      <c r="Q36">
        <f t="shared" si="41"/>
        <v>3.4651127676899782</v>
      </c>
      <c r="R36">
        <f t="shared" si="42"/>
        <v>115.37315013227388</v>
      </c>
      <c r="S36">
        <f t="shared" si="43"/>
        <v>6.8058965896356126E-3</v>
      </c>
      <c r="U36" s="4">
        <f t="shared" si="45"/>
        <v>2.666666666666663</v>
      </c>
      <c r="V36">
        <v>40</v>
      </c>
      <c r="W36">
        <f t="shared" si="1"/>
        <v>6.0477625719329797E-2</v>
      </c>
      <c r="X36">
        <f t="shared" si="19"/>
        <v>61.570799515387513</v>
      </c>
      <c r="Y36">
        <f t="shared" si="20"/>
        <v>42.604120823121221</v>
      </c>
      <c r="Z36">
        <f t="shared" si="21"/>
        <v>-0.35144479400355166</v>
      </c>
      <c r="AA36">
        <f t="shared" si="22"/>
        <v>1.8617634950742219</v>
      </c>
      <c r="AB36">
        <f t="shared" si="23"/>
        <v>-10.652603479948628</v>
      </c>
      <c r="AC36">
        <f t="shared" si="24"/>
        <v>25.080313583635039</v>
      </c>
      <c r="AE36">
        <v>3.2153875902064446E-6</v>
      </c>
      <c r="AF36">
        <v>-59.999999999999922</v>
      </c>
      <c r="AH36" s="1">
        <v>30</v>
      </c>
      <c r="AI36" s="1">
        <f t="shared" si="46"/>
        <v>2.666666666666663</v>
      </c>
      <c r="AJ36" s="1">
        <f t="shared" si="46"/>
        <v>40</v>
      </c>
      <c r="AK36" s="2">
        <f t="shared" si="47"/>
        <v>3.4651127676899782</v>
      </c>
      <c r="AL36" s="2">
        <f t="shared" si="47"/>
        <v>115.37315013227388</v>
      </c>
      <c r="AY36">
        <v>-9.3333333333333321</v>
      </c>
      <c r="BC36">
        <v>60</v>
      </c>
    </row>
    <row r="37" spans="1:57" x14ac:dyDescent="0.25">
      <c r="A37">
        <v>31</v>
      </c>
      <c r="B37">
        <f t="shared" si="27"/>
        <v>-9.1314946098712326</v>
      </c>
      <c r="C37">
        <f t="shared" si="28"/>
        <v>25.847231363001686</v>
      </c>
      <c r="D37">
        <f t="shared" si="29"/>
        <v>0.16083255993740742</v>
      </c>
      <c r="E37">
        <f t="shared" si="30"/>
        <v>2.0800437359639563</v>
      </c>
      <c r="F37">
        <f t="shared" si="31"/>
        <v>26.005916486556202</v>
      </c>
      <c r="G37">
        <f t="shared" si="32"/>
        <v>-0.11052692950874073</v>
      </c>
      <c r="H37">
        <f t="shared" si="33"/>
        <v>1.5204906963613334</v>
      </c>
      <c r="J37">
        <f t="shared" si="34"/>
        <v>-6.3327266914154716</v>
      </c>
      <c r="K37">
        <f t="shared" si="35"/>
        <v>87.117701176479727</v>
      </c>
      <c r="L37">
        <f t="shared" si="36"/>
        <v>1.1946004654753599</v>
      </c>
      <c r="M37">
        <f t="shared" si="37"/>
        <v>0.68535302951140364</v>
      </c>
      <c r="N37">
        <f t="shared" si="38"/>
        <v>33.385916695210796</v>
      </c>
      <c r="O37">
        <f t="shared" si="39"/>
        <v>68.445566043657209</v>
      </c>
      <c r="P37">
        <f t="shared" si="40"/>
        <v>39.267836737345462</v>
      </c>
      <c r="Q37">
        <f t="shared" si="41"/>
        <v>9.2150270498897076</v>
      </c>
      <c r="R37">
        <f t="shared" si="42"/>
        <v>119.17772930631176</v>
      </c>
      <c r="S37">
        <f t="shared" si="43"/>
        <v>5.0284415406755746E-2</v>
      </c>
      <c r="U37" s="4">
        <f t="shared" si="45"/>
        <v>4.9999999999999964</v>
      </c>
      <c r="V37">
        <v>40</v>
      </c>
      <c r="W37">
        <f t="shared" si="1"/>
        <v>0.16083255993929058</v>
      </c>
      <c r="X37">
        <f t="shared" si="19"/>
        <v>61.570799515387513</v>
      </c>
      <c r="Y37">
        <f t="shared" si="20"/>
        <v>43.46262762420146</v>
      </c>
      <c r="Z37">
        <f t="shared" si="21"/>
        <v>-0.40187064744045647</v>
      </c>
      <c r="AA37">
        <f t="shared" si="22"/>
        <v>1.811834414291166</v>
      </c>
      <c r="AB37">
        <f t="shared" si="23"/>
        <v>-9.1314946098712326</v>
      </c>
      <c r="AC37">
        <f t="shared" si="24"/>
        <v>25.847231363001686</v>
      </c>
      <c r="AE37">
        <v>3.2153875902064446E-6</v>
      </c>
      <c r="AF37">
        <v>-59.999999999999922</v>
      </c>
      <c r="AH37" s="1">
        <v>31</v>
      </c>
      <c r="AI37" s="1">
        <f t="shared" si="46"/>
        <v>4.9999999999999964</v>
      </c>
      <c r="AJ37" s="1">
        <f t="shared" si="46"/>
        <v>40</v>
      </c>
      <c r="AK37" s="2">
        <f t="shared" si="47"/>
        <v>9.2150270498897076</v>
      </c>
      <c r="AL37" s="2">
        <f t="shared" si="47"/>
        <v>119.17772930631176</v>
      </c>
      <c r="AY37">
        <v>-16.629666681765414</v>
      </c>
      <c r="BC37">
        <v>41.378412536251915</v>
      </c>
    </row>
    <row r="38" spans="1:57" x14ac:dyDescent="0.25">
      <c r="A38">
        <v>32</v>
      </c>
      <c r="B38">
        <f t="shared" si="27"/>
        <v>-7.5297323536827712</v>
      </c>
      <c r="C38">
        <f t="shared" si="28"/>
        <v>26.61757576577736</v>
      </c>
      <c r="D38">
        <f t="shared" si="29"/>
        <v>0.2633172094590468</v>
      </c>
      <c r="E38">
        <f t="shared" si="30"/>
        <v>2.1480202997708906</v>
      </c>
      <c r="F38">
        <f t="shared" si="31"/>
        <v>26.990343318983712</v>
      </c>
      <c r="G38">
        <f t="shared" si="32"/>
        <v>-0.16639143124146424</v>
      </c>
      <c r="H38">
        <f t="shared" si="33"/>
        <v>1.4738705485724175</v>
      </c>
      <c r="J38">
        <f t="shared" si="34"/>
        <v>-9.5335269199015702</v>
      </c>
      <c r="K38">
        <f t="shared" si="35"/>
        <v>84.446563422333995</v>
      </c>
      <c r="L38">
        <f t="shared" si="36"/>
        <v>1.2102214167503631</v>
      </c>
      <c r="M38">
        <f t="shared" si="37"/>
        <v>0.63299741697947287</v>
      </c>
      <c r="N38">
        <f t="shared" si="38"/>
        <v>33.013721169437744</v>
      </c>
      <c r="O38">
        <f t="shared" si="39"/>
        <v>69.340580638961697</v>
      </c>
      <c r="P38">
        <f t="shared" si="40"/>
        <v>36.268081054273274</v>
      </c>
      <c r="Q38">
        <f t="shared" si="41"/>
        <v>15.086965032521537</v>
      </c>
      <c r="R38">
        <f t="shared" si="42"/>
        <v>123.07249958468844</v>
      </c>
      <c r="S38">
        <f t="shared" si="43"/>
        <v>9.6774086236912971E-2</v>
      </c>
      <c r="U38" s="4">
        <f t="shared" si="45"/>
        <v>7.3333333333333304</v>
      </c>
      <c r="V38">
        <v>40</v>
      </c>
      <c r="W38">
        <f t="shared" si="1"/>
        <v>0.2633172094609304</v>
      </c>
      <c r="X38">
        <f t="shared" si="19"/>
        <v>61.570799515387513</v>
      </c>
      <c r="Y38">
        <f t="shared" si="20"/>
        <v>44.427218884123029</v>
      </c>
      <c r="Z38">
        <f t="shared" si="21"/>
        <v>-0.45022559626071496</v>
      </c>
      <c r="AA38">
        <f t="shared" si="22"/>
        <v>1.7577047135897848</v>
      </c>
      <c r="AB38">
        <f t="shared" si="23"/>
        <v>-7.5297323536827712</v>
      </c>
      <c r="AC38">
        <f t="shared" si="24"/>
        <v>26.61757576577736</v>
      </c>
      <c r="AE38">
        <v>3.2153875902064446E-6</v>
      </c>
      <c r="AF38">
        <v>-59.999999999999922</v>
      </c>
      <c r="AH38" s="1">
        <v>32</v>
      </c>
      <c r="AI38" s="1">
        <f t="shared" si="46"/>
        <v>7.3333333333333304</v>
      </c>
      <c r="AJ38" s="1">
        <f t="shared" si="46"/>
        <v>40</v>
      </c>
      <c r="AK38" s="2">
        <f t="shared" si="47"/>
        <v>15.086965032521537</v>
      </c>
      <c r="AL38" s="2">
        <f t="shared" si="47"/>
        <v>123.07249958468844</v>
      </c>
      <c r="AY38">
        <v>6.4527131206909987</v>
      </c>
      <c r="BC38">
        <v>19.215296205852415</v>
      </c>
    </row>
    <row r="39" spans="1:57" x14ac:dyDescent="0.25">
      <c r="A39">
        <v>33</v>
      </c>
      <c r="B39">
        <f t="shared" si="27"/>
        <v>-5.8462827714132395</v>
      </c>
      <c r="C39">
        <f t="shared" si="28"/>
        <v>27.376672398575593</v>
      </c>
      <c r="D39">
        <f t="shared" si="29"/>
        <v>0.36716133312429178</v>
      </c>
      <c r="E39">
        <f t="shared" si="30"/>
        <v>2.217366021047952</v>
      </c>
      <c r="F39">
        <f t="shared" si="31"/>
        <v>28.059765276073431</v>
      </c>
      <c r="G39">
        <f t="shared" si="32"/>
        <v>-0.22110464412402717</v>
      </c>
      <c r="H39">
        <f t="shared" si="33"/>
        <v>1.4247396377897354</v>
      </c>
      <c r="J39">
        <f t="shared" si="34"/>
        <v>-12.668363155147771</v>
      </c>
      <c r="K39">
        <f t="shared" si="35"/>
        <v>81.631569542833901</v>
      </c>
      <c r="L39">
        <f t="shared" si="36"/>
        <v>1.2242648483599432</v>
      </c>
      <c r="M39">
        <f t="shared" si="37"/>
        <v>0.57769512731199135</v>
      </c>
      <c r="N39">
        <f t="shared" si="38"/>
        <v>32.679840886640982</v>
      </c>
      <c r="O39">
        <f t="shared" si="39"/>
        <v>70.145210013796756</v>
      </c>
      <c r="P39">
        <f t="shared" si="40"/>
        <v>33.099493204866363</v>
      </c>
      <c r="Q39">
        <f t="shared" si="41"/>
        <v>21.036795147267828</v>
      </c>
      <c r="R39">
        <f t="shared" si="42"/>
        <v>127.04571680893041</v>
      </c>
      <c r="S39">
        <f t="shared" si="43"/>
        <v>0.14553794885770593</v>
      </c>
      <c r="U39" s="4">
        <f t="shared" si="45"/>
        <v>9.6666666666666643</v>
      </c>
      <c r="V39">
        <v>40</v>
      </c>
      <c r="W39">
        <f t="shared" si="1"/>
        <v>0.36716133312617472</v>
      </c>
      <c r="X39">
        <f t="shared" si="19"/>
        <v>61.570799515387513</v>
      </c>
      <c r="Y39">
        <f t="shared" si="20"/>
        <v>45.491146879853936</v>
      </c>
      <c r="Z39">
        <f t="shared" si="21"/>
        <v>-0.49642275340488184</v>
      </c>
      <c r="AA39">
        <f t="shared" si="22"/>
        <v>1.7000577470687073</v>
      </c>
      <c r="AB39">
        <f t="shared" si="23"/>
        <v>-5.8462827714132395</v>
      </c>
      <c r="AC39">
        <f t="shared" si="24"/>
        <v>27.376672398575593</v>
      </c>
      <c r="AE39">
        <v>3.2153875902064446E-6</v>
      </c>
      <c r="AF39">
        <v>-59.999999999999922</v>
      </c>
      <c r="AH39" s="1">
        <v>33</v>
      </c>
      <c r="AI39" s="1">
        <f t="shared" ref="AI39:AJ102" si="48">U39</f>
        <v>9.6666666666666643</v>
      </c>
      <c r="AJ39" s="1">
        <f t="shared" si="48"/>
        <v>40</v>
      </c>
      <c r="AK39" s="2">
        <f t="shared" ref="AK39:AL102" si="49">D39*180/3.1415926</f>
        <v>21.036795147267828</v>
      </c>
      <c r="AL39" s="2">
        <f t="shared" si="49"/>
        <v>127.04571680893041</v>
      </c>
      <c r="AY39">
        <v>12</v>
      </c>
      <c r="BC39">
        <v>0</v>
      </c>
    </row>
    <row r="40" spans="1:57" x14ac:dyDescent="0.25">
      <c r="A40">
        <v>34</v>
      </c>
      <c r="B40">
        <f t="shared" si="27"/>
        <v>-4.0828233358763875</v>
      </c>
      <c r="C40">
        <f t="shared" si="28"/>
        <v>28.111232463020471</v>
      </c>
      <c r="D40">
        <f t="shared" si="29"/>
        <v>0.47176614847215625</v>
      </c>
      <c r="E40">
        <f t="shared" si="30"/>
        <v>2.2877566797980453</v>
      </c>
      <c r="F40">
        <f t="shared" si="31"/>
        <v>29.204846805297908</v>
      </c>
      <c r="G40">
        <f t="shared" si="32"/>
        <v>-0.27452649112058136</v>
      </c>
      <c r="H40">
        <f t="shared" si="33"/>
        <v>1.3735566694384251</v>
      </c>
      <c r="J40">
        <f t="shared" si="34"/>
        <v>-15.729209574056371</v>
      </c>
      <c r="K40">
        <f t="shared" si="35"/>
        <v>78.699001423327942</v>
      </c>
      <c r="L40">
        <f t="shared" si="36"/>
        <v>1.236622879966506</v>
      </c>
      <c r="M40">
        <f t="shared" si="37"/>
        <v>0.51966250016846061</v>
      </c>
      <c r="N40">
        <f t="shared" si="38"/>
        <v>32.386704016355012</v>
      </c>
      <c r="O40">
        <f t="shared" si="39"/>
        <v>70.85327308002033</v>
      </c>
      <c r="P40">
        <f t="shared" si="40"/>
        <v>29.7744685387669</v>
      </c>
      <c r="Q40">
        <f t="shared" si="41"/>
        <v>27.03020968568239</v>
      </c>
      <c r="R40">
        <f t="shared" si="42"/>
        <v>131.07880454125342</v>
      </c>
      <c r="S40">
        <f t="shared" si="43"/>
        <v>0.19596325778311524</v>
      </c>
      <c r="U40" s="4">
        <f t="shared" si="45"/>
        <v>11.999999999999998</v>
      </c>
      <c r="V40">
        <v>40</v>
      </c>
      <c r="W40">
        <f t="shared" si="1"/>
        <v>0.47176614847403964</v>
      </c>
      <c r="X40">
        <f t="shared" si="19"/>
        <v>61.570799515387513</v>
      </c>
      <c r="Y40">
        <f t="shared" si="20"/>
        <v>46.647615158762406</v>
      </c>
      <c r="Z40">
        <f t="shared" si="21"/>
        <v>-0.54041950027058416</v>
      </c>
      <c r="AA40">
        <f t="shared" si="22"/>
        <v>1.6394496785865444</v>
      </c>
      <c r="AB40">
        <f t="shared" si="23"/>
        <v>-4.0828233358763875</v>
      </c>
      <c r="AC40">
        <f t="shared" si="24"/>
        <v>28.111232463020471</v>
      </c>
      <c r="AE40">
        <v>3.2153875902064446E-6</v>
      </c>
      <c r="AF40">
        <v>-59.999999999999922</v>
      </c>
      <c r="AH40" s="1">
        <v>34</v>
      </c>
      <c r="AI40" s="1">
        <f t="shared" si="48"/>
        <v>11.999999999999998</v>
      </c>
      <c r="AJ40" s="1">
        <f t="shared" si="48"/>
        <v>40</v>
      </c>
      <c r="AK40" s="2">
        <f t="shared" si="49"/>
        <v>27.03020968568239</v>
      </c>
      <c r="AL40" s="2">
        <f t="shared" si="49"/>
        <v>131.07880454125342</v>
      </c>
      <c r="AY40">
        <v>-12</v>
      </c>
      <c r="BD40">
        <v>0</v>
      </c>
    </row>
    <row r="41" spans="1:57" x14ac:dyDescent="0.25">
      <c r="A41">
        <v>35</v>
      </c>
      <c r="B41">
        <f t="shared" si="27"/>
        <v>-1.5295014346009381</v>
      </c>
      <c r="C41">
        <f t="shared" si="28"/>
        <v>32.819258104421706</v>
      </c>
      <c r="D41">
        <f t="shared" si="29"/>
        <v>0.72950883845963643</v>
      </c>
      <c r="E41">
        <f t="shared" si="30"/>
        <v>2.2860372153274078</v>
      </c>
      <c r="F41">
        <f t="shared" si="31"/>
        <v>34.449020925603584</v>
      </c>
      <c r="G41">
        <f t="shared" si="32"/>
        <v>-0.30882751795785052</v>
      </c>
      <c r="H41">
        <f t="shared" si="33"/>
        <v>1.1501150062882142</v>
      </c>
      <c r="J41">
        <f t="shared" si="34"/>
        <v>-17.694513678321336</v>
      </c>
      <c r="K41">
        <f t="shared" si="35"/>
        <v>65.896736939053952</v>
      </c>
      <c r="L41">
        <f t="shared" si="36"/>
        <v>1.1062566378315539</v>
      </c>
      <c r="M41">
        <f t="shared" si="37"/>
        <v>0.3910157225041464</v>
      </c>
      <c r="N41">
        <f t="shared" si="38"/>
        <v>35.498607178219238</v>
      </c>
      <c r="O41">
        <f t="shared" si="39"/>
        <v>63.383837487292176</v>
      </c>
      <c r="P41">
        <f t="shared" si="40"/>
        <v>22.403551004909531</v>
      </c>
      <c r="Q41">
        <f t="shared" si="41"/>
        <v>41.797778274221344</v>
      </c>
      <c r="R41">
        <f t="shared" si="42"/>
        <v>130.98028648238267</v>
      </c>
      <c r="S41">
        <f t="shared" si="43"/>
        <v>0.4083824645901849</v>
      </c>
      <c r="U41" s="4">
        <f t="shared" si="45"/>
        <v>14.333333333333332</v>
      </c>
      <c r="V41">
        <v>45</v>
      </c>
      <c r="W41">
        <f t="shared" si="1"/>
        <v>0.72950883846151959</v>
      </c>
      <c r="X41">
        <f t="shared" si="19"/>
        <v>61.570799515387513</v>
      </c>
      <c r="Y41">
        <f t="shared" si="20"/>
        <v>52.138703900695923</v>
      </c>
      <c r="Z41">
        <f t="shared" si="21"/>
        <v>-0.52945502739276618</v>
      </c>
      <c r="AA41">
        <f t="shared" si="22"/>
        <v>1.3707425157212467</v>
      </c>
      <c r="AB41">
        <f t="shared" si="23"/>
        <v>-1.5295014346009381</v>
      </c>
      <c r="AC41">
        <f t="shared" si="24"/>
        <v>32.819258104421706</v>
      </c>
      <c r="AE41">
        <v>3.2153875902064446E-6</v>
      </c>
      <c r="AF41">
        <v>-59.999999999999922</v>
      </c>
      <c r="AH41" s="1">
        <v>35</v>
      </c>
      <c r="AI41" s="1">
        <f t="shared" si="48"/>
        <v>14.333333333333332</v>
      </c>
      <c r="AJ41" s="1">
        <f t="shared" si="48"/>
        <v>45</v>
      </c>
      <c r="AK41" s="2">
        <f t="shared" si="49"/>
        <v>41.797778274221344</v>
      </c>
      <c r="AL41" s="2">
        <f t="shared" si="49"/>
        <v>130.98028648238267</v>
      </c>
      <c r="AY41">
        <v>-27.754010010716058</v>
      </c>
      <c r="BD41">
        <v>12.321167500779229</v>
      </c>
    </row>
    <row r="42" spans="1:57" x14ac:dyDescent="0.25">
      <c r="A42">
        <v>36</v>
      </c>
      <c r="B42">
        <f t="shared" si="27"/>
        <v>0.41771768637839202</v>
      </c>
      <c r="C42">
        <f t="shared" si="28"/>
        <v>33.339311468121451</v>
      </c>
      <c r="D42">
        <f t="shared" si="29"/>
        <v>2.1602106234313547</v>
      </c>
      <c r="E42">
        <f t="shared" si="30"/>
        <v>2.3512480456142688</v>
      </c>
      <c r="F42">
        <f t="shared" si="31"/>
        <v>35.576809886596202</v>
      </c>
      <c r="G42">
        <f t="shared" si="32"/>
        <v>-0.35654611838327227</v>
      </c>
      <c r="H42">
        <v>-0.23286817825808237</v>
      </c>
      <c r="J42">
        <f t="shared" si="34"/>
        <v>-20.428588133607459</v>
      </c>
      <c r="K42">
        <f t="shared" si="35"/>
        <v>-13.34236402468443</v>
      </c>
      <c r="L42">
        <f t="shared" si="36"/>
        <v>1.114813931860527</v>
      </c>
      <c r="M42">
        <f t="shared" si="37"/>
        <v>0.3343621862462578</v>
      </c>
      <c r="N42">
        <f t="shared" si="38"/>
        <v>35.29389398693273</v>
      </c>
      <c r="O42">
        <f t="shared" si="39"/>
        <v>63.874134327568392</v>
      </c>
      <c r="P42">
        <f t="shared" si="40"/>
        <v>19.157542427470194</v>
      </c>
      <c r="Q42">
        <f t="shared" si="41"/>
        <v>123.77095369324586</v>
      </c>
      <c r="R42">
        <f t="shared" si="42"/>
        <v>134.71659190009817</v>
      </c>
      <c r="S42">
        <f t="shared" si="43"/>
        <v>0.45093236560030742</v>
      </c>
      <c r="U42" s="4">
        <f t="shared" si="45"/>
        <v>16.666666666666664</v>
      </c>
      <c r="V42">
        <v>45</v>
      </c>
      <c r="W42">
        <f t="shared" si="1"/>
        <v>0.82435578143315524</v>
      </c>
      <c r="X42">
        <f t="shared" si="19"/>
        <v>61.570799515387513</v>
      </c>
      <c r="Y42">
        <f t="shared" si="20"/>
        <v>53.355203849088397</v>
      </c>
      <c r="Z42">
        <f t="shared" si="21"/>
        <v>-0.56720837417107195</v>
      </c>
      <c r="AA42">
        <f t="shared" si="22"/>
        <v>1.3136489195279166</v>
      </c>
      <c r="AB42">
        <f t="shared" si="23"/>
        <v>0.41771768637839202</v>
      </c>
      <c r="AC42">
        <f t="shared" si="24"/>
        <v>33.339311468121451</v>
      </c>
      <c r="AE42">
        <v>3.2153875902064446E-6</v>
      </c>
      <c r="AF42">
        <v>-59.999999999999922</v>
      </c>
      <c r="AH42" s="1">
        <v>36</v>
      </c>
      <c r="AI42" s="1">
        <f t="shared" si="48"/>
        <v>16.666666666666664</v>
      </c>
      <c r="AJ42" s="1">
        <f t="shared" si="48"/>
        <v>45</v>
      </c>
      <c r="AK42" s="2">
        <f t="shared" si="49"/>
        <v>123.77095369324586</v>
      </c>
      <c r="AL42" s="2">
        <f t="shared" si="49"/>
        <v>134.71659190009817</v>
      </c>
      <c r="AY42">
        <v>-6.9999999999999982</v>
      </c>
      <c r="BD42">
        <v>60</v>
      </c>
    </row>
    <row r="43" spans="1:57" x14ac:dyDescent="0.25">
      <c r="A43">
        <v>37</v>
      </c>
      <c r="B43">
        <f t="shared" si="27"/>
        <v>2.4201106172079072</v>
      </c>
      <c r="C43">
        <f t="shared" si="28"/>
        <v>33.814863967931274</v>
      </c>
      <c r="D43">
        <f t="shared" si="29"/>
        <v>3.6147447401807469</v>
      </c>
      <c r="E43">
        <f t="shared" si="30"/>
        <v>2.4157337376620811</v>
      </c>
      <c r="F43">
        <f t="shared" si="31"/>
        <v>36.761183541640889</v>
      </c>
      <c r="G43">
        <f t="shared" si="32"/>
        <v>-0.40309221078143198</v>
      </c>
      <c r="H43">
        <v>-1.6408562026093148</v>
      </c>
      <c r="J43">
        <f t="shared" si="34"/>
        <v>-23.095482826340294</v>
      </c>
      <c r="K43">
        <f t="shared" si="35"/>
        <v>-94.014136801085115</v>
      </c>
      <c r="L43">
        <f t="shared" si="36"/>
        <v>1.1210073898790351</v>
      </c>
      <c r="M43">
        <f t="shared" si="37"/>
        <v>0.27606995221695363</v>
      </c>
      <c r="N43">
        <f t="shared" si="38"/>
        <v>35.145686872733464</v>
      </c>
      <c r="O43">
        <f t="shared" si="39"/>
        <v>64.228993338673604</v>
      </c>
      <c r="P43">
        <f t="shared" si="40"/>
        <v>15.817643382229653</v>
      </c>
      <c r="Q43">
        <f t="shared" si="41"/>
        <v>207.10962116237937</v>
      </c>
      <c r="R43">
        <f t="shared" si="42"/>
        <v>138.41134995644393</v>
      </c>
      <c r="S43">
        <f t="shared" si="43"/>
        <v>0.49466893153635189</v>
      </c>
      <c r="U43" s="4">
        <f t="shared" si="45"/>
        <v>18.999999999999996</v>
      </c>
      <c r="V43">
        <v>45</v>
      </c>
      <c r="W43">
        <f t="shared" si="1"/>
        <v>0.92054606045136733</v>
      </c>
      <c r="X43">
        <f t="shared" si="19"/>
        <v>61.570799515387513</v>
      </c>
      <c r="Y43">
        <f t="shared" si="20"/>
        <v>54.644304369257</v>
      </c>
      <c r="Z43">
        <f t="shared" si="21"/>
        <v>-0.60322985292468478</v>
      </c>
      <c r="AA43">
        <f t="shared" si="22"/>
        <v>1.2534801192633176</v>
      </c>
      <c r="AB43">
        <f t="shared" si="23"/>
        <v>2.4201106172079072</v>
      </c>
      <c r="AC43">
        <f t="shared" si="24"/>
        <v>33.814863967931274</v>
      </c>
      <c r="AE43">
        <v>3.2153875902064446E-6</v>
      </c>
      <c r="AF43">
        <v>-59.999999999999922</v>
      </c>
      <c r="AH43" s="1">
        <v>37</v>
      </c>
      <c r="AI43" s="1">
        <f t="shared" si="48"/>
        <v>18.999999999999996</v>
      </c>
      <c r="AJ43" s="1">
        <f t="shared" si="48"/>
        <v>45</v>
      </c>
      <c r="AK43" s="2">
        <f t="shared" si="49"/>
        <v>207.10962116237937</v>
      </c>
      <c r="AL43" s="2">
        <f t="shared" si="49"/>
        <v>138.41134995644393</v>
      </c>
      <c r="AY43">
        <v>-14.98231154257417</v>
      </c>
      <c r="BD43">
        <v>41.661987500311113</v>
      </c>
    </row>
    <row r="44" spans="1:57" x14ac:dyDescent="0.25">
      <c r="A44">
        <v>38</v>
      </c>
      <c r="B44">
        <f t="shared" si="27"/>
        <v>4.4747590910582922</v>
      </c>
      <c r="C44">
        <f t="shared" si="28"/>
        <v>34.239494690340649</v>
      </c>
      <c r="D44">
        <f t="shared" si="29"/>
        <v>43.615703208720433</v>
      </c>
      <c r="E44">
        <f t="shared" si="30"/>
        <v>2.4791790442592574</v>
      </c>
      <c r="F44">
        <f t="shared" si="31"/>
        <v>37.996850971603862</v>
      </c>
      <c r="G44">
        <f t="shared" si="32"/>
        <v>-0.44846431923636465</v>
      </c>
      <c r="H44">
        <v>-41.596442562694065</v>
      </c>
      <c r="J44">
        <v>-60.969251369261414</v>
      </c>
      <c r="K44">
        <f t="shared" si="35"/>
        <v>-2383.3006422554381</v>
      </c>
      <c r="L44">
        <f t="shared" si="36"/>
        <v>1.1247255575810493</v>
      </c>
      <c r="M44">
        <f t="shared" si="37"/>
        <v>0.21634281332179175</v>
      </c>
      <c r="N44">
        <f t="shared" si="38"/>
        <v>35.056700463498778</v>
      </c>
      <c r="O44">
        <f t="shared" si="39"/>
        <v>64.442028659154872</v>
      </c>
      <c r="P44">
        <f t="shared" si="40"/>
        <v>12.395530342770261</v>
      </c>
      <c r="Q44">
        <f t="shared" si="41"/>
        <v>2498.9957569831549</v>
      </c>
      <c r="R44">
        <f t="shared" si="42"/>
        <v>142.0464983163846</v>
      </c>
      <c r="S44">
        <f t="shared" si="43"/>
        <v>0.53936093570681953</v>
      </c>
      <c r="U44" s="4">
        <f t="shared" si="45"/>
        <v>21.333333333333329</v>
      </c>
      <c r="V44">
        <v>45</v>
      </c>
      <c r="W44">
        <f t="shared" si="1"/>
        <v>1.0181423276147605</v>
      </c>
      <c r="X44">
        <f t="shared" si="19"/>
        <v>61.570799515387513</v>
      </c>
      <c r="Y44">
        <f t="shared" si="20"/>
        <v>56.00099205470481</v>
      </c>
      <c r="Z44">
        <f t="shared" si="21"/>
        <v>-0.6375487981386927</v>
      </c>
      <c r="AA44">
        <f t="shared" si="22"/>
        <v>1.1902027973139322</v>
      </c>
      <c r="AB44">
        <f t="shared" si="23"/>
        <v>4.4747590910582922</v>
      </c>
      <c r="AC44">
        <f t="shared" si="24"/>
        <v>34.239494690340649</v>
      </c>
      <c r="AE44">
        <v>3.2153875902064446E-6</v>
      </c>
      <c r="AF44">
        <v>-59.999999999999922</v>
      </c>
      <c r="AH44" s="1">
        <v>38</v>
      </c>
      <c r="AI44" s="1">
        <f t="shared" si="48"/>
        <v>21.333333333333329</v>
      </c>
      <c r="AJ44" s="1">
        <f t="shared" si="48"/>
        <v>45</v>
      </c>
      <c r="AK44" s="2">
        <f t="shared" si="49"/>
        <v>2498.9957569831549</v>
      </c>
      <c r="AL44" s="2">
        <f t="shared" si="49"/>
        <v>142.0464983163846</v>
      </c>
      <c r="AY44">
        <v>8.2375052570320868</v>
      </c>
      <c r="BD44">
        <v>19.64290287378978</v>
      </c>
    </row>
    <row r="45" spans="1:57" x14ac:dyDescent="0.25">
      <c r="A45">
        <v>39</v>
      </c>
      <c r="B45">
        <f t="shared" si="27"/>
        <v>7.5971324162414007</v>
      </c>
      <c r="C45">
        <f t="shared" si="28"/>
        <v>38.093276312274796</v>
      </c>
      <c r="D45">
        <f t="shared" si="29"/>
        <v>14.045937960420289</v>
      </c>
      <c r="E45">
        <f t="shared" si="30"/>
        <v>2.4419300718137951</v>
      </c>
      <c r="F45">
        <f t="shared" si="31"/>
        <v>42.83859590536337</v>
      </c>
      <c r="G45">
        <f t="shared" si="32"/>
        <v>-0.47514163363028933</v>
      </c>
      <c r="H45">
        <v>-12</v>
      </c>
      <c r="J45">
        <v>-7.0306648677478965</v>
      </c>
      <c r="K45">
        <f t="shared" si="35"/>
        <v>-687.54936588531564</v>
      </c>
      <c r="L45">
        <f t="shared" si="36"/>
        <v>0.98620440043019486</v>
      </c>
      <c r="M45">
        <f t="shared" si="37"/>
        <v>0.11507062861639991</v>
      </c>
      <c r="N45">
        <f t="shared" si="38"/>
        <v>38.346876576370967</v>
      </c>
      <c r="O45">
        <f t="shared" si="39"/>
        <v>56.505350845757363</v>
      </c>
      <c r="P45">
        <f t="shared" si="40"/>
        <v>6.5930614781025341</v>
      </c>
      <c r="Q45">
        <f t="shared" si="41"/>
        <v>804.77297816262114</v>
      </c>
      <c r="R45">
        <f t="shared" si="42"/>
        <v>139.91228936765484</v>
      </c>
      <c r="S45">
        <f t="shared" si="43"/>
        <v>0.70680730398973013</v>
      </c>
      <c r="U45" s="4">
        <f t="shared" si="45"/>
        <v>23.666666666666661</v>
      </c>
      <c r="V45">
        <v>50</v>
      </c>
      <c r="W45">
        <f t="shared" si="1"/>
        <v>1.2601163619473414</v>
      </c>
      <c r="X45">
        <f t="shared" si="19"/>
        <v>61.570799515387513</v>
      </c>
      <c r="Y45">
        <f t="shared" si="20"/>
        <v>61.417514693376432</v>
      </c>
      <c r="Z45">
        <f t="shared" si="21"/>
        <v>-0.6196185712400355</v>
      </c>
      <c r="AA45">
        <f t="shared" si="22"/>
        <v>0.93029853608269431</v>
      </c>
      <c r="AB45">
        <f t="shared" si="23"/>
        <v>7.5971324162414007</v>
      </c>
      <c r="AC45">
        <f t="shared" si="24"/>
        <v>38.093276312274796</v>
      </c>
      <c r="AE45">
        <v>3.2153875902064446E-6</v>
      </c>
      <c r="AF45">
        <v>-59.999999999999922</v>
      </c>
      <c r="AH45" s="1">
        <v>39</v>
      </c>
      <c r="AI45" s="1">
        <f t="shared" si="48"/>
        <v>23.666666666666661</v>
      </c>
      <c r="AJ45" s="1">
        <f t="shared" si="48"/>
        <v>50</v>
      </c>
      <c r="AK45" s="2">
        <f t="shared" si="49"/>
        <v>804.77297816262114</v>
      </c>
      <c r="AL45" s="2">
        <f t="shared" si="49"/>
        <v>139.91228936765484</v>
      </c>
      <c r="AY45">
        <v>12</v>
      </c>
      <c r="BD45">
        <v>0</v>
      </c>
    </row>
    <row r="46" spans="1:57" x14ac:dyDescent="0.25">
      <c r="A46">
        <v>40</v>
      </c>
      <c r="B46">
        <f t="shared" si="27"/>
        <v>9.7842292509124889</v>
      </c>
      <c r="C46">
        <f t="shared" si="28"/>
        <v>38.29321653850144</v>
      </c>
      <c r="D46">
        <f t="shared" si="29"/>
        <v>-60.911981210096606</v>
      </c>
      <c r="E46">
        <f t="shared" si="30"/>
        <v>2.4987581044421305</v>
      </c>
      <c r="F46">
        <f t="shared" si="31"/>
        <v>44.055908535869186</v>
      </c>
      <c r="G46">
        <f t="shared" si="32"/>
        <v>-0.51722246311339182</v>
      </c>
      <c r="H46">
        <v>63</v>
      </c>
      <c r="J46">
        <f t="shared" si="34"/>
        <v>-29.634664711271132</v>
      </c>
      <c r="K46">
        <f t="shared" si="35"/>
        <v>3609.6341708979071</v>
      </c>
      <c r="L46">
        <f t="shared" si="36"/>
        <v>0.98576062596265346</v>
      </c>
      <c r="M46">
        <f t="shared" si="37"/>
        <v>5.7798821520523139E-2</v>
      </c>
      <c r="N46">
        <f t="shared" si="38"/>
        <v>38.357268840169944</v>
      </c>
      <c r="O46">
        <f t="shared" si="39"/>
        <v>56.479924441277845</v>
      </c>
      <c r="P46">
        <f t="shared" si="40"/>
        <v>3.3116285904461851</v>
      </c>
      <c r="Q46">
        <f t="shared" si="41"/>
        <v>-3489.9995046516815</v>
      </c>
      <c r="R46">
        <f t="shared" si="42"/>
        <v>143.16829585083167</v>
      </c>
      <c r="S46">
        <f t="shared" si="43"/>
        <v>0.74730218981221708</v>
      </c>
      <c r="U46" s="4">
        <f t="shared" si="45"/>
        <v>25.999999999999993</v>
      </c>
      <c r="V46">
        <v>50</v>
      </c>
      <c r="W46">
        <f t="shared" si="1"/>
        <v>1.3612152135414333</v>
      </c>
      <c r="X46">
        <f t="shared" si="19"/>
        <v>61.570799515387513</v>
      </c>
      <c r="Y46">
        <f t="shared" si="20"/>
        <v>62.801273872430322</v>
      </c>
      <c r="Z46">
        <f t="shared" si="21"/>
        <v>-0.64987044941194749</v>
      </c>
      <c r="AA46">
        <f t="shared" si="22"/>
        <v>0.85945156266051437</v>
      </c>
      <c r="AB46">
        <f t="shared" si="23"/>
        <v>9.7842292509124889</v>
      </c>
      <c r="AC46">
        <f t="shared" si="24"/>
        <v>38.29321653850144</v>
      </c>
      <c r="AE46">
        <v>3.2153875902064446E-6</v>
      </c>
      <c r="AF46">
        <v>-59.999999999999922</v>
      </c>
      <c r="AH46" s="1">
        <v>40</v>
      </c>
      <c r="AI46" s="1">
        <f t="shared" si="48"/>
        <v>25.999999999999993</v>
      </c>
      <c r="AJ46" s="1">
        <f t="shared" si="48"/>
        <v>50</v>
      </c>
      <c r="AK46" s="2">
        <f t="shared" si="49"/>
        <v>-3489.9995046516815</v>
      </c>
      <c r="AL46" s="2">
        <f t="shared" si="49"/>
        <v>143.16829585083167</v>
      </c>
      <c r="AY46">
        <v>-12</v>
      </c>
      <c r="BE46">
        <v>0</v>
      </c>
    </row>
    <row r="47" spans="1:57" x14ac:dyDescent="0.25">
      <c r="A47">
        <v>41</v>
      </c>
      <c r="B47">
        <f t="shared" si="27"/>
        <v>12.026466114314104</v>
      </c>
      <c r="C47">
        <f t="shared" si="28"/>
        <v>38.42044553954738</v>
      </c>
      <c r="D47">
        <f t="shared" si="29"/>
        <v>1.8197026765337179</v>
      </c>
      <c r="E47">
        <f t="shared" si="30"/>
        <v>2.5545463218852977</v>
      </c>
      <c r="F47">
        <f t="shared" si="31"/>
        <v>45.314475715819661</v>
      </c>
      <c r="G47">
        <f t="shared" si="32"/>
        <v>-0.55885546099476169</v>
      </c>
      <c r="H47">
        <v>0.30994911125104385</v>
      </c>
      <c r="J47">
        <f t="shared" si="34"/>
        <v>-32.02005981904118</v>
      </c>
      <c r="K47">
        <f t="shared" si="35"/>
        <v>17.758776241447695</v>
      </c>
      <c r="L47">
        <f t="shared" si="36"/>
        <v>0.98306116703845248</v>
      </c>
      <c r="M47">
        <f t="shared" si="37"/>
        <v>-6.8885484684500029E-4</v>
      </c>
      <c r="N47">
        <f t="shared" si="38"/>
        <v>38.420454655203301</v>
      </c>
      <c r="O47">
        <f t="shared" si="39"/>
        <v>56.325256835313859</v>
      </c>
      <c r="P47">
        <f t="shared" si="40"/>
        <v>-3.9468476094608844E-2</v>
      </c>
      <c r="Q47">
        <f t="shared" si="41"/>
        <v>104.26128511254745</v>
      </c>
      <c r="R47">
        <f t="shared" si="42"/>
        <v>146.36472531140848</v>
      </c>
      <c r="S47">
        <f t="shared" si="43"/>
        <v>0.78860104128965669</v>
      </c>
      <c r="U47" s="4">
        <f t="shared" si="45"/>
        <v>28.333333333333325</v>
      </c>
      <c r="V47">
        <v>50</v>
      </c>
      <c r="W47">
        <f t="shared" si="1"/>
        <v>1.4673860473350662</v>
      </c>
      <c r="X47">
        <f t="shared" si="19"/>
        <v>61.570799515387513</v>
      </c>
      <c r="Y47">
        <f t="shared" si="20"/>
        <v>64.24000138369999</v>
      </c>
      <c r="Z47">
        <f t="shared" si="21"/>
        <v>-0.67879278390718445</v>
      </c>
      <c r="AA47">
        <f t="shared" si="22"/>
        <v>0.78220306336211842</v>
      </c>
      <c r="AB47">
        <f t="shared" si="23"/>
        <v>12.026466114314104</v>
      </c>
      <c r="AC47">
        <f t="shared" si="24"/>
        <v>38.42044553954738</v>
      </c>
      <c r="AE47">
        <v>3.2153875902064446E-6</v>
      </c>
      <c r="AF47">
        <v>-59.999999999999922</v>
      </c>
      <c r="AH47" s="1">
        <v>41</v>
      </c>
      <c r="AI47" s="1">
        <f t="shared" si="48"/>
        <v>28.333333333333325</v>
      </c>
      <c r="AJ47" s="1">
        <f t="shared" si="48"/>
        <v>50</v>
      </c>
      <c r="AK47" s="2">
        <f t="shared" si="49"/>
        <v>104.26128511254745</v>
      </c>
      <c r="AL47" s="2">
        <f t="shared" si="49"/>
        <v>146.36472531140848</v>
      </c>
      <c r="AY47">
        <v>-27.116306655803694</v>
      </c>
      <c r="BE47">
        <v>13.095696739299708</v>
      </c>
    </row>
    <row r="48" spans="1:57" x14ac:dyDescent="0.25">
      <c r="A48">
        <v>42</v>
      </c>
      <c r="B48">
        <f t="shared" si="27"/>
        <v>14.330952104090747</v>
      </c>
      <c r="C48">
        <f t="shared" si="28"/>
        <v>38.461177281400523</v>
      </c>
      <c r="D48">
        <f t="shared" si="29"/>
        <v>-29.765527465589358</v>
      </c>
      <c r="E48">
        <f t="shared" si="30"/>
        <v>2.6096286513857434</v>
      </c>
      <c r="F48">
        <f t="shared" si="31"/>
        <v>46.610955756981006</v>
      </c>
      <c r="G48">
        <f t="shared" si="32"/>
        <v>-0.60032306302562299</v>
      </c>
      <c r="H48">
        <v>31.93664685540498</v>
      </c>
      <c r="J48">
        <f t="shared" si="34"/>
        <v>-34.395978442466458</v>
      </c>
      <c r="K48">
        <f t="shared" si="35"/>
        <v>1829.8351078280793</v>
      </c>
      <c r="L48">
        <f t="shared" si="36"/>
        <v>0.97830106568161268</v>
      </c>
      <c r="M48">
        <f t="shared" si="37"/>
        <v>-6.0531285704130751E-2</v>
      </c>
      <c r="N48">
        <f t="shared" si="38"/>
        <v>38.53174659398254</v>
      </c>
      <c r="O48">
        <f t="shared" si="39"/>
        <v>56.052523112860108</v>
      </c>
      <c r="P48">
        <f t="shared" si="40"/>
        <v>-3.4681872585081637</v>
      </c>
      <c r="Q48">
        <f t="shared" si="41"/>
        <v>-1705.4391278506589</v>
      </c>
      <c r="R48">
        <f t="shared" si="42"/>
        <v>149.52071037136827</v>
      </c>
      <c r="S48">
        <f t="shared" si="43"/>
        <v>0.830588630628598</v>
      </c>
      <c r="U48" s="4">
        <f t="shared" si="45"/>
        <v>30.666666666666657</v>
      </c>
      <c r="V48">
        <v>50</v>
      </c>
      <c r="W48">
        <f t="shared" si="1"/>
        <v>1.5804869186626391</v>
      </c>
      <c r="X48">
        <f t="shared" si="19"/>
        <v>61.570799515387513</v>
      </c>
      <c r="Y48">
        <f t="shared" si="20"/>
        <v>65.730087817105826</v>
      </c>
      <c r="Z48">
        <f t="shared" si="21"/>
        <v>-0.70642605565605598</v>
      </c>
      <c r="AA48">
        <f t="shared" si="22"/>
        <v>0.69673546378341711</v>
      </c>
      <c r="AB48">
        <f t="shared" si="23"/>
        <v>14.330952104090747</v>
      </c>
      <c r="AC48">
        <f t="shared" si="24"/>
        <v>38.461177281400523</v>
      </c>
      <c r="AE48">
        <v>3.2153875902064446E-6</v>
      </c>
      <c r="AF48">
        <v>-59.999999999999922</v>
      </c>
      <c r="AH48" s="1">
        <v>42</v>
      </c>
      <c r="AI48" s="1">
        <f t="shared" si="48"/>
        <v>30.666666666666657</v>
      </c>
      <c r="AJ48" s="1">
        <f t="shared" si="48"/>
        <v>50</v>
      </c>
      <c r="AK48" s="2">
        <f t="shared" si="49"/>
        <v>-1705.4391278506589</v>
      </c>
      <c r="AL48" s="2">
        <f t="shared" si="49"/>
        <v>149.52071037136827</v>
      </c>
      <c r="AY48">
        <v>-4.6666666666666643</v>
      </c>
      <c r="BE48">
        <v>60</v>
      </c>
    </row>
    <row r="49" spans="1:60" x14ac:dyDescent="0.25">
      <c r="A49">
        <v>43</v>
      </c>
      <c r="B49">
        <f t="shared" si="27"/>
        <v>16.712210991394652</v>
      </c>
      <c r="C49">
        <f t="shared" si="28"/>
        <v>38.393625492331587</v>
      </c>
      <c r="D49">
        <f t="shared" si="29"/>
        <v>1.7037753297834772</v>
      </c>
      <c r="E49">
        <f t="shared" si="30"/>
        <v>2.6647949441903624</v>
      </c>
      <c r="F49">
        <f t="shared" si="31"/>
        <v>47.942272979696924</v>
      </c>
      <c r="G49">
        <f t="shared" si="32"/>
        <v>-0.64211597372582663</v>
      </c>
      <c r="H49">
        <f t="shared" si="33"/>
        <v>0.50913697073234943</v>
      </c>
      <c r="J49">
        <f t="shared" si="34"/>
        <v>-36.790535880002004</v>
      </c>
      <c r="K49">
        <f t="shared" si="35"/>
        <v>29.171400114649778</v>
      </c>
      <c r="L49">
        <f t="shared" si="36"/>
        <v>0.9718752076977446</v>
      </c>
      <c r="M49">
        <f t="shared" si="37"/>
        <v>-0.12212343649261795</v>
      </c>
      <c r="N49">
        <f t="shared" si="38"/>
        <v>38.681719337082662</v>
      </c>
      <c r="O49">
        <f t="shared" si="39"/>
        <v>55.684348564353641</v>
      </c>
      <c r="P49">
        <f t="shared" si="40"/>
        <v>-6.9971576100195909</v>
      </c>
      <c r="Q49">
        <f t="shared" si="41"/>
        <v>97.619137300306178</v>
      </c>
      <c r="R49">
        <f t="shared" si="42"/>
        <v>152.68150617437323</v>
      </c>
      <c r="S49">
        <f t="shared" si="43"/>
        <v>0.87316549382676101</v>
      </c>
      <c r="U49" s="4">
        <f t="shared" si="45"/>
        <v>32.999999999999993</v>
      </c>
      <c r="V49">
        <v>50</v>
      </c>
      <c r="W49">
        <f t="shared" si="1"/>
        <v>1.7037753297853606</v>
      </c>
      <c r="X49">
        <f t="shared" si="19"/>
        <v>61.570799515387513</v>
      </c>
      <c r="Y49">
        <f t="shared" si="20"/>
        <v>67.268120235368542</v>
      </c>
      <c r="Z49">
        <f t="shared" si="21"/>
        <v>-0.73281510178650655</v>
      </c>
      <c r="AA49">
        <f t="shared" si="22"/>
        <v>0.5998360987911463</v>
      </c>
      <c r="AB49">
        <f t="shared" si="23"/>
        <v>16.712210991394652</v>
      </c>
      <c r="AC49">
        <f t="shared" si="24"/>
        <v>38.393625492331587</v>
      </c>
      <c r="AE49">
        <v>3.2153875902064446E-6</v>
      </c>
      <c r="AF49">
        <v>-59.999999999999922</v>
      </c>
      <c r="AH49" s="1">
        <v>43</v>
      </c>
      <c r="AI49" s="1">
        <f t="shared" si="48"/>
        <v>32.999999999999993</v>
      </c>
      <c r="AJ49" s="1">
        <f t="shared" si="48"/>
        <v>50</v>
      </c>
      <c r="AK49" s="2">
        <f t="shared" si="49"/>
        <v>97.619137300306178</v>
      </c>
      <c r="AL49" s="2">
        <f t="shared" si="49"/>
        <v>152.68150617437323</v>
      </c>
      <c r="AY49">
        <v>-13.301143585556035</v>
      </c>
      <c r="BE49">
        <v>41.95988336128007</v>
      </c>
    </row>
    <row r="50" spans="1:60" x14ac:dyDescent="0.25">
      <c r="A50">
        <v>44</v>
      </c>
      <c r="B50">
        <f t="shared" si="27"/>
        <v>19.202380014180324</v>
      </c>
      <c r="C50">
        <f t="shared" si="28"/>
        <v>38.176618714756898</v>
      </c>
      <c r="D50">
        <f t="shared" si="29"/>
        <v>1.8438183322258126</v>
      </c>
      <c r="E50">
        <f t="shared" si="30"/>
        <v>2.7219095076373305</v>
      </c>
      <c r="F50">
        <f t="shared" si="31"/>
        <v>49.305605513382012</v>
      </c>
      <c r="G50">
        <f t="shared" si="32"/>
        <v>-0.68521095098159412</v>
      </c>
      <c r="H50">
        <f t="shared" si="33"/>
        <v>0.41218894554578145</v>
      </c>
      <c r="J50">
        <f t="shared" si="34"/>
        <v>-39.259696237089095</v>
      </c>
      <c r="K50">
        <f t="shared" si="35"/>
        <v>23.616687344578242</v>
      </c>
      <c r="L50">
        <f t="shared" si="36"/>
        <v>0.96464541768648271</v>
      </c>
      <c r="M50">
        <f t="shared" si="37"/>
        <v>-0.1864677899508477</v>
      </c>
      <c r="N50">
        <f t="shared" si="38"/>
        <v>38.850077147421352</v>
      </c>
      <c r="O50">
        <f t="shared" si="39"/>
        <v>55.270112102876382</v>
      </c>
      <c r="P50">
        <f t="shared" si="40"/>
        <v>-10.683817561561797</v>
      </c>
      <c r="Q50">
        <f t="shared" si="41"/>
        <v>105.6430104274648</v>
      </c>
      <c r="R50">
        <f t="shared" si="42"/>
        <v>155.95392966443819</v>
      </c>
      <c r="S50">
        <f t="shared" si="43"/>
        <v>0.91624609221703901</v>
      </c>
      <c r="U50" s="4">
        <f t="shared" si="45"/>
        <v>35.333333333333329</v>
      </c>
      <c r="V50">
        <v>50</v>
      </c>
      <c r="W50">
        <f t="shared" si="1"/>
        <v>1.843818332227696</v>
      </c>
      <c r="X50">
        <f t="shared" si="19"/>
        <v>61.570799515387513</v>
      </c>
      <c r="Y50">
        <f t="shared" si="20"/>
        <v>68.850885574874368</v>
      </c>
      <c r="Z50">
        <f t="shared" si="21"/>
        <v>-0.75800775492258576</v>
      </c>
      <c r="AA50">
        <f t="shared" si="22"/>
        <v>0.48498574948488993</v>
      </c>
      <c r="AB50">
        <f t="shared" si="23"/>
        <v>19.202380014180324</v>
      </c>
      <c r="AC50">
        <f t="shared" si="24"/>
        <v>38.176618714756898</v>
      </c>
      <c r="AE50">
        <v>3.2153875902064446E-6</v>
      </c>
      <c r="AF50">
        <v>-59.999999999999922</v>
      </c>
      <c r="AH50" s="1">
        <v>44</v>
      </c>
      <c r="AI50" s="1">
        <f t="shared" si="48"/>
        <v>35.333333333333329</v>
      </c>
      <c r="AJ50" s="1">
        <f t="shared" si="48"/>
        <v>50</v>
      </c>
      <c r="AK50" s="2">
        <f t="shared" si="49"/>
        <v>105.6430104274648</v>
      </c>
      <c r="AL50" s="2">
        <f t="shared" si="49"/>
        <v>155.95392966443819</v>
      </c>
      <c r="AY50">
        <v>9.8664661885771885</v>
      </c>
      <c r="BE50">
        <v>19.885875225282785</v>
      </c>
    </row>
    <row r="51" spans="1:60" x14ac:dyDescent="0.25">
      <c r="A51">
        <v>45</v>
      </c>
      <c r="B51">
        <f t="shared" si="27"/>
        <v>21.893097368944353</v>
      </c>
      <c r="C51">
        <f t="shared" si="28"/>
        <v>37.703882254523485</v>
      </c>
      <c r="D51">
        <f t="shared" si="29"/>
        <v>2.0183587383959272</v>
      </c>
      <c r="E51">
        <f t="shared" si="30"/>
        <v>2.7864463331562379</v>
      </c>
      <c r="F51">
        <f t="shared" si="31"/>
        <v>50.698370647622525</v>
      </c>
      <c r="G51">
        <f t="shared" si="32"/>
        <v>-0.7322228420674658</v>
      </c>
      <c r="H51">
        <f t="shared" si="33"/>
        <v>0.28466043046153855</v>
      </c>
      <c r="J51">
        <f t="shared" si="34"/>
        <v>-41.953279229185803</v>
      </c>
      <c r="K51">
        <f t="shared" si="35"/>
        <v>16.309841538039318</v>
      </c>
      <c r="L51">
        <f t="shared" si="36"/>
        <v>0.95904521731190207</v>
      </c>
      <c r="M51">
        <f t="shared" si="37"/>
        <v>-0.25660481584433587</v>
      </c>
      <c r="N51">
        <f t="shared" si="38"/>
        <v>38.980201546610616</v>
      </c>
      <c r="O51">
        <f t="shared" si="39"/>
        <v>54.949244251511914</v>
      </c>
      <c r="P51">
        <f t="shared" si="40"/>
        <v>-14.70237320140761</v>
      </c>
      <c r="Q51">
        <f t="shared" si="41"/>
        <v>115.64343922610045</v>
      </c>
      <c r="R51">
        <f t="shared" si="42"/>
        <v>159.65161745291951</v>
      </c>
      <c r="S51">
        <f t="shared" si="43"/>
        <v>0.95975706983345888</v>
      </c>
      <c r="U51" s="4">
        <f t="shared" si="45"/>
        <v>37.666666666666664</v>
      </c>
      <c r="V51">
        <v>50</v>
      </c>
      <c r="W51">
        <f t="shared" si="1"/>
        <v>2.0183587383978105</v>
      </c>
      <c r="X51">
        <f t="shared" si="19"/>
        <v>61.570799515387513</v>
      </c>
      <c r="Y51">
        <f t="shared" si="20"/>
        <v>70.47537000809416</v>
      </c>
      <c r="Z51">
        <f t="shared" si="21"/>
        <v>-0.78205369426197691</v>
      </c>
      <c r="AA51">
        <f t="shared" si="22"/>
        <v>0.33449128265416639</v>
      </c>
      <c r="AB51">
        <f t="shared" si="23"/>
        <v>21.893097368944353</v>
      </c>
      <c r="AC51">
        <f t="shared" si="24"/>
        <v>37.703882254523485</v>
      </c>
      <c r="AE51">
        <v>3.2153875902064446E-6</v>
      </c>
      <c r="AF51">
        <v>-59.999999999999922</v>
      </c>
      <c r="AH51" s="1">
        <v>45</v>
      </c>
      <c r="AI51" s="1">
        <f t="shared" si="48"/>
        <v>37.666666666666664</v>
      </c>
      <c r="AJ51" s="1">
        <f t="shared" si="48"/>
        <v>50</v>
      </c>
      <c r="AK51" s="2">
        <f t="shared" si="49"/>
        <v>115.64343922610045</v>
      </c>
      <c r="AL51" s="2">
        <f t="shared" si="49"/>
        <v>159.65161745291951</v>
      </c>
      <c r="AY51">
        <v>12</v>
      </c>
      <c r="BE51">
        <v>0</v>
      </c>
    </row>
    <row r="52" spans="1:60" x14ac:dyDescent="0.25">
      <c r="A52">
        <v>46</v>
      </c>
      <c r="B52" t="e">
        <f t="shared" si="27"/>
        <v>#NUM!</v>
      </c>
      <c r="C52" t="e">
        <f t="shared" si="28"/>
        <v>#NUM!</v>
      </c>
      <c r="D52" t="e">
        <f t="shared" si="29"/>
        <v>#NUM!</v>
      </c>
      <c r="E52" t="e">
        <f t="shared" si="30"/>
        <v>#NUM!</v>
      </c>
      <c r="F52" t="e">
        <f t="shared" si="31"/>
        <v>#NUM!</v>
      </c>
      <c r="G52" t="e">
        <f t="shared" si="32"/>
        <v>#NUM!</v>
      </c>
      <c r="H52" t="e">
        <f t="shared" si="33"/>
        <v>#NUM!</v>
      </c>
      <c r="J52" t="e">
        <f t="shared" si="34"/>
        <v>#NUM!</v>
      </c>
      <c r="K52" t="e">
        <f t="shared" si="35"/>
        <v>#NUM!</v>
      </c>
      <c r="L52" t="e">
        <f t="shared" si="36"/>
        <v>#NUM!</v>
      </c>
      <c r="M52" t="e">
        <f t="shared" si="37"/>
        <v>#NUM!</v>
      </c>
      <c r="N52" t="e">
        <f t="shared" si="38"/>
        <v>#NUM!</v>
      </c>
      <c r="O52" t="e">
        <f t="shared" si="39"/>
        <v>#NUM!</v>
      </c>
      <c r="P52" t="e">
        <f t="shared" si="40"/>
        <v>#NUM!</v>
      </c>
      <c r="Q52" t="e">
        <f t="shared" si="41"/>
        <v>#NUM!</v>
      </c>
      <c r="R52" t="e">
        <f t="shared" si="42"/>
        <v>#NUM!</v>
      </c>
      <c r="S52" t="e">
        <f t="shared" si="43"/>
        <v>#NUM!</v>
      </c>
      <c r="U52" s="4">
        <f t="shared" si="45"/>
        <v>40</v>
      </c>
      <c r="V52">
        <v>50</v>
      </c>
      <c r="W52" t="e">
        <f t="shared" si="1"/>
        <v>#NUM!</v>
      </c>
      <c r="X52">
        <f t="shared" si="19"/>
        <v>61.570799515387513</v>
      </c>
      <c r="Y52">
        <f t="shared" si="20"/>
        <v>72.138755187485728</v>
      </c>
      <c r="Z52">
        <f t="shared" si="21"/>
        <v>-0.80500349425465301</v>
      </c>
      <c r="AA52" t="e">
        <f t="shared" si="22"/>
        <v>#NUM!</v>
      </c>
      <c r="AB52" t="e">
        <f t="shared" si="23"/>
        <v>#NUM!</v>
      </c>
      <c r="AC52" t="e">
        <f t="shared" si="24"/>
        <v>#NUM!</v>
      </c>
      <c r="AE52">
        <v>3.2153875902064446E-6</v>
      </c>
      <c r="AF52">
        <v>-59.999999999999922</v>
      </c>
      <c r="AH52" s="1">
        <v>46</v>
      </c>
      <c r="AI52" s="1">
        <f t="shared" si="48"/>
        <v>40</v>
      </c>
      <c r="AJ52" s="1">
        <f t="shared" si="48"/>
        <v>50</v>
      </c>
      <c r="AK52" s="2" t="e">
        <f t="shared" si="49"/>
        <v>#NUM!</v>
      </c>
      <c r="AL52" s="2" t="e">
        <f t="shared" si="49"/>
        <v>#NUM!</v>
      </c>
      <c r="AY52">
        <v>-12</v>
      </c>
      <c r="BF52">
        <v>0</v>
      </c>
    </row>
    <row r="53" spans="1:60" x14ac:dyDescent="0.25">
      <c r="A53">
        <v>47</v>
      </c>
      <c r="B53" t="e">
        <f t="shared" si="27"/>
        <v>#NUM!</v>
      </c>
      <c r="C53" t="e">
        <f t="shared" si="28"/>
        <v>#NUM!</v>
      </c>
      <c r="D53" t="e">
        <f t="shared" si="29"/>
        <v>#NUM!</v>
      </c>
      <c r="E53" t="e">
        <f t="shared" si="30"/>
        <v>#NUM!</v>
      </c>
      <c r="F53" t="e">
        <f t="shared" si="31"/>
        <v>#NUM!</v>
      </c>
      <c r="G53" t="e">
        <f t="shared" si="32"/>
        <v>#NUM!</v>
      </c>
      <c r="H53" t="e">
        <f t="shared" si="33"/>
        <v>#NUM!</v>
      </c>
      <c r="J53" t="e">
        <f t="shared" si="34"/>
        <v>#NUM!</v>
      </c>
      <c r="K53" t="e">
        <f t="shared" si="35"/>
        <v>#NUM!</v>
      </c>
      <c r="L53" t="e">
        <f t="shared" si="36"/>
        <v>#NUM!</v>
      </c>
      <c r="M53" t="e">
        <f t="shared" si="37"/>
        <v>#NUM!</v>
      </c>
      <c r="N53" t="e">
        <f t="shared" si="38"/>
        <v>#NUM!</v>
      </c>
      <c r="O53" t="e">
        <f t="shared" si="39"/>
        <v>#NUM!</v>
      </c>
      <c r="P53" t="e">
        <f t="shared" si="40"/>
        <v>#NUM!</v>
      </c>
      <c r="Q53" t="e">
        <f t="shared" si="41"/>
        <v>#NUM!</v>
      </c>
      <c r="R53" t="e">
        <f t="shared" si="42"/>
        <v>#NUM!</v>
      </c>
      <c r="S53" t="e">
        <f t="shared" si="43"/>
        <v>#NUM!</v>
      </c>
      <c r="U53" s="4">
        <f t="shared" si="45"/>
        <v>42.333333333333336</v>
      </c>
      <c r="V53">
        <v>50</v>
      </c>
      <c r="W53" t="e">
        <f t="shared" si="1"/>
        <v>#NUM!</v>
      </c>
      <c r="X53">
        <f t="shared" si="19"/>
        <v>61.570799515387513</v>
      </c>
      <c r="Y53">
        <f t="shared" si="20"/>
        <v>73.838412165424515</v>
      </c>
      <c r="Z53">
        <f t="shared" si="21"/>
        <v>-0.82690785213137052</v>
      </c>
      <c r="AA53" t="e">
        <f t="shared" si="22"/>
        <v>#NUM!</v>
      </c>
      <c r="AB53" t="e">
        <f t="shared" si="23"/>
        <v>#NUM!</v>
      </c>
      <c r="AC53" t="e">
        <f t="shared" si="24"/>
        <v>#NUM!</v>
      </c>
      <c r="AE53">
        <v>3.2153875902064446E-6</v>
      </c>
      <c r="AF53">
        <v>-59.999999999999922</v>
      </c>
      <c r="AH53" s="1">
        <v>47</v>
      </c>
      <c r="AI53" s="1">
        <f t="shared" si="48"/>
        <v>42.333333333333336</v>
      </c>
      <c r="AJ53" s="1">
        <f t="shared" si="48"/>
        <v>50</v>
      </c>
      <c r="AK53" s="2" t="e">
        <f t="shared" si="49"/>
        <v>#NUM!</v>
      </c>
      <c r="AL53" s="2" t="e">
        <f t="shared" si="49"/>
        <v>#NUM!</v>
      </c>
      <c r="AY53">
        <v>-26.383946707329393</v>
      </c>
      <c r="BF53">
        <v>13.89611733977185</v>
      </c>
    </row>
    <row r="54" spans="1:60" x14ac:dyDescent="0.25">
      <c r="A54">
        <v>48</v>
      </c>
      <c r="B54" t="e">
        <f t="shared" si="27"/>
        <v>#NUM!</v>
      </c>
      <c r="C54" t="e">
        <f t="shared" si="28"/>
        <v>#NUM!</v>
      </c>
      <c r="D54" t="e">
        <f t="shared" si="29"/>
        <v>#NUM!</v>
      </c>
      <c r="E54" t="e">
        <f t="shared" si="30"/>
        <v>#NUM!</v>
      </c>
      <c r="F54" t="e">
        <f t="shared" si="31"/>
        <v>#NUM!</v>
      </c>
      <c r="G54" t="e">
        <f t="shared" si="32"/>
        <v>#NUM!</v>
      </c>
      <c r="H54" t="e">
        <f t="shared" si="33"/>
        <v>#NUM!</v>
      </c>
      <c r="J54" t="e">
        <f t="shared" si="34"/>
        <v>#NUM!</v>
      </c>
      <c r="K54" t="e">
        <f t="shared" si="35"/>
        <v>#NUM!</v>
      </c>
      <c r="L54" t="e">
        <f t="shared" si="36"/>
        <v>#NUM!</v>
      </c>
      <c r="M54" t="e">
        <f t="shared" si="37"/>
        <v>#NUM!</v>
      </c>
      <c r="N54" t="e">
        <f t="shared" si="38"/>
        <v>#NUM!</v>
      </c>
      <c r="O54" t="e">
        <f t="shared" si="39"/>
        <v>#NUM!</v>
      </c>
      <c r="P54" t="e">
        <f t="shared" si="40"/>
        <v>#NUM!</v>
      </c>
      <c r="Q54" t="e">
        <f t="shared" si="41"/>
        <v>#NUM!</v>
      </c>
      <c r="R54" t="e">
        <f t="shared" si="42"/>
        <v>#NUM!</v>
      </c>
      <c r="S54" t="e">
        <f t="shared" si="43"/>
        <v>#NUM!</v>
      </c>
      <c r="U54" s="4">
        <f t="shared" si="45"/>
        <v>44.666666666666671</v>
      </c>
      <c r="V54">
        <v>50</v>
      </c>
      <c r="W54" t="e">
        <f t="shared" si="1"/>
        <v>#NUM!</v>
      </c>
      <c r="X54">
        <f t="shared" si="19"/>
        <v>61.570799515387513</v>
      </c>
      <c r="Y54">
        <f t="shared" si="20"/>
        <v>75.571893658364232</v>
      </c>
      <c r="Z54">
        <f t="shared" si="21"/>
        <v>-0.84781697339340578</v>
      </c>
      <c r="AA54" t="e">
        <f t="shared" si="22"/>
        <v>#NUM!</v>
      </c>
      <c r="AB54" t="e">
        <f t="shared" si="23"/>
        <v>#NUM!</v>
      </c>
      <c r="AC54" t="e">
        <f t="shared" si="24"/>
        <v>#NUM!</v>
      </c>
      <c r="AE54">
        <v>3.2153875902064446E-6</v>
      </c>
      <c r="AF54">
        <v>-59.999999999999922</v>
      </c>
      <c r="AH54" s="1">
        <v>48</v>
      </c>
      <c r="AI54" s="1">
        <f t="shared" si="48"/>
        <v>44.666666666666671</v>
      </c>
      <c r="AJ54" s="1">
        <f t="shared" si="48"/>
        <v>50</v>
      </c>
      <c r="AK54" s="2" t="e">
        <f t="shared" si="49"/>
        <v>#NUM!</v>
      </c>
      <c r="AL54" s="2" t="e">
        <f t="shared" si="49"/>
        <v>#NUM!</v>
      </c>
      <c r="AY54">
        <v>-2.3333333333333308</v>
      </c>
      <c r="BF54">
        <v>60</v>
      </c>
    </row>
    <row r="55" spans="1:60" x14ac:dyDescent="0.25">
      <c r="A55">
        <v>49</v>
      </c>
      <c r="B55" t="e">
        <f t="shared" si="27"/>
        <v>#NUM!</v>
      </c>
      <c r="C55" t="e">
        <f t="shared" si="28"/>
        <v>#NUM!</v>
      </c>
      <c r="D55" t="e">
        <f t="shared" si="29"/>
        <v>#NUM!</v>
      </c>
      <c r="E55" t="e">
        <f t="shared" si="30"/>
        <v>#NUM!</v>
      </c>
      <c r="F55" t="e">
        <f t="shared" si="31"/>
        <v>#NUM!</v>
      </c>
      <c r="G55" t="e">
        <f t="shared" si="32"/>
        <v>#NUM!</v>
      </c>
      <c r="H55" t="e">
        <f t="shared" si="33"/>
        <v>#NUM!</v>
      </c>
      <c r="J55" t="e">
        <f t="shared" si="34"/>
        <v>#NUM!</v>
      </c>
      <c r="K55" t="e">
        <f t="shared" si="35"/>
        <v>#NUM!</v>
      </c>
      <c r="L55" t="e">
        <f t="shared" si="36"/>
        <v>#NUM!</v>
      </c>
      <c r="M55" t="e">
        <f t="shared" si="37"/>
        <v>#NUM!</v>
      </c>
      <c r="N55" t="e">
        <f t="shared" si="38"/>
        <v>#NUM!</v>
      </c>
      <c r="O55" t="e">
        <f t="shared" si="39"/>
        <v>#NUM!</v>
      </c>
      <c r="P55" t="e">
        <f t="shared" si="40"/>
        <v>#NUM!</v>
      </c>
      <c r="Q55" t="e">
        <f t="shared" si="41"/>
        <v>#NUM!</v>
      </c>
      <c r="R55" t="e">
        <f t="shared" si="42"/>
        <v>#NUM!</v>
      </c>
      <c r="S55" t="e">
        <f t="shared" si="43"/>
        <v>#NUM!</v>
      </c>
      <c r="U55" s="4">
        <f t="shared" si="45"/>
        <v>47.000000000000007</v>
      </c>
      <c r="V55">
        <v>50</v>
      </c>
      <c r="W55" t="e">
        <f t="shared" si="1"/>
        <v>#NUM!</v>
      </c>
      <c r="X55">
        <f t="shared" si="19"/>
        <v>61.570799515387513</v>
      </c>
      <c r="Y55">
        <f t="shared" si="20"/>
        <v>77.336925203941234</v>
      </c>
      <c r="Z55">
        <f t="shared" si="21"/>
        <v>-0.86778009398913902</v>
      </c>
      <c r="AA55" t="e">
        <f t="shared" si="22"/>
        <v>#NUM!</v>
      </c>
      <c r="AB55" t="e">
        <f t="shared" si="23"/>
        <v>#NUM!</v>
      </c>
      <c r="AC55" t="e">
        <f t="shared" si="24"/>
        <v>#NUM!</v>
      </c>
      <c r="AE55">
        <v>3.2153875902064446E-6</v>
      </c>
      <c r="AF55">
        <v>-59.999999999999922</v>
      </c>
      <c r="AH55" s="1">
        <v>49</v>
      </c>
      <c r="AI55" s="1">
        <f t="shared" si="48"/>
        <v>47.000000000000007</v>
      </c>
      <c r="AJ55" s="1">
        <f t="shared" si="48"/>
        <v>50</v>
      </c>
      <c r="AK55" s="2" t="e">
        <f t="shared" si="49"/>
        <v>#NUM!</v>
      </c>
      <c r="AL55" s="2" t="e">
        <f t="shared" si="49"/>
        <v>#NUM!</v>
      </c>
      <c r="AY55">
        <v>-11.583569246398675</v>
      </c>
      <c r="BF55">
        <v>42.267737438384209</v>
      </c>
    </row>
    <row r="56" spans="1:60" x14ac:dyDescent="0.25">
      <c r="A56">
        <v>50</v>
      </c>
      <c r="B56" t="e">
        <f t="shared" si="27"/>
        <v>#NUM!</v>
      </c>
      <c r="C56" t="e">
        <f t="shared" si="28"/>
        <v>#NUM!</v>
      </c>
      <c r="D56" t="e">
        <f t="shared" si="29"/>
        <v>#NUM!</v>
      </c>
      <c r="E56" t="e">
        <f t="shared" si="30"/>
        <v>#NUM!</v>
      </c>
      <c r="F56" t="e">
        <f t="shared" si="31"/>
        <v>#NUM!</v>
      </c>
      <c r="G56" t="e">
        <f t="shared" si="32"/>
        <v>#NUM!</v>
      </c>
      <c r="H56" t="e">
        <f t="shared" si="33"/>
        <v>#NUM!</v>
      </c>
      <c r="J56" t="e">
        <f t="shared" si="34"/>
        <v>#NUM!</v>
      </c>
      <c r="K56" t="e">
        <f t="shared" si="35"/>
        <v>#NUM!</v>
      </c>
      <c r="L56" t="e">
        <f t="shared" si="36"/>
        <v>#NUM!</v>
      </c>
      <c r="M56" t="e">
        <f t="shared" si="37"/>
        <v>#NUM!</v>
      </c>
      <c r="N56" t="e">
        <f t="shared" si="38"/>
        <v>#NUM!</v>
      </c>
      <c r="O56" t="e">
        <f t="shared" si="39"/>
        <v>#NUM!</v>
      </c>
      <c r="P56" t="e">
        <f t="shared" si="40"/>
        <v>#NUM!</v>
      </c>
      <c r="Q56" t="e">
        <f t="shared" si="41"/>
        <v>#NUM!</v>
      </c>
      <c r="R56" t="e">
        <f t="shared" si="42"/>
        <v>#NUM!</v>
      </c>
      <c r="S56" t="e">
        <f t="shared" si="43"/>
        <v>#NUM!</v>
      </c>
      <c r="U56" s="4">
        <f t="shared" si="45"/>
        <v>49.333333333333343</v>
      </c>
      <c r="V56">
        <v>50</v>
      </c>
      <c r="W56" t="e">
        <f t="shared" si="1"/>
        <v>#NUM!</v>
      </c>
      <c r="X56">
        <f t="shared" si="19"/>
        <v>61.570799515387513</v>
      </c>
      <c r="Y56">
        <f t="shared" si="20"/>
        <v>79.131395651648774</v>
      </c>
      <c r="Z56">
        <f t="shared" si="21"/>
        <v>-0.88684511869693194</v>
      </c>
      <c r="AA56" t="e">
        <f t="shared" si="22"/>
        <v>#NUM!</v>
      </c>
      <c r="AB56" t="e">
        <f t="shared" si="23"/>
        <v>#NUM!</v>
      </c>
      <c r="AC56" t="e">
        <f t="shared" si="24"/>
        <v>#NUM!</v>
      </c>
      <c r="AE56">
        <v>3.2153875902064446E-6</v>
      </c>
      <c r="AF56">
        <v>-59.999999999999922</v>
      </c>
      <c r="AH56" s="1">
        <v>50</v>
      </c>
      <c r="AI56" s="1">
        <f t="shared" si="48"/>
        <v>49.333333333333343</v>
      </c>
      <c r="AJ56" s="1">
        <f t="shared" si="48"/>
        <v>50</v>
      </c>
      <c r="AK56" s="2" t="e">
        <f t="shared" si="49"/>
        <v>#NUM!</v>
      </c>
      <c r="AL56" s="2" t="e">
        <f t="shared" si="49"/>
        <v>#NUM!</v>
      </c>
      <c r="AY56">
        <v>11.388844623449907</v>
      </c>
      <c r="BF56">
        <v>19.990660046774693</v>
      </c>
    </row>
    <row r="57" spans="1:60" x14ac:dyDescent="0.25">
      <c r="A57">
        <v>51</v>
      </c>
      <c r="B57" t="e">
        <f t="shared" si="27"/>
        <v>#NUM!</v>
      </c>
      <c r="C57" t="e">
        <f t="shared" si="28"/>
        <v>#NUM!</v>
      </c>
      <c r="D57" t="e">
        <f t="shared" si="29"/>
        <v>#NUM!</v>
      </c>
      <c r="E57" t="e">
        <f t="shared" si="30"/>
        <v>#NUM!</v>
      </c>
      <c r="F57" t="e">
        <f t="shared" si="31"/>
        <v>#NUM!</v>
      </c>
      <c r="G57" t="e">
        <f t="shared" si="32"/>
        <v>#NUM!</v>
      </c>
      <c r="H57" t="e">
        <f t="shared" si="33"/>
        <v>#NUM!</v>
      </c>
      <c r="J57" t="e">
        <f t="shared" si="34"/>
        <v>#NUM!</v>
      </c>
      <c r="K57" t="e">
        <f t="shared" si="35"/>
        <v>#NUM!</v>
      </c>
      <c r="L57" t="e">
        <f t="shared" si="36"/>
        <v>#NUM!</v>
      </c>
      <c r="M57" t="e">
        <f t="shared" si="37"/>
        <v>#NUM!</v>
      </c>
      <c r="N57" t="e">
        <f t="shared" si="38"/>
        <v>#NUM!</v>
      </c>
      <c r="O57" t="e">
        <f t="shared" si="39"/>
        <v>#NUM!</v>
      </c>
      <c r="P57" t="e">
        <f t="shared" si="40"/>
        <v>#NUM!</v>
      </c>
      <c r="Q57" t="e">
        <f t="shared" si="41"/>
        <v>#NUM!</v>
      </c>
      <c r="R57" t="e">
        <f t="shared" si="42"/>
        <v>#NUM!</v>
      </c>
      <c r="S57" t="e">
        <f t="shared" si="43"/>
        <v>#NUM!</v>
      </c>
      <c r="U57" s="4">
        <f t="shared" si="45"/>
        <v>51.666666666666679</v>
      </c>
      <c r="V57">
        <v>50</v>
      </c>
      <c r="W57" t="e">
        <f t="shared" si="1"/>
        <v>#NUM!</v>
      </c>
      <c r="X57">
        <f t="shared" si="19"/>
        <v>61.570799515387513</v>
      </c>
      <c r="Y57">
        <f t="shared" si="20"/>
        <v>80.953347333167429</v>
      </c>
      <c r="Z57">
        <f t="shared" si="21"/>
        <v>-0.90505835675671464</v>
      </c>
      <c r="AA57" t="e">
        <f t="shared" si="22"/>
        <v>#NUM!</v>
      </c>
      <c r="AB57" t="e">
        <f t="shared" si="23"/>
        <v>#NUM!</v>
      </c>
      <c r="AC57" t="e">
        <f t="shared" si="24"/>
        <v>#NUM!</v>
      </c>
      <c r="AE57">
        <v>3.2153875902064446E-6</v>
      </c>
      <c r="AF57">
        <v>-59.999999999999922</v>
      </c>
      <c r="AH57" s="1">
        <v>51</v>
      </c>
      <c r="AI57" s="1">
        <f t="shared" si="48"/>
        <v>51.666666666666679</v>
      </c>
      <c r="AJ57" s="1">
        <f t="shared" si="48"/>
        <v>50</v>
      </c>
      <c r="AK57" s="2" t="e">
        <f t="shared" si="49"/>
        <v>#NUM!</v>
      </c>
      <c r="AL57" s="2" t="e">
        <f t="shared" si="49"/>
        <v>#NUM!</v>
      </c>
      <c r="AY57">
        <v>12</v>
      </c>
      <c r="BF57">
        <v>0</v>
      </c>
    </row>
    <row r="58" spans="1:60" x14ac:dyDescent="0.25">
      <c r="A58">
        <v>52</v>
      </c>
      <c r="B58" t="e">
        <f t="shared" si="27"/>
        <v>#NUM!</v>
      </c>
      <c r="C58" t="e">
        <f t="shared" si="28"/>
        <v>#NUM!</v>
      </c>
      <c r="D58" t="e">
        <f t="shared" si="29"/>
        <v>#NUM!</v>
      </c>
      <c r="E58" t="e">
        <f t="shared" si="30"/>
        <v>#NUM!</v>
      </c>
      <c r="F58" t="e">
        <f t="shared" si="31"/>
        <v>#NUM!</v>
      </c>
      <c r="G58" t="e">
        <f t="shared" si="32"/>
        <v>#NUM!</v>
      </c>
      <c r="H58" t="e">
        <f t="shared" si="33"/>
        <v>#NUM!</v>
      </c>
      <c r="J58" t="e">
        <f t="shared" si="34"/>
        <v>#NUM!</v>
      </c>
      <c r="K58" t="e">
        <f t="shared" si="35"/>
        <v>#NUM!</v>
      </c>
      <c r="L58" t="e">
        <f t="shared" si="36"/>
        <v>#NUM!</v>
      </c>
      <c r="M58" t="e">
        <f t="shared" si="37"/>
        <v>#NUM!</v>
      </c>
      <c r="N58" t="e">
        <f t="shared" si="38"/>
        <v>#NUM!</v>
      </c>
      <c r="O58" t="e">
        <f t="shared" si="39"/>
        <v>#NUM!</v>
      </c>
      <c r="P58" t="e">
        <f t="shared" si="40"/>
        <v>#NUM!</v>
      </c>
      <c r="Q58" t="e">
        <f t="shared" si="41"/>
        <v>#NUM!</v>
      </c>
      <c r="R58" t="e">
        <f t="shared" si="42"/>
        <v>#NUM!</v>
      </c>
      <c r="S58" t="e">
        <f t="shared" si="43"/>
        <v>#NUM!</v>
      </c>
      <c r="U58" s="4">
        <f t="shared" si="45"/>
        <v>54.000000000000014</v>
      </c>
      <c r="V58">
        <v>50</v>
      </c>
      <c r="W58" t="e">
        <f t="shared" si="1"/>
        <v>#NUM!</v>
      </c>
      <c r="X58">
        <f t="shared" si="19"/>
        <v>61.570799515387513</v>
      </c>
      <c r="Y58">
        <f t="shared" si="20"/>
        <v>82.800966177937809</v>
      </c>
      <c r="Z58">
        <f t="shared" si="21"/>
        <v>-0.92246433770763603</v>
      </c>
      <c r="AA58" t="e">
        <f t="shared" si="22"/>
        <v>#NUM!</v>
      </c>
      <c r="AB58" t="e">
        <f t="shared" si="23"/>
        <v>#NUM!</v>
      </c>
      <c r="AC58" t="e">
        <f t="shared" si="24"/>
        <v>#NUM!</v>
      </c>
      <c r="AE58">
        <v>3.2153875902064446E-6</v>
      </c>
      <c r="AF58">
        <v>-59.999999999999922</v>
      </c>
      <c r="AH58" s="1">
        <v>52</v>
      </c>
      <c r="AI58" s="1">
        <f t="shared" si="48"/>
        <v>54.000000000000014</v>
      </c>
      <c r="AJ58" s="1">
        <f t="shared" si="48"/>
        <v>50</v>
      </c>
      <c r="AK58" s="2" t="e">
        <f t="shared" si="49"/>
        <v>#NUM!</v>
      </c>
      <c r="AL58" s="2" t="e">
        <f t="shared" si="49"/>
        <v>#NUM!</v>
      </c>
      <c r="AY58">
        <v>-12</v>
      </c>
      <c r="BG58">
        <v>0</v>
      </c>
    </row>
    <row r="59" spans="1:60" x14ac:dyDescent="0.25">
      <c r="A59">
        <v>53</v>
      </c>
      <c r="B59" t="e">
        <f t="shared" si="27"/>
        <v>#NUM!</v>
      </c>
      <c r="C59" t="e">
        <f t="shared" si="28"/>
        <v>#NUM!</v>
      </c>
      <c r="D59" t="e">
        <f t="shared" si="29"/>
        <v>#NUM!</v>
      </c>
      <c r="E59" t="e">
        <f t="shared" si="30"/>
        <v>#NUM!</v>
      </c>
      <c r="F59" t="e">
        <f t="shared" si="31"/>
        <v>#NUM!</v>
      </c>
      <c r="G59" t="e">
        <f t="shared" si="32"/>
        <v>#NUM!</v>
      </c>
      <c r="H59" t="e">
        <f t="shared" si="33"/>
        <v>#NUM!</v>
      </c>
      <c r="J59" t="e">
        <f t="shared" si="34"/>
        <v>#NUM!</v>
      </c>
      <c r="K59" t="e">
        <f t="shared" si="35"/>
        <v>#NUM!</v>
      </c>
      <c r="L59" t="e">
        <f t="shared" si="36"/>
        <v>#NUM!</v>
      </c>
      <c r="M59" t="e">
        <f t="shared" si="37"/>
        <v>#NUM!</v>
      </c>
      <c r="N59" t="e">
        <f t="shared" si="38"/>
        <v>#NUM!</v>
      </c>
      <c r="O59" t="e">
        <f t="shared" si="39"/>
        <v>#NUM!</v>
      </c>
      <c r="P59" t="e">
        <f t="shared" si="40"/>
        <v>#NUM!</v>
      </c>
      <c r="Q59" t="e">
        <f t="shared" si="41"/>
        <v>#NUM!</v>
      </c>
      <c r="R59" t="e">
        <f t="shared" si="42"/>
        <v>#NUM!</v>
      </c>
      <c r="S59" t="e">
        <f t="shared" si="43"/>
        <v>#NUM!</v>
      </c>
      <c r="U59" s="4">
        <f t="shared" si="45"/>
        <v>56.33333333333335</v>
      </c>
      <c r="V59">
        <v>50</v>
      </c>
      <c r="W59" t="e">
        <f t="shared" si="1"/>
        <v>#NUM!</v>
      </c>
      <c r="X59">
        <f t="shared" si="19"/>
        <v>61.570799515387513</v>
      </c>
      <c r="Y59">
        <f t="shared" si="20"/>
        <v>84.672571972536929</v>
      </c>
      <c r="Z59">
        <f t="shared" si="21"/>
        <v>-0.93910569245592745</v>
      </c>
      <c r="AA59" t="e">
        <f t="shared" si="22"/>
        <v>#NUM!</v>
      </c>
      <c r="AB59" t="e">
        <f t="shared" si="23"/>
        <v>#NUM!</v>
      </c>
      <c r="AC59" t="e">
        <f t="shared" si="24"/>
        <v>#NUM!</v>
      </c>
      <c r="AE59">
        <v>3.2153875902064446E-6</v>
      </c>
      <c r="AF59">
        <v>-59.999999999999922</v>
      </c>
      <c r="AH59" s="1">
        <v>53</v>
      </c>
      <c r="AI59" s="1">
        <f t="shared" si="48"/>
        <v>56.33333333333335</v>
      </c>
      <c r="AJ59" s="1">
        <f t="shared" si="48"/>
        <v>50</v>
      </c>
      <c r="AK59" s="2" t="e">
        <f t="shared" si="49"/>
        <v>#NUM!</v>
      </c>
      <c r="AL59" s="2" t="e">
        <f t="shared" si="49"/>
        <v>#NUM!</v>
      </c>
      <c r="AY59">
        <v>-25.550406252475348</v>
      </c>
      <c r="BG59">
        <v>14.710081250383256</v>
      </c>
    </row>
    <row r="60" spans="1:60" x14ac:dyDescent="0.25">
      <c r="A60">
        <v>54</v>
      </c>
      <c r="B60" t="e">
        <f t="shared" si="27"/>
        <v>#NUM!</v>
      </c>
      <c r="C60" t="e">
        <f t="shared" si="28"/>
        <v>#NUM!</v>
      </c>
      <c r="D60" t="e">
        <f t="shared" si="29"/>
        <v>#NUM!</v>
      </c>
      <c r="E60" t="e">
        <f t="shared" si="30"/>
        <v>#NUM!</v>
      </c>
      <c r="F60" t="e">
        <f t="shared" si="31"/>
        <v>#NUM!</v>
      </c>
      <c r="G60" t="e">
        <f t="shared" si="32"/>
        <v>#NUM!</v>
      </c>
      <c r="H60" t="e">
        <f t="shared" si="33"/>
        <v>#NUM!</v>
      </c>
      <c r="J60" t="e">
        <f t="shared" si="34"/>
        <v>#NUM!</v>
      </c>
      <c r="K60" t="e">
        <f t="shared" si="35"/>
        <v>#NUM!</v>
      </c>
      <c r="L60" t="e">
        <f t="shared" si="36"/>
        <v>#NUM!</v>
      </c>
      <c r="M60" t="e">
        <f t="shared" si="37"/>
        <v>#NUM!</v>
      </c>
      <c r="N60" t="e">
        <f t="shared" si="38"/>
        <v>#NUM!</v>
      </c>
      <c r="O60" t="e">
        <f t="shared" si="39"/>
        <v>#NUM!</v>
      </c>
      <c r="P60" t="e">
        <f t="shared" si="40"/>
        <v>#NUM!</v>
      </c>
      <c r="Q60" t="e">
        <f t="shared" si="41"/>
        <v>#NUM!</v>
      </c>
      <c r="R60" t="e">
        <f t="shared" si="42"/>
        <v>#NUM!</v>
      </c>
      <c r="S60" t="e">
        <f t="shared" si="43"/>
        <v>#NUM!</v>
      </c>
      <c r="U60" s="4">
        <f t="shared" si="45"/>
        <v>58.666666666666686</v>
      </c>
      <c r="V60">
        <v>50</v>
      </c>
      <c r="W60" t="e">
        <f t="shared" si="1"/>
        <v>#NUM!</v>
      </c>
      <c r="X60">
        <f t="shared" si="19"/>
        <v>61.570799515387513</v>
      </c>
      <c r="Y60">
        <f t="shared" si="20"/>
        <v>86.566608907694771</v>
      </c>
      <c r="Z60">
        <f t="shared" si="21"/>
        <v>-0.95502308665390823</v>
      </c>
      <c r="AA60" t="e">
        <f t="shared" si="22"/>
        <v>#NUM!</v>
      </c>
      <c r="AB60" t="e">
        <f t="shared" si="23"/>
        <v>#NUM!</v>
      </c>
      <c r="AC60" t="e">
        <f t="shared" si="24"/>
        <v>#NUM!</v>
      </c>
      <c r="AE60">
        <v>3.2153875902064446E-6</v>
      </c>
      <c r="AF60">
        <v>-59.999999999999922</v>
      </c>
      <c r="AH60" s="1">
        <v>54</v>
      </c>
      <c r="AI60" s="1">
        <f t="shared" si="48"/>
        <v>58.666666666666686</v>
      </c>
      <c r="AJ60" s="1">
        <f t="shared" si="48"/>
        <v>50</v>
      </c>
      <c r="AK60" s="2" t="e">
        <f t="shared" si="49"/>
        <v>#NUM!</v>
      </c>
      <c r="AL60" s="2" t="e">
        <f t="shared" si="49"/>
        <v>#NUM!</v>
      </c>
      <c r="AY60">
        <v>0</v>
      </c>
      <c r="BG60">
        <v>60</v>
      </c>
    </row>
    <row r="61" spans="1:60" x14ac:dyDescent="0.25">
      <c r="A61">
        <v>55</v>
      </c>
      <c r="B61" t="e">
        <f t="shared" si="27"/>
        <v>#NUM!</v>
      </c>
      <c r="C61" t="e">
        <f t="shared" si="28"/>
        <v>#NUM!</v>
      </c>
      <c r="D61" t="e">
        <f t="shared" si="29"/>
        <v>#NUM!</v>
      </c>
      <c r="E61" t="e">
        <f t="shared" si="30"/>
        <v>#NUM!</v>
      </c>
      <c r="F61" t="e">
        <f t="shared" si="31"/>
        <v>#NUM!</v>
      </c>
      <c r="G61" t="e">
        <f t="shared" si="32"/>
        <v>#NUM!</v>
      </c>
      <c r="H61" t="e">
        <f t="shared" si="33"/>
        <v>#NUM!</v>
      </c>
      <c r="J61" t="e">
        <f t="shared" si="34"/>
        <v>#NUM!</v>
      </c>
      <c r="K61" t="e">
        <f t="shared" si="35"/>
        <v>#NUM!</v>
      </c>
      <c r="L61" t="e">
        <f t="shared" si="36"/>
        <v>#NUM!</v>
      </c>
      <c r="M61" t="e">
        <f t="shared" si="37"/>
        <v>#NUM!</v>
      </c>
      <c r="N61" t="e">
        <f t="shared" si="38"/>
        <v>#NUM!</v>
      </c>
      <c r="O61" t="e">
        <f t="shared" si="39"/>
        <v>#NUM!</v>
      </c>
      <c r="P61" t="e">
        <f t="shared" si="40"/>
        <v>#NUM!</v>
      </c>
      <c r="Q61" t="e">
        <f t="shared" si="41"/>
        <v>#NUM!</v>
      </c>
      <c r="R61" t="e">
        <f t="shared" si="42"/>
        <v>#NUM!</v>
      </c>
      <c r="S61" t="e">
        <f t="shared" si="43"/>
        <v>#NUM!</v>
      </c>
      <c r="U61" s="4">
        <f t="shared" si="45"/>
        <v>61.000000000000021</v>
      </c>
      <c r="V61">
        <v>50</v>
      </c>
      <c r="W61" t="e">
        <f t="shared" si="1"/>
        <v>#NUM!</v>
      </c>
      <c r="X61">
        <f t="shared" si="19"/>
        <v>61.570799515387513</v>
      </c>
      <c r="Y61">
        <f t="shared" si="20"/>
        <v>88.48163651289461</v>
      </c>
      <c r="Z61">
        <f t="shared" si="21"/>
        <v>-0.97025519541588923</v>
      </c>
      <c r="AA61" t="e">
        <f t="shared" si="22"/>
        <v>#NUM!</v>
      </c>
      <c r="AB61" t="e">
        <f t="shared" si="23"/>
        <v>#NUM!</v>
      </c>
      <c r="AC61" t="e">
        <f t="shared" si="24"/>
        <v>#NUM!</v>
      </c>
      <c r="AE61">
        <v>3.2153875902064446E-6</v>
      </c>
      <c r="AF61">
        <v>-59.999999999999922</v>
      </c>
      <c r="AH61" s="1">
        <v>55</v>
      </c>
      <c r="AI61" s="1">
        <f t="shared" si="48"/>
        <v>61.000000000000021</v>
      </c>
      <c r="AJ61" s="1">
        <f t="shared" si="48"/>
        <v>50</v>
      </c>
      <c r="AK61" s="2" t="e">
        <f t="shared" si="49"/>
        <v>#NUM!</v>
      </c>
      <c r="AL61" s="2" t="e">
        <f t="shared" si="49"/>
        <v>#NUM!</v>
      </c>
      <c r="AY61">
        <v>-9.8270793278644781</v>
      </c>
      <c r="BG61">
        <v>42.580800480926449</v>
      </c>
    </row>
    <row r="62" spans="1:60" x14ac:dyDescent="0.25">
      <c r="A62">
        <v>56</v>
      </c>
      <c r="B62" t="e">
        <f t="shared" si="27"/>
        <v>#NUM!</v>
      </c>
      <c r="C62" t="e">
        <f t="shared" si="28"/>
        <v>#NUM!</v>
      </c>
      <c r="D62" t="e">
        <f t="shared" si="29"/>
        <v>#NUM!</v>
      </c>
      <c r="E62" t="e">
        <f t="shared" si="30"/>
        <v>#NUM!</v>
      </c>
      <c r="F62" t="e">
        <f t="shared" si="31"/>
        <v>#NUM!</v>
      </c>
      <c r="G62" t="e">
        <f t="shared" si="32"/>
        <v>#NUM!</v>
      </c>
      <c r="H62" t="e">
        <f t="shared" si="33"/>
        <v>#NUM!</v>
      </c>
      <c r="J62" t="e">
        <f t="shared" si="34"/>
        <v>#NUM!</v>
      </c>
      <c r="K62" t="e">
        <f t="shared" si="35"/>
        <v>#NUM!</v>
      </c>
      <c r="L62" t="e">
        <f t="shared" si="36"/>
        <v>#NUM!</v>
      </c>
      <c r="M62" t="e">
        <f t="shared" si="37"/>
        <v>#NUM!</v>
      </c>
      <c r="N62" t="e">
        <f t="shared" si="38"/>
        <v>#NUM!</v>
      </c>
      <c r="O62" t="e">
        <f t="shared" si="39"/>
        <v>#NUM!</v>
      </c>
      <c r="P62" t="e">
        <f t="shared" si="40"/>
        <v>#NUM!</v>
      </c>
      <c r="Q62" t="e">
        <f t="shared" si="41"/>
        <v>#NUM!</v>
      </c>
      <c r="R62" t="e">
        <f t="shared" si="42"/>
        <v>#NUM!</v>
      </c>
      <c r="S62" t="e">
        <f t="shared" si="43"/>
        <v>#NUM!</v>
      </c>
      <c r="U62" s="4">
        <f t="shared" si="45"/>
        <v>63.333333333333357</v>
      </c>
      <c r="V62">
        <v>50</v>
      </c>
      <c r="W62" t="e">
        <f t="shared" si="1"/>
        <v>#NUM!</v>
      </c>
      <c r="X62">
        <f t="shared" si="19"/>
        <v>61.570799515387513</v>
      </c>
      <c r="Y62">
        <f t="shared" si="20"/>
        <v>90.416321043886285</v>
      </c>
      <c r="Z62">
        <f t="shared" si="21"/>
        <v>-0.98483871017168323</v>
      </c>
      <c r="AA62" t="e">
        <f t="shared" si="22"/>
        <v>#NUM!</v>
      </c>
      <c r="AB62" t="e">
        <f t="shared" si="23"/>
        <v>#NUM!</v>
      </c>
      <c r="AC62" t="e">
        <f t="shared" si="24"/>
        <v>#NUM!</v>
      </c>
      <c r="AE62">
        <v>3.2153875902064446E-6</v>
      </c>
      <c r="AF62">
        <v>-59.999999999999922</v>
      </c>
      <c r="AH62" s="1">
        <v>56</v>
      </c>
      <c r="AI62" s="1">
        <f t="shared" si="48"/>
        <v>63.333333333333357</v>
      </c>
      <c r="AJ62" s="1">
        <f t="shared" si="48"/>
        <v>50</v>
      </c>
      <c r="AK62" s="2" t="e">
        <f t="shared" si="49"/>
        <v>#NUM!</v>
      </c>
      <c r="AL62" s="2" t="e">
        <f t="shared" si="49"/>
        <v>#NUM!</v>
      </c>
      <c r="AY62">
        <v>12.829698097369761</v>
      </c>
      <c r="BG62">
        <v>19.982782615722492</v>
      </c>
    </row>
    <row r="63" spans="1:60" x14ac:dyDescent="0.25">
      <c r="A63">
        <v>57</v>
      </c>
      <c r="B63" t="e">
        <f t="shared" si="27"/>
        <v>#NUM!</v>
      </c>
      <c r="C63" t="e">
        <f t="shared" si="28"/>
        <v>#NUM!</v>
      </c>
      <c r="D63" t="e">
        <f t="shared" si="29"/>
        <v>#NUM!</v>
      </c>
      <c r="E63" t="e">
        <f t="shared" si="30"/>
        <v>#NUM!</v>
      </c>
      <c r="F63" t="e">
        <f t="shared" si="31"/>
        <v>#NUM!</v>
      </c>
      <c r="G63" t="e">
        <f t="shared" si="32"/>
        <v>#NUM!</v>
      </c>
      <c r="H63" t="e">
        <f t="shared" si="33"/>
        <v>#NUM!</v>
      </c>
      <c r="J63" t="e">
        <f t="shared" si="34"/>
        <v>#NUM!</v>
      </c>
      <c r="K63" t="e">
        <f t="shared" si="35"/>
        <v>#NUM!</v>
      </c>
      <c r="L63" t="e">
        <f t="shared" si="36"/>
        <v>#NUM!</v>
      </c>
      <c r="M63" t="e">
        <f t="shared" si="37"/>
        <v>#NUM!</v>
      </c>
      <c r="N63" t="e">
        <f t="shared" si="38"/>
        <v>#NUM!</v>
      </c>
      <c r="O63" t="e">
        <f t="shared" si="39"/>
        <v>#NUM!</v>
      </c>
      <c r="P63" t="e">
        <f t="shared" si="40"/>
        <v>#NUM!</v>
      </c>
      <c r="Q63" t="e">
        <f t="shared" si="41"/>
        <v>#NUM!</v>
      </c>
      <c r="R63" t="e">
        <f t="shared" si="42"/>
        <v>#NUM!</v>
      </c>
      <c r="S63" t="e">
        <f t="shared" si="43"/>
        <v>#NUM!</v>
      </c>
      <c r="U63" s="4">
        <f t="shared" si="45"/>
        <v>65.666666666666686</v>
      </c>
      <c r="V63">
        <v>50</v>
      </c>
      <c r="W63" t="e">
        <f t="shared" si="1"/>
        <v>#NUM!</v>
      </c>
      <c r="X63">
        <f t="shared" si="19"/>
        <v>61.570799515387513</v>
      </c>
      <c r="Y63">
        <f t="shared" si="20"/>
        <v>92.369427361606569</v>
      </c>
      <c r="Z63">
        <f t="shared" si="21"/>
        <v>-0.99880837003653444</v>
      </c>
      <c r="AA63" t="e">
        <f t="shared" si="22"/>
        <v>#NUM!</v>
      </c>
      <c r="AB63" t="e">
        <f t="shared" si="23"/>
        <v>#NUM!</v>
      </c>
      <c r="AC63" t="e">
        <f t="shared" si="24"/>
        <v>#NUM!</v>
      </c>
      <c r="AE63">
        <v>3.2153875902064446E-6</v>
      </c>
      <c r="AF63">
        <v>-59.999999999999922</v>
      </c>
      <c r="AH63" s="1">
        <v>57</v>
      </c>
      <c r="AI63" s="1">
        <f t="shared" si="48"/>
        <v>65.666666666666686</v>
      </c>
      <c r="AJ63" s="1">
        <f t="shared" si="48"/>
        <v>50</v>
      </c>
      <c r="AK63" s="2" t="e">
        <f t="shared" si="49"/>
        <v>#NUM!</v>
      </c>
      <c r="AL63" s="2" t="e">
        <f t="shared" si="49"/>
        <v>#NUM!</v>
      </c>
      <c r="AY63">
        <v>12</v>
      </c>
      <c r="BG63">
        <v>0</v>
      </c>
    </row>
    <row r="64" spans="1:60" x14ac:dyDescent="0.25">
      <c r="A64">
        <v>58</v>
      </c>
      <c r="B64" t="e">
        <f t="shared" si="27"/>
        <v>#NUM!</v>
      </c>
      <c r="C64" t="e">
        <f t="shared" si="28"/>
        <v>#NUM!</v>
      </c>
      <c r="D64" t="e">
        <f t="shared" si="29"/>
        <v>#NUM!</v>
      </c>
      <c r="E64" t="e">
        <f t="shared" si="30"/>
        <v>#NUM!</v>
      </c>
      <c r="F64" t="e">
        <f t="shared" si="31"/>
        <v>#NUM!</v>
      </c>
      <c r="G64" t="e">
        <f t="shared" si="32"/>
        <v>#NUM!</v>
      </c>
      <c r="H64" t="e">
        <f t="shared" si="33"/>
        <v>#NUM!</v>
      </c>
      <c r="J64" t="e">
        <f t="shared" si="34"/>
        <v>#NUM!</v>
      </c>
      <c r="K64" t="e">
        <f t="shared" si="35"/>
        <v>#NUM!</v>
      </c>
      <c r="L64" t="e">
        <f t="shared" si="36"/>
        <v>#NUM!</v>
      </c>
      <c r="M64" t="e">
        <f t="shared" si="37"/>
        <v>#NUM!</v>
      </c>
      <c r="N64" t="e">
        <f t="shared" si="38"/>
        <v>#NUM!</v>
      </c>
      <c r="O64" t="e">
        <f t="shared" si="39"/>
        <v>#NUM!</v>
      </c>
      <c r="P64" t="e">
        <f t="shared" si="40"/>
        <v>#NUM!</v>
      </c>
      <c r="Q64" t="e">
        <f t="shared" si="41"/>
        <v>#NUM!</v>
      </c>
      <c r="R64" t="e">
        <f t="shared" si="42"/>
        <v>#NUM!</v>
      </c>
      <c r="S64" t="e">
        <f t="shared" si="43"/>
        <v>#NUM!</v>
      </c>
      <c r="U64" s="4">
        <f t="shared" si="45"/>
        <v>68.000000000000014</v>
      </c>
      <c r="V64">
        <v>50</v>
      </c>
      <c r="W64" t="e">
        <f t="shared" si="1"/>
        <v>#NUM!</v>
      </c>
      <c r="X64">
        <f t="shared" si="19"/>
        <v>61.570799515387513</v>
      </c>
      <c r="Y64">
        <f t="shared" si="20"/>
        <v>94.339811320566042</v>
      </c>
      <c r="Z64">
        <f t="shared" si="21"/>
        <v>-1.0121970114513343</v>
      </c>
      <c r="AA64" t="e">
        <f t="shared" si="22"/>
        <v>#NUM!</v>
      </c>
      <c r="AB64" t="e">
        <f t="shared" si="23"/>
        <v>#NUM!</v>
      </c>
      <c r="AC64" t="e">
        <f t="shared" si="24"/>
        <v>#NUM!</v>
      </c>
      <c r="AE64">
        <v>3.2153875902064446E-6</v>
      </c>
      <c r="AF64">
        <v>-59.999999999999922</v>
      </c>
      <c r="AH64" s="1">
        <v>58</v>
      </c>
      <c r="AI64" s="1">
        <f t="shared" si="48"/>
        <v>68.000000000000014</v>
      </c>
      <c r="AJ64" s="1">
        <f t="shared" si="48"/>
        <v>50</v>
      </c>
      <c r="AK64" s="2" t="e">
        <f t="shared" si="49"/>
        <v>#NUM!</v>
      </c>
      <c r="AL64" s="2" t="e">
        <f t="shared" si="49"/>
        <v>#NUM!</v>
      </c>
      <c r="AY64">
        <v>-12</v>
      </c>
      <c r="BH64">
        <v>0</v>
      </c>
    </row>
    <row r="65" spans="1:62" x14ac:dyDescent="0.25">
      <c r="A65">
        <v>59</v>
      </c>
      <c r="B65" t="e">
        <f t="shared" si="27"/>
        <v>#NUM!</v>
      </c>
      <c r="C65" t="e">
        <f t="shared" si="28"/>
        <v>#NUM!</v>
      </c>
      <c r="D65" t="e">
        <f t="shared" si="29"/>
        <v>#NUM!</v>
      </c>
      <c r="E65" t="e">
        <f t="shared" si="30"/>
        <v>#NUM!</v>
      </c>
      <c r="F65" t="e">
        <f t="shared" si="31"/>
        <v>#NUM!</v>
      </c>
      <c r="G65" t="e">
        <f t="shared" si="32"/>
        <v>#NUM!</v>
      </c>
      <c r="H65" t="e">
        <f t="shared" si="33"/>
        <v>#NUM!</v>
      </c>
      <c r="J65" t="e">
        <f t="shared" si="34"/>
        <v>#NUM!</v>
      </c>
      <c r="K65" t="e">
        <f t="shared" si="35"/>
        <v>#NUM!</v>
      </c>
      <c r="L65" t="e">
        <f t="shared" si="36"/>
        <v>#NUM!</v>
      </c>
      <c r="M65" t="e">
        <f t="shared" si="37"/>
        <v>#NUM!</v>
      </c>
      <c r="N65" t="e">
        <f t="shared" si="38"/>
        <v>#NUM!</v>
      </c>
      <c r="O65" t="e">
        <f t="shared" si="39"/>
        <v>#NUM!</v>
      </c>
      <c r="P65" t="e">
        <f t="shared" si="40"/>
        <v>#NUM!</v>
      </c>
      <c r="Q65" t="e">
        <f t="shared" si="41"/>
        <v>#NUM!</v>
      </c>
      <c r="R65" t="e">
        <f t="shared" si="42"/>
        <v>#NUM!</v>
      </c>
      <c r="S65" t="e">
        <f t="shared" si="43"/>
        <v>#NUM!</v>
      </c>
      <c r="U65" s="4">
        <f t="shared" si="45"/>
        <v>70.333333333333343</v>
      </c>
      <c r="V65">
        <v>50</v>
      </c>
      <c r="W65" t="e">
        <f t="shared" si="1"/>
        <v>#NUM!</v>
      </c>
      <c r="X65">
        <f t="shared" si="19"/>
        <v>61.570799515387513</v>
      </c>
      <c r="Y65">
        <f t="shared" si="20"/>
        <v>96.326412669515406</v>
      </c>
      <c r="Z65">
        <f t="shared" si="21"/>
        <v>-1.025035631025957</v>
      </c>
      <c r="AA65" t="e">
        <f t="shared" si="22"/>
        <v>#NUM!</v>
      </c>
      <c r="AB65" t="e">
        <f t="shared" si="23"/>
        <v>#NUM!</v>
      </c>
      <c r="AC65" t="e">
        <f t="shared" si="24"/>
        <v>#NUM!</v>
      </c>
      <c r="AE65">
        <v>3.2153875902064446E-6</v>
      </c>
      <c r="AF65">
        <v>-59.999999999999922</v>
      </c>
      <c r="AH65" s="1">
        <v>59</v>
      </c>
      <c r="AI65" s="1">
        <f t="shared" si="48"/>
        <v>70.333333333333343</v>
      </c>
      <c r="AJ65" s="1">
        <f t="shared" si="48"/>
        <v>50</v>
      </c>
      <c r="AK65" s="2" t="e">
        <f t="shared" si="49"/>
        <v>#NUM!</v>
      </c>
      <c r="AL65" s="2" t="e">
        <f t="shared" si="49"/>
        <v>#NUM!</v>
      </c>
      <c r="AY65">
        <v>-24.609390244767855</v>
      </c>
      <c r="BH65">
        <v>15.524280262065398</v>
      </c>
    </row>
    <row r="66" spans="1:62" x14ac:dyDescent="0.25">
      <c r="A66">
        <v>60</v>
      </c>
      <c r="B66">
        <f t="shared" si="27"/>
        <v>26.566970002957639</v>
      </c>
      <c r="C66">
        <f t="shared" si="28"/>
        <v>30.239625967190207</v>
      </c>
      <c r="D66">
        <f t="shared" si="29"/>
        <v>2.041716061919316</v>
      </c>
      <c r="E66">
        <f t="shared" si="30"/>
        <v>3.2067926826934605</v>
      </c>
      <c r="F66">
        <f t="shared" si="31"/>
        <v>49.008633462325783</v>
      </c>
      <c r="G66">
        <f t="shared" si="32"/>
        <v>-0.90583778504918255</v>
      </c>
      <c r="H66">
        <f t="shared" si="33"/>
        <v>0.4349180499198666</v>
      </c>
      <c r="J66">
        <f t="shared" si="34"/>
        <v>-51.90068289212703</v>
      </c>
      <c r="K66">
        <f t="shared" si="35"/>
        <v>24.918969119540193</v>
      </c>
      <c r="L66">
        <f t="shared" si="36"/>
        <v>1.1870811071569434</v>
      </c>
      <c r="M66">
        <f t="shared" si="37"/>
        <v>-0.44891527553651722</v>
      </c>
      <c r="N66">
        <f t="shared" si="38"/>
        <v>33.565333213043367</v>
      </c>
      <c r="O66">
        <f t="shared" si="39"/>
        <v>68.014738540016225</v>
      </c>
      <c r="P66">
        <f t="shared" si="40"/>
        <v>-25.720951085947014</v>
      </c>
      <c r="Q66">
        <f t="shared" si="41"/>
        <v>116.98171530754078</v>
      </c>
      <c r="R66">
        <f t="shared" si="42"/>
        <v>183.73568962596326</v>
      </c>
      <c r="S66">
        <f t="shared" si="43"/>
        <v>0.90690457387027301</v>
      </c>
      <c r="U66" s="4">
        <v>45</v>
      </c>
      <c r="V66">
        <v>38</v>
      </c>
      <c r="W66">
        <f t="shared" si="1"/>
        <v>2.0417160619211994</v>
      </c>
      <c r="X66">
        <f t="shared" si="19"/>
        <v>61.570799515387513</v>
      </c>
      <c r="Y66">
        <f t="shared" si="20"/>
        <v>68.505474233815804</v>
      </c>
      <c r="Z66">
        <f t="shared" si="21"/>
        <v>-0.98279372324732905</v>
      </c>
      <c r="AA66">
        <f t="shared" si="22"/>
        <v>0.51187398811612983</v>
      </c>
      <c r="AB66">
        <f t="shared" si="23"/>
        <v>26.566970002957639</v>
      </c>
      <c r="AC66">
        <f t="shared" si="24"/>
        <v>30.239625967190207</v>
      </c>
      <c r="AE66">
        <v>3.2153875902064446E-6</v>
      </c>
      <c r="AF66">
        <v>-59.999999999999922</v>
      </c>
      <c r="AH66" s="1">
        <v>60</v>
      </c>
      <c r="AI66" s="1">
        <f t="shared" si="48"/>
        <v>45</v>
      </c>
      <c r="AJ66" s="1">
        <f t="shared" si="48"/>
        <v>38</v>
      </c>
      <c r="AK66" s="2">
        <f t="shared" si="49"/>
        <v>116.98171530754078</v>
      </c>
      <c r="AL66" s="2">
        <f t="shared" si="49"/>
        <v>183.73568962596326</v>
      </c>
      <c r="AY66">
        <v>2.3333333333333335</v>
      </c>
      <c r="BH66">
        <v>60</v>
      </c>
    </row>
    <row r="67" spans="1:62" x14ac:dyDescent="0.25">
      <c r="A67">
        <v>61</v>
      </c>
      <c r="B67">
        <f t="shared" si="27"/>
        <v>-1.9527592468933008</v>
      </c>
      <c r="C67">
        <f t="shared" si="28"/>
        <v>27.388498979021822</v>
      </c>
      <c r="D67">
        <f t="shared" si="29"/>
        <v>0.54744212151332783</v>
      </c>
      <c r="E67">
        <f t="shared" si="30"/>
        <v>2.4064428487419929</v>
      </c>
      <c r="F67">
        <f t="shared" si="31"/>
        <v>29.173222706358093</v>
      </c>
      <c r="G67">
        <f t="shared" si="32"/>
        <v>-0.35159898595439398</v>
      </c>
      <c r="H67">
        <f t="shared" si="33"/>
        <v>1.3749531912310662</v>
      </c>
      <c r="J67">
        <f t="shared" si="34"/>
        <v>-20.145138319905296</v>
      </c>
      <c r="K67">
        <f t="shared" si="35"/>
        <v>78.779016229409223</v>
      </c>
      <c r="L67">
        <f t="shared" si="36"/>
        <v>1.3068165146338557</v>
      </c>
      <c r="M67">
        <f t="shared" si="37"/>
        <v>0.47116996589186266</v>
      </c>
      <c r="N67">
        <f t="shared" si="38"/>
        <v>30.737751494304945</v>
      </c>
      <c r="O67">
        <f t="shared" si="39"/>
        <v>74.875072163747149</v>
      </c>
      <c r="P67">
        <f t="shared" si="40"/>
        <v>26.996050939429661</v>
      </c>
      <c r="Q67">
        <f t="shared" si="41"/>
        <v>31.366123625450037</v>
      </c>
      <c r="R67">
        <f t="shared" si="42"/>
        <v>137.87902122431748</v>
      </c>
      <c r="S67">
        <f t="shared" si="43"/>
        <v>0.19459362217229226</v>
      </c>
      <c r="U67" s="4">
        <v>15</v>
      </c>
      <c r="V67">
        <v>38</v>
      </c>
      <c r="W67">
        <f t="shared" si="1"/>
        <v>0.54744212151521099</v>
      </c>
      <c r="X67">
        <f t="shared" si="19"/>
        <v>61.570799515387513</v>
      </c>
      <c r="Y67">
        <f t="shared" si="20"/>
        <v>46.61544808322666</v>
      </c>
      <c r="Z67">
        <f t="shared" si="21"/>
        <v>-0.61775572556623259</v>
      </c>
      <c r="AA67">
        <f t="shared" si="22"/>
        <v>1.6411099308410217</v>
      </c>
      <c r="AB67">
        <f t="shared" si="23"/>
        <v>-1.9527592468933008</v>
      </c>
      <c r="AC67">
        <f t="shared" si="24"/>
        <v>27.388498979021822</v>
      </c>
      <c r="AE67">
        <v>3.2153875902064446E-6</v>
      </c>
      <c r="AF67">
        <v>-59.999999999999922</v>
      </c>
      <c r="AH67" s="1">
        <v>61</v>
      </c>
      <c r="AI67" s="1">
        <f t="shared" si="48"/>
        <v>15</v>
      </c>
      <c r="AJ67" s="1">
        <f t="shared" si="48"/>
        <v>38</v>
      </c>
      <c r="AK67" s="2">
        <f t="shared" si="49"/>
        <v>31.366123625450037</v>
      </c>
      <c r="AL67" s="2">
        <f t="shared" si="49"/>
        <v>137.87902122431748</v>
      </c>
      <c r="AY67">
        <v>-8.029252658232803</v>
      </c>
      <c r="BH67">
        <v>42.89395394695736</v>
      </c>
    </row>
    <row r="68" spans="1:62" x14ac:dyDescent="0.25">
      <c r="A68">
        <v>62</v>
      </c>
      <c r="B68">
        <f t="shared" si="27"/>
        <v>-19.87117066320949</v>
      </c>
      <c r="C68">
        <f t="shared" si="28"/>
        <v>18.602276000241588</v>
      </c>
      <c r="D68">
        <f t="shared" si="29"/>
        <v>-0.67091652717231898</v>
      </c>
      <c r="E68">
        <f t="shared" si="30"/>
        <v>1.5757113107025538</v>
      </c>
      <c r="F68">
        <f t="shared" si="31"/>
        <v>20.199009876687864</v>
      </c>
      <c r="G68">
        <f t="shared" si="32"/>
        <v>0.40028520169816617</v>
      </c>
      <c r="H68">
        <f t="shared" si="33"/>
        <v>1.8414276522641528</v>
      </c>
      <c r="J68">
        <f t="shared" si="34"/>
        <v>22.934653050070818</v>
      </c>
      <c r="K68">
        <f t="shared" si="35"/>
        <v>105.50603455315866</v>
      </c>
      <c r="L68">
        <f t="shared" si="36"/>
        <v>1.0473850362949388</v>
      </c>
      <c r="M68">
        <f t="shared" si="37"/>
        <v>1.0424700255923851</v>
      </c>
      <c r="N68">
        <f t="shared" si="38"/>
        <v>36.902793821506108</v>
      </c>
      <c r="O68">
        <f t="shared" si="39"/>
        <v>60.010743128529455</v>
      </c>
      <c r="P68">
        <f t="shared" si="40"/>
        <v>59.729133754207758</v>
      </c>
      <c r="Q68">
        <f t="shared" si="41"/>
        <v>-38.440686068275504</v>
      </c>
      <c r="R68">
        <f t="shared" si="42"/>
        <v>90.281609374321704</v>
      </c>
      <c r="S68">
        <f t="shared" si="43"/>
        <v>-0.26733983660599697</v>
      </c>
      <c r="U68" s="4">
        <v>-15</v>
      </c>
      <c r="V68">
        <v>38</v>
      </c>
      <c r="W68">
        <f t="shared" si="1"/>
        <v>-0.67091652717043582</v>
      </c>
      <c r="X68">
        <f t="shared" si="19"/>
        <v>61.570799515387513</v>
      </c>
      <c r="Y68">
        <f t="shared" si="20"/>
        <v>38.118237105091836</v>
      </c>
      <c r="Z68">
        <f t="shared" si="21"/>
        <v>7.8783960989143795E-2</v>
      </c>
      <c r="AA68">
        <f t="shared" si="22"/>
        <v>2.162928892971292</v>
      </c>
      <c r="AB68">
        <f t="shared" si="23"/>
        <v>-19.87117066320949</v>
      </c>
      <c r="AC68">
        <f t="shared" si="24"/>
        <v>18.602276000241588</v>
      </c>
      <c r="AE68">
        <v>3.2153875902064446E-6</v>
      </c>
      <c r="AF68">
        <v>-59.999999999999922</v>
      </c>
      <c r="AH68" s="1">
        <v>62</v>
      </c>
      <c r="AI68" s="1">
        <f t="shared" si="48"/>
        <v>-15</v>
      </c>
      <c r="AJ68" s="1">
        <f t="shared" si="48"/>
        <v>38</v>
      </c>
      <c r="AK68" s="2">
        <f t="shared" si="49"/>
        <v>-38.440686068275504</v>
      </c>
      <c r="AL68" s="2">
        <f t="shared" si="49"/>
        <v>90.281609374321704</v>
      </c>
      <c r="AY68">
        <v>14.203132463376605</v>
      </c>
      <c r="BH68">
        <v>19.878284819088798</v>
      </c>
    </row>
    <row r="69" spans="1:62" x14ac:dyDescent="0.25">
      <c r="A69">
        <v>63</v>
      </c>
      <c r="B69">
        <f t="shared" si="27"/>
        <v>-19.355218025134391</v>
      </c>
      <c r="C69">
        <f t="shared" si="28"/>
        <v>18.730292168686432</v>
      </c>
      <c r="D69">
        <f t="shared" si="29"/>
        <v>-0.64984375981786302</v>
      </c>
      <c r="E69">
        <f t="shared" si="30"/>
        <v>1.6017993810213824</v>
      </c>
      <c r="F69">
        <f t="shared" si="31"/>
        <v>20.122700537492928</v>
      </c>
      <c r="G69">
        <f t="shared" si="32"/>
        <v>0.37418971851294031</v>
      </c>
      <c r="H69">
        <f t="shared" si="33"/>
        <v>1.8464503680949227</v>
      </c>
      <c r="J69">
        <f t="shared" si="34"/>
        <v>21.439491973698072</v>
      </c>
      <c r="K69">
        <f t="shared" si="35"/>
        <v>105.7938149768643</v>
      </c>
      <c r="L69">
        <f t="shared" si="36"/>
        <v>1.063324775880401</v>
      </c>
      <c r="M69">
        <f t="shared" si="37"/>
        <v>1.0323216948590186</v>
      </c>
      <c r="N69">
        <f t="shared" si="38"/>
        <v>36.523602534909791</v>
      </c>
      <c r="O69">
        <f t="shared" si="39"/>
        <v>60.924022948892919</v>
      </c>
      <c r="P69">
        <f t="shared" si="40"/>
        <v>59.147677224164376</v>
      </c>
      <c r="Q69">
        <f t="shared" si="41"/>
        <v>-37.23330541560842</v>
      </c>
      <c r="R69">
        <f t="shared" si="42"/>
        <v>91.776345724728543</v>
      </c>
      <c r="S69">
        <f t="shared" si="43"/>
        <v>-0.27217634465885215</v>
      </c>
      <c r="U69" s="4">
        <f>U6</f>
        <v>-14</v>
      </c>
      <c r="V69">
        <v>38</v>
      </c>
      <c r="W69">
        <f t="shared" si="1"/>
        <v>-0.64984375981597986</v>
      </c>
      <c r="X69">
        <f t="shared" si="19"/>
        <v>61.570799515387513</v>
      </c>
      <c r="Y69">
        <f t="shared" si="20"/>
        <v>38.052595180880893</v>
      </c>
      <c r="Z69">
        <f t="shared" si="21"/>
        <v>5.2583061610941714E-2</v>
      </c>
      <c r="AA69">
        <f t="shared" si="22"/>
        <v>2.1680570249950382</v>
      </c>
      <c r="AB69">
        <f t="shared" si="23"/>
        <v>-19.355218025134391</v>
      </c>
      <c r="AC69">
        <f t="shared" si="24"/>
        <v>18.730292168686432</v>
      </c>
      <c r="AE69">
        <v>3.2153875902064446E-6</v>
      </c>
      <c r="AF69">
        <v>-59.999999999999922</v>
      </c>
      <c r="AH69" s="1">
        <v>63</v>
      </c>
      <c r="AI69" s="1">
        <f t="shared" si="48"/>
        <v>-14</v>
      </c>
      <c r="AJ69" s="1">
        <f t="shared" si="48"/>
        <v>38</v>
      </c>
      <c r="AK69" s="2">
        <f t="shared" si="49"/>
        <v>-37.23330541560842</v>
      </c>
      <c r="AL69" s="2">
        <f t="shared" si="49"/>
        <v>91.776345724728543</v>
      </c>
      <c r="AY69">
        <v>12</v>
      </c>
      <c r="BH69">
        <v>0</v>
      </c>
    </row>
    <row r="70" spans="1:62" x14ac:dyDescent="0.25">
      <c r="A70">
        <v>64</v>
      </c>
      <c r="B70" t="e">
        <f t="shared" si="27"/>
        <v>#NUM!</v>
      </c>
      <c r="C70" t="e">
        <f t="shared" si="28"/>
        <v>#NUM!</v>
      </c>
      <c r="D70" t="e">
        <f t="shared" si="29"/>
        <v>#NUM!</v>
      </c>
      <c r="E70" t="e">
        <f t="shared" si="30"/>
        <v>#NUM!</v>
      </c>
      <c r="F70" t="e">
        <f t="shared" si="31"/>
        <v>#NUM!</v>
      </c>
      <c r="G70" t="e">
        <f t="shared" si="32"/>
        <v>#NUM!</v>
      </c>
      <c r="H70" t="e">
        <f t="shared" si="33"/>
        <v>#NUM!</v>
      </c>
      <c r="J70" t="e">
        <f t="shared" si="34"/>
        <v>#NUM!</v>
      </c>
      <c r="K70" t="e">
        <f t="shared" si="35"/>
        <v>#NUM!</v>
      </c>
      <c r="L70" t="e">
        <f t="shared" si="36"/>
        <v>#NUM!</v>
      </c>
      <c r="M70" t="e">
        <f t="shared" si="37"/>
        <v>#NUM!</v>
      </c>
      <c r="N70" t="e">
        <f t="shared" si="38"/>
        <v>#NUM!</v>
      </c>
      <c r="O70" t="e">
        <f t="shared" si="39"/>
        <v>#NUM!</v>
      </c>
      <c r="P70" t="e">
        <f t="shared" si="40"/>
        <v>#NUM!</v>
      </c>
      <c r="Q70" t="e">
        <f t="shared" si="41"/>
        <v>#NUM!</v>
      </c>
      <c r="R70" t="e">
        <f t="shared" si="42"/>
        <v>#NUM!</v>
      </c>
      <c r="S70" t="e">
        <f t="shared" si="43"/>
        <v>#NUM!</v>
      </c>
      <c r="U70" s="4">
        <v>11</v>
      </c>
      <c r="V70">
        <v>11</v>
      </c>
      <c r="W70" t="e">
        <f t="shared" ref="W70:W133" si="50">3.14159265358/2-Z70-AA70</f>
        <v>#NUM!</v>
      </c>
      <c r="X70">
        <f t="shared" si="19"/>
        <v>61.570799515387513</v>
      </c>
      <c r="Y70">
        <f t="shared" si="20"/>
        <v>25.495097567963924</v>
      </c>
      <c r="Z70">
        <f t="shared" si="21"/>
        <v>-1.124690777851493</v>
      </c>
      <c r="AA70" t="e">
        <f t="shared" si="22"/>
        <v>#NUM!</v>
      </c>
      <c r="AB70" t="e">
        <f t="shared" si="23"/>
        <v>#NUM!</v>
      </c>
      <c r="AC70" t="e">
        <f t="shared" si="24"/>
        <v>#NUM!</v>
      </c>
      <c r="AE70">
        <v>3.2153875902064446E-6</v>
      </c>
      <c r="AF70">
        <v>-59.999999999999922</v>
      </c>
      <c r="AH70" s="1">
        <v>64</v>
      </c>
      <c r="AI70" s="1">
        <f t="shared" si="48"/>
        <v>11</v>
      </c>
      <c r="AJ70" s="1">
        <f t="shared" si="48"/>
        <v>11</v>
      </c>
      <c r="AK70" s="2" t="e">
        <f t="shared" si="49"/>
        <v>#NUM!</v>
      </c>
      <c r="AL70" s="2" t="e">
        <f t="shared" si="49"/>
        <v>#NUM!</v>
      </c>
      <c r="AY70">
        <v>-12</v>
      </c>
      <c r="BI70">
        <v>0</v>
      </c>
    </row>
    <row r="71" spans="1:62" x14ac:dyDescent="0.25">
      <c r="A71">
        <v>65</v>
      </c>
      <c r="B71" t="e">
        <f t="shared" si="27"/>
        <v>#NUM!</v>
      </c>
      <c r="C71" t="e">
        <f t="shared" si="28"/>
        <v>#NUM!</v>
      </c>
      <c r="D71" t="e">
        <f t="shared" si="29"/>
        <v>#NUM!</v>
      </c>
      <c r="E71" t="e">
        <f t="shared" si="30"/>
        <v>#NUM!</v>
      </c>
      <c r="F71" t="e">
        <f t="shared" si="31"/>
        <v>#NUM!</v>
      </c>
      <c r="G71" t="e">
        <f t="shared" si="32"/>
        <v>#NUM!</v>
      </c>
      <c r="H71" t="e">
        <f t="shared" si="33"/>
        <v>#NUM!</v>
      </c>
      <c r="J71" t="e">
        <f t="shared" si="34"/>
        <v>#NUM!</v>
      </c>
      <c r="K71" t="e">
        <f t="shared" si="35"/>
        <v>#NUM!</v>
      </c>
      <c r="L71" t="e">
        <f t="shared" si="36"/>
        <v>#NUM!</v>
      </c>
      <c r="M71" t="e">
        <f t="shared" si="37"/>
        <v>#NUM!</v>
      </c>
      <c r="N71" t="e">
        <f t="shared" si="38"/>
        <v>#NUM!</v>
      </c>
      <c r="O71" t="e">
        <f t="shared" si="39"/>
        <v>#NUM!</v>
      </c>
      <c r="P71" t="e">
        <f t="shared" si="40"/>
        <v>#NUM!</v>
      </c>
      <c r="Q71" t="e">
        <f t="shared" si="41"/>
        <v>#NUM!</v>
      </c>
      <c r="R71" t="e">
        <f t="shared" si="42"/>
        <v>#NUM!</v>
      </c>
      <c r="S71" t="e">
        <f t="shared" si="43"/>
        <v>#NUM!</v>
      </c>
      <c r="W71" t="e">
        <f t="shared" si="50"/>
        <v>#NUM!</v>
      </c>
      <c r="X71">
        <f t="shared" ref="X71:X134" si="51">3.1415926/2+AE71-AF71</f>
        <v>61.570799515387513</v>
      </c>
      <c r="Y71">
        <f t="shared" ref="Y71:Y134" si="52">SQRT( V71*V71+(U71+$G$2)*(U71+$G$2)     )</f>
        <v>12</v>
      </c>
      <c r="Z71">
        <f t="shared" ref="Z71:Z134" si="53">ATAN2(  V71, -U71-$G$2)</f>
        <v>-1.5707963267948966</v>
      </c>
      <c r="AA71" t="e">
        <f t="shared" ref="AA71:AA134" si="54" xml:space="preserve"> ACOS((Y71*Y71+$C$2*$C$2-($E$2+$T$2)*($E$2+$T$2))/(2*Y71*$C$2))</f>
        <v>#NUM!</v>
      </c>
      <c r="AB71" t="e">
        <f t="shared" ref="AB71:AB134" si="55">-$G$2-$C$2*COS(W71)+(U71+$G$2+COS(W71)*$C$2)*$E$2/($E$2+$T$2)</f>
        <v>#NUM!</v>
      </c>
      <c r="AC71" t="e">
        <f t="shared" ref="AC71:AC134" si="56">$C$2*SIN(W71)+(V71-$C$2*SIN(W71))*$E$2/($T$2+$E$2)</f>
        <v>#NUM!</v>
      </c>
      <c r="AE71">
        <v>3.2153875902064446E-6</v>
      </c>
      <c r="AF71">
        <v>-59.999999999999922</v>
      </c>
      <c r="AH71" s="1">
        <v>65</v>
      </c>
      <c r="AI71" s="1">
        <f t="shared" si="48"/>
        <v>0</v>
      </c>
      <c r="AJ71" s="1">
        <f t="shared" si="48"/>
        <v>0</v>
      </c>
      <c r="AK71" s="2" t="e">
        <f t="shared" si="49"/>
        <v>#NUM!</v>
      </c>
      <c r="AL71" s="2" t="e">
        <f t="shared" si="49"/>
        <v>#NUM!</v>
      </c>
      <c r="AY71">
        <v>-23.554734780566797</v>
      </c>
      <c r="BI71">
        <v>16.324463364863174</v>
      </c>
    </row>
    <row r="72" spans="1:62" x14ac:dyDescent="0.25">
      <c r="A72">
        <v>66</v>
      </c>
      <c r="B72" t="e">
        <f t="shared" ref="B72:B135" si="57">AB72</f>
        <v>#NUM!</v>
      </c>
      <c r="C72" t="e">
        <f t="shared" ref="C72:C135" si="58">AC72</f>
        <v>#NUM!</v>
      </c>
      <c r="D72" t="e">
        <f t="shared" ref="D72:D135" si="59">3.14159265358/2-G72-H72</f>
        <v>#NUM!</v>
      </c>
      <c r="E72" t="e">
        <f t="shared" ref="E72:E135" si="60">3.1415926/2+L72-M72</f>
        <v>#NUM!</v>
      </c>
      <c r="F72" t="e">
        <f t="shared" ref="F72:F135" si="61">SQRT( C72*C72+(B72+$G$2)*(B72+$G$2)     )</f>
        <v>#NUM!</v>
      </c>
      <c r="G72" t="e">
        <f t="shared" ref="G72:G135" si="62">ATAN2(  C72, -B72-$G$2)</f>
        <v>#NUM!</v>
      </c>
      <c r="H72" t="e">
        <f t="shared" ref="H72:H135" si="63" xml:space="preserve"> ACOS((F72*F72+$C$2*$C$2-$E$2*$E$2)/(2*F72*$C$2))</f>
        <v>#NUM!</v>
      </c>
      <c r="J72" t="e">
        <f t="shared" ref="J72:J135" si="64">G72*180/3.1415926</f>
        <v>#NUM!</v>
      </c>
      <c r="K72" t="e">
        <f t="shared" ref="K72:K135" si="65">H72*180/3.1415926</f>
        <v>#NUM!</v>
      </c>
      <c r="L72" t="e">
        <f t="shared" ref="L72:L135" si="66">ACOS( ($C$2*$C$2+N72*N72-$E$2*$E$2)/(2*$C$2*N72))</f>
        <v>#NUM!</v>
      </c>
      <c r="M72" t="e">
        <f t="shared" ref="M72:M135" si="67">ATAN2(C72,-B72+$G$2)</f>
        <v>#NUM!</v>
      </c>
      <c r="N72" t="e">
        <f t="shared" ref="N72:N135" si="68">SQRT(C72*C72+(-B72+$G$2)*(-B72+$G$2))</f>
        <v>#NUM!</v>
      </c>
      <c r="O72" t="e">
        <f t="shared" ref="O72:O135" si="69">L72*180/3.1415926</f>
        <v>#NUM!</v>
      </c>
      <c r="P72" t="e">
        <f t="shared" ref="P72:P135" si="70">M72*180/3.1415926</f>
        <v>#NUM!</v>
      </c>
      <c r="Q72" t="e">
        <f t="shared" ref="Q72:Q135" si="71">D72*180/3.1415926</f>
        <v>#NUM!</v>
      </c>
      <c r="R72" t="e">
        <f t="shared" ref="R72:R135" si="72">E72*180/3.1415926</f>
        <v>#NUM!</v>
      </c>
      <c r="S72" t="e">
        <f t="shared" ref="S72:S135" si="73" xml:space="preserve"> ((F72*F72+$C$2*$C$2-$E$2*$E$2)/(2*F72*$C$2))</f>
        <v>#NUM!</v>
      </c>
      <c r="W72" t="e">
        <f t="shared" si="50"/>
        <v>#NUM!</v>
      </c>
      <c r="X72">
        <f t="shared" si="51"/>
        <v>61.570799515387513</v>
      </c>
      <c r="Y72">
        <f t="shared" si="52"/>
        <v>12</v>
      </c>
      <c r="Z72">
        <f t="shared" si="53"/>
        <v>-1.5707963267948966</v>
      </c>
      <c r="AA72" t="e">
        <f t="shared" si="54"/>
        <v>#NUM!</v>
      </c>
      <c r="AB72" t="e">
        <f t="shared" si="55"/>
        <v>#NUM!</v>
      </c>
      <c r="AC72" t="e">
        <f t="shared" si="56"/>
        <v>#NUM!</v>
      </c>
      <c r="AE72">
        <v>3.2153875902064446E-6</v>
      </c>
      <c r="AF72">
        <v>-59.999999999999922</v>
      </c>
      <c r="AH72" s="1">
        <v>66</v>
      </c>
      <c r="AI72" s="1">
        <f t="shared" si="48"/>
        <v>0</v>
      </c>
      <c r="AJ72" s="1">
        <f t="shared" si="48"/>
        <v>0</v>
      </c>
      <c r="AK72" s="2" t="e">
        <f t="shared" si="49"/>
        <v>#NUM!</v>
      </c>
      <c r="AL72" s="2" t="e">
        <f t="shared" si="49"/>
        <v>#NUM!</v>
      </c>
      <c r="AY72">
        <v>4.666666666666667</v>
      </c>
      <c r="BI72">
        <v>60</v>
      </c>
    </row>
    <row r="73" spans="1:62" x14ac:dyDescent="0.25">
      <c r="A73">
        <v>67</v>
      </c>
      <c r="B73" t="e">
        <f t="shared" si="57"/>
        <v>#NUM!</v>
      </c>
      <c r="C73" t="e">
        <f t="shared" si="58"/>
        <v>#NUM!</v>
      </c>
      <c r="D73" t="e">
        <f t="shared" si="59"/>
        <v>#NUM!</v>
      </c>
      <c r="E73" t="e">
        <f t="shared" si="60"/>
        <v>#NUM!</v>
      </c>
      <c r="F73" t="e">
        <f t="shared" si="61"/>
        <v>#NUM!</v>
      </c>
      <c r="G73" t="e">
        <f t="shared" si="62"/>
        <v>#NUM!</v>
      </c>
      <c r="H73" t="e">
        <f t="shared" si="63"/>
        <v>#NUM!</v>
      </c>
      <c r="J73" t="e">
        <f t="shared" si="64"/>
        <v>#NUM!</v>
      </c>
      <c r="K73" t="e">
        <f t="shared" si="65"/>
        <v>#NUM!</v>
      </c>
      <c r="L73" t="e">
        <f t="shared" si="66"/>
        <v>#NUM!</v>
      </c>
      <c r="M73" t="e">
        <f t="shared" si="67"/>
        <v>#NUM!</v>
      </c>
      <c r="N73" t="e">
        <f t="shared" si="68"/>
        <v>#NUM!</v>
      </c>
      <c r="O73" t="e">
        <f t="shared" si="69"/>
        <v>#NUM!</v>
      </c>
      <c r="P73" t="e">
        <f t="shared" si="70"/>
        <v>#NUM!</v>
      </c>
      <c r="Q73" t="e">
        <f t="shared" si="71"/>
        <v>#NUM!</v>
      </c>
      <c r="R73" t="e">
        <f t="shared" si="72"/>
        <v>#NUM!</v>
      </c>
      <c r="S73" t="e">
        <f t="shared" si="73"/>
        <v>#NUM!</v>
      </c>
      <c r="W73" t="e">
        <f t="shared" si="50"/>
        <v>#NUM!</v>
      </c>
      <c r="X73">
        <f t="shared" si="51"/>
        <v>61.570799515387513</v>
      </c>
      <c r="Y73">
        <f t="shared" si="52"/>
        <v>12</v>
      </c>
      <c r="Z73">
        <f t="shared" si="53"/>
        <v>-1.5707963267948966</v>
      </c>
      <c r="AA73" t="e">
        <f t="shared" si="54"/>
        <v>#NUM!</v>
      </c>
      <c r="AB73" t="e">
        <f t="shared" si="55"/>
        <v>#NUM!</v>
      </c>
      <c r="AC73" t="e">
        <f t="shared" si="56"/>
        <v>#NUM!</v>
      </c>
      <c r="AE73">
        <v>3.2153875902064446E-6</v>
      </c>
      <c r="AF73">
        <v>-59.999999999999922</v>
      </c>
      <c r="AH73" s="1">
        <v>67</v>
      </c>
      <c r="AI73" s="1">
        <f t="shared" si="48"/>
        <v>0</v>
      </c>
      <c r="AJ73" s="1">
        <f t="shared" si="48"/>
        <v>0</v>
      </c>
      <c r="AK73" s="2" t="e">
        <f t="shared" si="49"/>
        <v>#NUM!</v>
      </c>
      <c r="AL73" s="2" t="e">
        <f t="shared" si="49"/>
        <v>#NUM!</v>
      </c>
      <c r="AY73">
        <v>-6.1877185053343773</v>
      </c>
      <c r="BI73">
        <v>43.201716678801894</v>
      </c>
    </row>
    <row r="74" spans="1:62" x14ac:dyDescent="0.25">
      <c r="A74">
        <v>68</v>
      </c>
      <c r="B74" t="e">
        <f t="shared" si="57"/>
        <v>#NUM!</v>
      </c>
      <c r="C74" t="e">
        <f t="shared" si="58"/>
        <v>#NUM!</v>
      </c>
      <c r="D74" t="e">
        <f t="shared" si="59"/>
        <v>#NUM!</v>
      </c>
      <c r="E74" t="e">
        <f t="shared" si="60"/>
        <v>#NUM!</v>
      </c>
      <c r="F74" t="e">
        <f t="shared" si="61"/>
        <v>#NUM!</v>
      </c>
      <c r="G74" t="e">
        <f t="shared" si="62"/>
        <v>#NUM!</v>
      </c>
      <c r="H74" t="e">
        <f t="shared" si="63"/>
        <v>#NUM!</v>
      </c>
      <c r="J74" t="e">
        <f t="shared" si="64"/>
        <v>#NUM!</v>
      </c>
      <c r="K74" t="e">
        <f t="shared" si="65"/>
        <v>#NUM!</v>
      </c>
      <c r="L74" t="e">
        <f t="shared" si="66"/>
        <v>#NUM!</v>
      </c>
      <c r="M74" t="e">
        <f t="shared" si="67"/>
        <v>#NUM!</v>
      </c>
      <c r="N74" t="e">
        <f t="shared" si="68"/>
        <v>#NUM!</v>
      </c>
      <c r="O74" t="e">
        <f t="shared" si="69"/>
        <v>#NUM!</v>
      </c>
      <c r="P74" t="e">
        <f t="shared" si="70"/>
        <v>#NUM!</v>
      </c>
      <c r="Q74" t="e">
        <f t="shared" si="71"/>
        <v>#NUM!</v>
      </c>
      <c r="R74" t="e">
        <f t="shared" si="72"/>
        <v>#NUM!</v>
      </c>
      <c r="S74" t="e">
        <f t="shared" si="73"/>
        <v>#NUM!</v>
      </c>
      <c r="W74" t="e">
        <f t="shared" si="50"/>
        <v>#NUM!</v>
      </c>
      <c r="X74">
        <f t="shared" si="51"/>
        <v>61.570799515387513</v>
      </c>
      <c r="Y74">
        <f t="shared" si="52"/>
        <v>12</v>
      </c>
      <c r="Z74">
        <f t="shared" si="53"/>
        <v>-1.5707963267948966</v>
      </c>
      <c r="AA74" t="e">
        <f t="shared" si="54"/>
        <v>#NUM!</v>
      </c>
      <c r="AB74" t="e">
        <f t="shared" si="55"/>
        <v>#NUM!</v>
      </c>
      <c r="AC74" t="e">
        <f t="shared" si="56"/>
        <v>#NUM!</v>
      </c>
      <c r="AE74">
        <v>3.2153875902064446E-6</v>
      </c>
      <c r="AF74">
        <v>-59.999999999999922</v>
      </c>
      <c r="AH74" s="1">
        <v>68</v>
      </c>
      <c r="AI74" s="1">
        <f t="shared" si="48"/>
        <v>0</v>
      </c>
      <c r="AJ74" s="1">
        <f t="shared" si="48"/>
        <v>0</v>
      </c>
      <c r="AK74" s="2" t="e">
        <f t="shared" si="49"/>
        <v>#NUM!</v>
      </c>
      <c r="AL74" s="2" t="e">
        <f t="shared" si="49"/>
        <v>#NUM!</v>
      </c>
      <c r="AY74">
        <v>15.517506829265256</v>
      </c>
      <c r="BI74">
        <v>19.688248924322149</v>
      </c>
    </row>
    <row r="75" spans="1:62" x14ac:dyDescent="0.25">
      <c r="A75">
        <v>69</v>
      </c>
      <c r="B75" t="e">
        <f t="shared" si="57"/>
        <v>#NUM!</v>
      </c>
      <c r="C75" t="e">
        <f t="shared" si="58"/>
        <v>#NUM!</v>
      </c>
      <c r="D75" t="e">
        <f t="shared" si="59"/>
        <v>#NUM!</v>
      </c>
      <c r="E75" t="e">
        <f t="shared" si="60"/>
        <v>#NUM!</v>
      </c>
      <c r="F75" t="e">
        <f t="shared" si="61"/>
        <v>#NUM!</v>
      </c>
      <c r="G75" t="e">
        <f t="shared" si="62"/>
        <v>#NUM!</v>
      </c>
      <c r="H75" t="e">
        <f t="shared" si="63"/>
        <v>#NUM!</v>
      </c>
      <c r="J75" t="e">
        <f t="shared" si="64"/>
        <v>#NUM!</v>
      </c>
      <c r="K75" t="e">
        <f t="shared" si="65"/>
        <v>#NUM!</v>
      </c>
      <c r="L75" t="e">
        <f t="shared" si="66"/>
        <v>#NUM!</v>
      </c>
      <c r="M75" t="e">
        <f t="shared" si="67"/>
        <v>#NUM!</v>
      </c>
      <c r="N75" t="e">
        <f t="shared" si="68"/>
        <v>#NUM!</v>
      </c>
      <c r="O75" t="e">
        <f t="shared" si="69"/>
        <v>#NUM!</v>
      </c>
      <c r="P75" t="e">
        <f t="shared" si="70"/>
        <v>#NUM!</v>
      </c>
      <c r="Q75" t="e">
        <f t="shared" si="71"/>
        <v>#NUM!</v>
      </c>
      <c r="R75" t="e">
        <f t="shared" si="72"/>
        <v>#NUM!</v>
      </c>
      <c r="S75" t="e">
        <f t="shared" si="73"/>
        <v>#NUM!</v>
      </c>
      <c r="W75" t="e">
        <f t="shared" si="50"/>
        <v>#NUM!</v>
      </c>
      <c r="X75">
        <f t="shared" si="51"/>
        <v>61.570799515387513</v>
      </c>
      <c r="Y75">
        <f t="shared" si="52"/>
        <v>12</v>
      </c>
      <c r="Z75">
        <f t="shared" si="53"/>
        <v>-1.5707963267948966</v>
      </c>
      <c r="AA75" t="e">
        <f t="shared" si="54"/>
        <v>#NUM!</v>
      </c>
      <c r="AB75" t="e">
        <f t="shared" si="55"/>
        <v>#NUM!</v>
      </c>
      <c r="AC75" t="e">
        <f t="shared" si="56"/>
        <v>#NUM!</v>
      </c>
      <c r="AE75">
        <v>3.2153875902064446E-6</v>
      </c>
      <c r="AF75">
        <v>-59.999999999999922</v>
      </c>
      <c r="AH75" s="1">
        <v>69</v>
      </c>
      <c r="AI75" s="1">
        <f t="shared" si="48"/>
        <v>0</v>
      </c>
      <c r="AJ75" s="1">
        <f t="shared" si="48"/>
        <v>0</v>
      </c>
      <c r="AK75" s="2" t="e">
        <f t="shared" si="49"/>
        <v>#NUM!</v>
      </c>
      <c r="AL75" s="2" t="e">
        <f t="shared" si="49"/>
        <v>#NUM!</v>
      </c>
      <c r="AY75">
        <v>12</v>
      </c>
      <c r="BI75">
        <v>0</v>
      </c>
    </row>
    <row r="76" spans="1:62" x14ac:dyDescent="0.25">
      <c r="A76">
        <v>70</v>
      </c>
      <c r="B76" t="e">
        <f t="shared" si="57"/>
        <v>#NUM!</v>
      </c>
      <c r="C76" t="e">
        <f t="shared" si="58"/>
        <v>#NUM!</v>
      </c>
      <c r="D76" t="e">
        <f t="shared" si="59"/>
        <v>#NUM!</v>
      </c>
      <c r="E76" t="e">
        <f t="shared" si="60"/>
        <v>#NUM!</v>
      </c>
      <c r="F76" t="e">
        <f t="shared" si="61"/>
        <v>#NUM!</v>
      </c>
      <c r="G76" t="e">
        <f t="shared" si="62"/>
        <v>#NUM!</v>
      </c>
      <c r="H76" t="e">
        <f t="shared" si="63"/>
        <v>#NUM!</v>
      </c>
      <c r="J76" t="e">
        <f t="shared" si="64"/>
        <v>#NUM!</v>
      </c>
      <c r="K76" t="e">
        <f t="shared" si="65"/>
        <v>#NUM!</v>
      </c>
      <c r="L76" t="e">
        <f t="shared" si="66"/>
        <v>#NUM!</v>
      </c>
      <c r="M76" t="e">
        <f t="shared" si="67"/>
        <v>#NUM!</v>
      </c>
      <c r="N76" t="e">
        <f t="shared" si="68"/>
        <v>#NUM!</v>
      </c>
      <c r="O76" t="e">
        <f t="shared" si="69"/>
        <v>#NUM!</v>
      </c>
      <c r="P76" t="e">
        <f t="shared" si="70"/>
        <v>#NUM!</v>
      </c>
      <c r="Q76" t="e">
        <f t="shared" si="71"/>
        <v>#NUM!</v>
      </c>
      <c r="R76" t="e">
        <f t="shared" si="72"/>
        <v>#NUM!</v>
      </c>
      <c r="S76" t="e">
        <f t="shared" si="73"/>
        <v>#NUM!</v>
      </c>
      <c r="W76" t="e">
        <f t="shared" si="50"/>
        <v>#NUM!</v>
      </c>
      <c r="X76">
        <f t="shared" si="51"/>
        <v>61.570799515387513</v>
      </c>
      <c r="Y76">
        <f t="shared" si="52"/>
        <v>12</v>
      </c>
      <c r="Z76">
        <f t="shared" si="53"/>
        <v>-1.5707963267948966</v>
      </c>
      <c r="AA76" t="e">
        <f t="shared" si="54"/>
        <v>#NUM!</v>
      </c>
      <c r="AB76" t="e">
        <f t="shared" si="55"/>
        <v>#NUM!</v>
      </c>
      <c r="AC76" t="e">
        <f t="shared" si="56"/>
        <v>#NUM!</v>
      </c>
      <c r="AE76">
        <v>3.2153875902064446E-6</v>
      </c>
      <c r="AF76">
        <v>-59.999999999999922</v>
      </c>
      <c r="AH76" s="1">
        <v>70</v>
      </c>
      <c r="AI76" s="1">
        <f t="shared" si="48"/>
        <v>0</v>
      </c>
      <c r="AJ76" s="1">
        <f t="shared" si="48"/>
        <v>0</v>
      </c>
      <c r="AK76" s="2" t="e">
        <f t="shared" si="49"/>
        <v>#NUM!</v>
      </c>
      <c r="AL76" s="2" t="e">
        <f t="shared" si="49"/>
        <v>#NUM!</v>
      </c>
      <c r="AY76">
        <v>-12</v>
      </c>
      <c r="BJ76">
        <v>0</v>
      </c>
    </row>
    <row r="77" spans="1:62" x14ac:dyDescent="0.25">
      <c r="A77">
        <v>71</v>
      </c>
      <c r="B77" t="e">
        <f t="shared" si="57"/>
        <v>#NUM!</v>
      </c>
      <c r="C77" t="e">
        <f t="shared" si="58"/>
        <v>#NUM!</v>
      </c>
      <c r="D77" t="e">
        <f t="shared" si="59"/>
        <v>#NUM!</v>
      </c>
      <c r="E77" t="e">
        <f t="shared" si="60"/>
        <v>#NUM!</v>
      </c>
      <c r="F77" t="e">
        <f t="shared" si="61"/>
        <v>#NUM!</v>
      </c>
      <c r="G77" t="e">
        <f t="shared" si="62"/>
        <v>#NUM!</v>
      </c>
      <c r="H77" t="e">
        <f t="shared" si="63"/>
        <v>#NUM!</v>
      </c>
      <c r="J77" t="e">
        <f t="shared" si="64"/>
        <v>#NUM!</v>
      </c>
      <c r="K77" t="e">
        <f t="shared" si="65"/>
        <v>#NUM!</v>
      </c>
      <c r="L77" t="e">
        <f t="shared" si="66"/>
        <v>#NUM!</v>
      </c>
      <c r="M77" t="e">
        <f t="shared" si="67"/>
        <v>#NUM!</v>
      </c>
      <c r="N77" t="e">
        <f t="shared" si="68"/>
        <v>#NUM!</v>
      </c>
      <c r="O77" t="e">
        <f t="shared" si="69"/>
        <v>#NUM!</v>
      </c>
      <c r="P77" t="e">
        <f t="shared" si="70"/>
        <v>#NUM!</v>
      </c>
      <c r="Q77" t="e">
        <f t="shared" si="71"/>
        <v>#NUM!</v>
      </c>
      <c r="R77" t="e">
        <f t="shared" si="72"/>
        <v>#NUM!</v>
      </c>
      <c r="S77" t="e">
        <f t="shared" si="73"/>
        <v>#NUM!</v>
      </c>
      <c r="W77" t="e">
        <f t="shared" si="50"/>
        <v>#NUM!</v>
      </c>
      <c r="X77">
        <f t="shared" si="51"/>
        <v>61.570799515387513</v>
      </c>
      <c r="Y77">
        <f t="shared" si="52"/>
        <v>12</v>
      </c>
      <c r="Z77">
        <f t="shared" si="53"/>
        <v>-1.5707963267948966</v>
      </c>
      <c r="AA77" t="e">
        <f t="shared" si="54"/>
        <v>#NUM!</v>
      </c>
      <c r="AB77" t="e">
        <f t="shared" si="55"/>
        <v>#NUM!</v>
      </c>
      <c r="AC77" t="e">
        <f t="shared" si="56"/>
        <v>#NUM!</v>
      </c>
      <c r="AE77">
        <v>3.2153875902064446E-6</v>
      </c>
      <c r="AF77">
        <v>-59.999999999999922</v>
      </c>
      <c r="AH77" s="1">
        <v>71</v>
      </c>
      <c r="AI77" s="1">
        <f t="shared" si="48"/>
        <v>0</v>
      </c>
      <c r="AJ77" s="1">
        <f t="shared" si="48"/>
        <v>0</v>
      </c>
      <c r="AK77" s="2" t="e">
        <f t="shared" si="49"/>
        <v>#NUM!</v>
      </c>
      <c r="AL77" s="2" t="e">
        <f t="shared" si="49"/>
        <v>#NUM!</v>
      </c>
      <c r="AY77">
        <v>-22.380163934182676</v>
      </c>
      <c r="BJ77">
        <v>17.095385245717431</v>
      </c>
    </row>
    <row r="78" spans="1:62" x14ac:dyDescent="0.25">
      <c r="A78">
        <v>72</v>
      </c>
      <c r="B78" t="e">
        <f t="shared" si="57"/>
        <v>#NUM!</v>
      </c>
      <c r="C78" t="e">
        <f t="shared" si="58"/>
        <v>#NUM!</v>
      </c>
      <c r="D78" t="e">
        <f t="shared" si="59"/>
        <v>#NUM!</v>
      </c>
      <c r="E78" t="e">
        <f t="shared" si="60"/>
        <v>#NUM!</v>
      </c>
      <c r="F78" t="e">
        <f t="shared" si="61"/>
        <v>#NUM!</v>
      </c>
      <c r="G78" t="e">
        <f t="shared" si="62"/>
        <v>#NUM!</v>
      </c>
      <c r="H78" t="e">
        <f t="shared" si="63"/>
        <v>#NUM!</v>
      </c>
      <c r="J78" t="e">
        <f t="shared" si="64"/>
        <v>#NUM!</v>
      </c>
      <c r="K78" t="e">
        <f t="shared" si="65"/>
        <v>#NUM!</v>
      </c>
      <c r="L78" t="e">
        <f t="shared" si="66"/>
        <v>#NUM!</v>
      </c>
      <c r="M78" t="e">
        <f t="shared" si="67"/>
        <v>#NUM!</v>
      </c>
      <c r="N78" t="e">
        <f t="shared" si="68"/>
        <v>#NUM!</v>
      </c>
      <c r="O78" t="e">
        <f t="shared" si="69"/>
        <v>#NUM!</v>
      </c>
      <c r="P78" t="e">
        <f t="shared" si="70"/>
        <v>#NUM!</v>
      </c>
      <c r="Q78" t="e">
        <f t="shared" si="71"/>
        <v>#NUM!</v>
      </c>
      <c r="R78" t="e">
        <f t="shared" si="72"/>
        <v>#NUM!</v>
      </c>
      <c r="S78" t="e">
        <f t="shared" si="73"/>
        <v>#NUM!</v>
      </c>
      <c r="W78" t="e">
        <f t="shared" si="50"/>
        <v>#NUM!</v>
      </c>
      <c r="X78">
        <f t="shared" si="51"/>
        <v>61.570799515387513</v>
      </c>
      <c r="Y78">
        <f t="shared" si="52"/>
        <v>12</v>
      </c>
      <c r="Z78">
        <f t="shared" si="53"/>
        <v>-1.5707963267948966</v>
      </c>
      <c r="AA78" t="e">
        <f t="shared" si="54"/>
        <v>#NUM!</v>
      </c>
      <c r="AB78" t="e">
        <f t="shared" si="55"/>
        <v>#NUM!</v>
      </c>
      <c r="AC78" t="e">
        <f t="shared" si="56"/>
        <v>#NUM!</v>
      </c>
      <c r="AE78">
        <v>3.2153875902064446E-6</v>
      </c>
      <c r="AF78">
        <v>-59.999999999999922</v>
      </c>
      <c r="AH78" s="1">
        <v>72</v>
      </c>
      <c r="AI78" s="1">
        <f t="shared" si="48"/>
        <v>0</v>
      </c>
      <c r="AJ78" s="1">
        <f t="shared" si="48"/>
        <v>0</v>
      </c>
      <c r="AK78" s="2" t="e">
        <f t="shared" si="49"/>
        <v>#NUM!</v>
      </c>
      <c r="AL78" s="2" t="e">
        <f t="shared" si="49"/>
        <v>#NUM!</v>
      </c>
      <c r="AY78">
        <v>7</v>
      </c>
      <c r="BJ78">
        <v>60</v>
      </c>
    </row>
    <row r="79" spans="1:62" x14ac:dyDescent="0.25">
      <c r="A79">
        <v>73</v>
      </c>
      <c r="B79" t="e">
        <f t="shared" si="57"/>
        <v>#NUM!</v>
      </c>
      <c r="C79" t="e">
        <f t="shared" si="58"/>
        <v>#NUM!</v>
      </c>
      <c r="D79" t="e">
        <f t="shared" si="59"/>
        <v>#NUM!</v>
      </c>
      <c r="E79" t="e">
        <f t="shared" si="60"/>
        <v>#NUM!</v>
      </c>
      <c r="F79" t="e">
        <f t="shared" si="61"/>
        <v>#NUM!</v>
      </c>
      <c r="G79" t="e">
        <f t="shared" si="62"/>
        <v>#NUM!</v>
      </c>
      <c r="H79" t="e">
        <f t="shared" si="63"/>
        <v>#NUM!</v>
      </c>
      <c r="J79" t="e">
        <f t="shared" si="64"/>
        <v>#NUM!</v>
      </c>
      <c r="K79" t="e">
        <f t="shared" si="65"/>
        <v>#NUM!</v>
      </c>
      <c r="L79" t="e">
        <f t="shared" si="66"/>
        <v>#NUM!</v>
      </c>
      <c r="M79" t="e">
        <f t="shared" si="67"/>
        <v>#NUM!</v>
      </c>
      <c r="N79" t="e">
        <f t="shared" si="68"/>
        <v>#NUM!</v>
      </c>
      <c r="O79" t="e">
        <f t="shared" si="69"/>
        <v>#NUM!</v>
      </c>
      <c r="P79" t="e">
        <f t="shared" si="70"/>
        <v>#NUM!</v>
      </c>
      <c r="Q79" t="e">
        <f t="shared" si="71"/>
        <v>#NUM!</v>
      </c>
      <c r="R79" t="e">
        <f t="shared" si="72"/>
        <v>#NUM!</v>
      </c>
      <c r="S79" t="e">
        <f t="shared" si="73"/>
        <v>#NUM!</v>
      </c>
      <c r="W79" t="e">
        <f t="shared" si="50"/>
        <v>#NUM!</v>
      </c>
      <c r="X79">
        <f t="shared" si="51"/>
        <v>61.570799515387513</v>
      </c>
      <c r="Y79">
        <f t="shared" si="52"/>
        <v>12</v>
      </c>
      <c r="Z79">
        <f t="shared" si="53"/>
        <v>-1.5707963267948966</v>
      </c>
      <c r="AA79" t="e">
        <f t="shared" si="54"/>
        <v>#NUM!</v>
      </c>
      <c r="AB79" t="e">
        <f t="shared" si="55"/>
        <v>#NUM!</v>
      </c>
      <c r="AC79" t="e">
        <f t="shared" si="56"/>
        <v>#NUM!</v>
      </c>
      <c r="AE79">
        <v>3.2153875902064446E-6</v>
      </c>
      <c r="AF79">
        <v>-59.999999999999922</v>
      </c>
      <c r="AH79" s="1">
        <v>73</v>
      </c>
      <c r="AI79" s="1">
        <f t="shared" si="48"/>
        <v>0</v>
      </c>
      <c r="AJ79" s="1">
        <f t="shared" si="48"/>
        <v>0</v>
      </c>
      <c r="AK79" s="2" t="e">
        <f t="shared" si="49"/>
        <v>#NUM!</v>
      </c>
      <c r="AL79" s="2" t="e">
        <f t="shared" si="49"/>
        <v>#NUM!</v>
      </c>
      <c r="AY79">
        <v>-4.3000630515963358</v>
      </c>
      <c r="BJ79">
        <v>43.498225094514225</v>
      </c>
    </row>
    <row r="80" spans="1:62" x14ac:dyDescent="0.25">
      <c r="A80">
        <v>74</v>
      </c>
      <c r="B80" t="e">
        <f t="shared" si="57"/>
        <v>#NUM!</v>
      </c>
      <c r="C80" t="e">
        <f t="shared" si="58"/>
        <v>#NUM!</v>
      </c>
      <c r="D80" t="e">
        <f t="shared" si="59"/>
        <v>#NUM!</v>
      </c>
      <c r="E80" t="e">
        <f t="shared" si="60"/>
        <v>#NUM!</v>
      </c>
      <c r="F80" t="e">
        <f t="shared" si="61"/>
        <v>#NUM!</v>
      </c>
      <c r="G80" t="e">
        <f t="shared" si="62"/>
        <v>#NUM!</v>
      </c>
      <c r="H80" t="e">
        <f t="shared" si="63"/>
        <v>#NUM!</v>
      </c>
      <c r="J80" t="e">
        <f t="shared" si="64"/>
        <v>#NUM!</v>
      </c>
      <c r="K80" t="e">
        <f t="shared" si="65"/>
        <v>#NUM!</v>
      </c>
      <c r="L80" t="e">
        <f t="shared" si="66"/>
        <v>#NUM!</v>
      </c>
      <c r="M80" t="e">
        <f t="shared" si="67"/>
        <v>#NUM!</v>
      </c>
      <c r="N80" t="e">
        <f t="shared" si="68"/>
        <v>#NUM!</v>
      </c>
      <c r="O80" t="e">
        <f t="shared" si="69"/>
        <v>#NUM!</v>
      </c>
      <c r="P80" t="e">
        <f t="shared" si="70"/>
        <v>#NUM!</v>
      </c>
      <c r="Q80" t="e">
        <f t="shared" si="71"/>
        <v>#NUM!</v>
      </c>
      <c r="R80" t="e">
        <f t="shared" si="72"/>
        <v>#NUM!</v>
      </c>
      <c r="S80" t="e">
        <f t="shared" si="73"/>
        <v>#NUM!</v>
      </c>
      <c r="W80" t="e">
        <f t="shared" si="50"/>
        <v>#NUM!</v>
      </c>
      <c r="X80">
        <f t="shared" si="51"/>
        <v>61.570799515387513</v>
      </c>
      <c r="Y80">
        <f t="shared" si="52"/>
        <v>12</v>
      </c>
      <c r="Z80">
        <f t="shared" si="53"/>
        <v>-1.5707963267948966</v>
      </c>
      <c r="AA80" t="e">
        <f t="shared" si="54"/>
        <v>#NUM!</v>
      </c>
      <c r="AB80" t="e">
        <f t="shared" si="55"/>
        <v>#NUM!</v>
      </c>
      <c r="AC80" t="e">
        <f t="shared" si="56"/>
        <v>#NUM!</v>
      </c>
      <c r="AE80">
        <v>3.2153875902064446E-6</v>
      </c>
      <c r="AF80">
        <v>-59.999999999999922</v>
      </c>
      <c r="AH80" s="1">
        <v>74</v>
      </c>
      <c r="AI80" s="1">
        <f t="shared" si="48"/>
        <v>0</v>
      </c>
      <c r="AJ80" s="1">
        <f t="shared" si="48"/>
        <v>0</v>
      </c>
      <c r="AK80" s="2" t="e">
        <f t="shared" si="49"/>
        <v>#NUM!</v>
      </c>
      <c r="AL80" s="2" t="e">
        <f t="shared" si="49"/>
        <v>#NUM!</v>
      </c>
      <c r="AY80">
        <v>16.777941702150098</v>
      </c>
      <c r="BJ80">
        <v>19.420897844612</v>
      </c>
    </row>
    <row r="81" spans="1:65" x14ac:dyDescent="0.25">
      <c r="A81">
        <v>75</v>
      </c>
      <c r="B81" t="e">
        <f t="shared" si="57"/>
        <v>#NUM!</v>
      </c>
      <c r="C81" t="e">
        <f t="shared" si="58"/>
        <v>#NUM!</v>
      </c>
      <c r="D81" t="e">
        <f t="shared" si="59"/>
        <v>#NUM!</v>
      </c>
      <c r="E81" t="e">
        <f t="shared" si="60"/>
        <v>#NUM!</v>
      </c>
      <c r="F81" t="e">
        <f t="shared" si="61"/>
        <v>#NUM!</v>
      </c>
      <c r="G81" t="e">
        <f t="shared" si="62"/>
        <v>#NUM!</v>
      </c>
      <c r="H81" t="e">
        <f t="shared" si="63"/>
        <v>#NUM!</v>
      </c>
      <c r="J81" t="e">
        <f t="shared" si="64"/>
        <v>#NUM!</v>
      </c>
      <c r="K81" t="e">
        <f t="shared" si="65"/>
        <v>#NUM!</v>
      </c>
      <c r="L81" t="e">
        <f t="shared" si="66"/>
        <v>#NUM!</v>
      </c>
      <c r="M81" t="e">
        <f t="shared" si="67"/>
        <v>#NUM!</v>
      </c>
      <c r="N81" t="e">
        <f t="shared" si="68"/>
        <v>#NUM!</v>
      </c>
      <c r="O81" t="e">
        <f t="shared" si="69"/>
        <v>#NUM!</v>
      </c>
      <c r="P81" t="e">
        <f t="shared" si="70"/>
        <v>#NUM!</v>
      </c>
      <c r="Q81" t="e">
        <f t="shared" si="71"/>
        <v>#NUM!</v>
      </c>
      <c r="R81" t="e">
        <f t="shared" si="72"/>
        <v>#NUM!</v>
      </c>
      <c r="S81" t="e">
        <f t="shared" si="73"/>
        <v>#NUM!</v>
      </c>
      <c r="W81" t="e">
        <f t="shared" si="50"/>
        <v>#NUM!</v>
      </c>
      <c r="X81">
        <f t="shared" si="51"/>
        <v>61.570799515387513</v>
      </c>
      <c r="Y81">
        <f t="shared" si="52"/>
        <v>12</v>
      </c>
      <c r="Z81">
        <f t="shared" si="53"/>
        <v>-1.5707963267948966</v>
      </c>
      <c r="AA81" t="e">
        <f t="shared" si="54"/>
        <v>#NUM!</v>
      </c>
      <c r="AB81" t="e">
        <f t="shared" si="55"/>
        <v>#NUM!</v>
      </c>
      <c r="AC81" t="e">
        <f t="shared" si="56"/>
        <v>#NUM!</v>
      </c>
      <c r="AE81">
        <v>3.2153875902064446E-6</v>
      </c>
      <c r="AF81">
        <v>-59.999999999999922</v>
      </c>
      <c r="AH81" s="1">
        <v>75</v>
      </c>
      <c r="AI81" s="1">
        <f t="shared" si="48"/>
        <v>0</v>
      </c>
      <c r="AJ81" s="1">
        <f t="shared" si="48"/>
        <v>0</v>
      </c>
      <c r="AK81" s="2" t="e">
        <f t="shared" si="49"/>
        <v>#NUM!</v>
      </c>
      <c r="AL81" s="2" t="e">
        <f t="shared" si="49"/>
        <v>#NUM!</v>
      </c>
      <c r="AY81">
        <v>12</v>
      </c>
      <c r="BJ81">
        <v>0</v>
      </c>
    </row>
    <row r="82" spans="1:65" x14ac:dyDescent="0.25">
      <c r="A82">
        <v>76</v>
      </c>
      <c r="B82" t="e">
        <f t="shared" si="57"/>
        <v>#NUM!</v>
      </c>
      <c r="C82" t="e">
        <f t="shared" si="58"/>
        <v>#NUM!</v>
      </c>
      <c r="D82" t="e">
        <f t="shared" si="59"/>
        <v>#NUM!</v>
      </c>
      <c r="E82" t="e">
        <f t="shared" si="60"/>
        <v>#NUM!</v>
      </c>
      <c r="F82" t="e">
        <f t="shared" si="61"/>
        <v>#NUM!</v>
      </c>
      <c r="G82" t="e">
        <f t="shared" si="62"/>
        <v>#NUM!</v>
      </c>
      <c r="H82" t="e">
        <f t="shared" si="63"/>
        <v>#NUM!</v>
      </c>
      <c r="J82" t="e">
        <f t="shared" si="64"/>
        <v>#NUM!</v>
      </c>
      <c r="K82" t="e">
        <f t="shared" si="65"/>
        <v>#NUM!</v>
      </c>
      <c r="L82" t="e">
        <f t="shared" si="66"/>
        <v>#NUM!</v>
      </c>
      <c r="M82" t="e">
        <f t="shared" si="67"/>
        <v>#NUM!</v>
      </c>
      <c r="N82" t="e">
        <f t="shared" si="68"/>
        <v>#NUM!</v>
      </c>
      <c r="O82" t="e">
        <f t="shared" si="69"/>
        <v>#NUM!</v>
      </c>
      <c r="P82" t="e">
        <f t="shared" si="70"/>
        <v>#NUM!</v>
      </c>
      <c r="Q82" t="e">
        <f t="shared" si="71"/>
        <v>#NUM!</v>
      </c>
      <c r="R82" t="e">
        <f t="shared" si="72"/>
        <v>#NUM!</v>
      </c>
      <c r="S82" t="e">
        <f t="shared" si="73"/>
        <v>#NUM!</v>
      </c>
      <c r="W82" t="e">
        <f t="shared" si="50"/>
        <v>#NUM!</v>
      </c>
      <c r="X82">
        <f t="shared" si="51"/>
        <v>61.570799515387513</v>
      </c>
      <c r="Y82">
        <f t="shared" si="52"/>
        <v>12</v>
      </c>
      <c r="Z82">
        <f t="shared" si="53"/>
        <v>-1.5707963267948966</v>
      </c>
      <c r="AA82" t="e">
        <f t="shared" si="54"/>
        <v>#NUM!</v>
      </c>
      <c r="AB82" t="e">
        <f t="shared" si="55"/>
        <v>#NUM!</v>
      </c>
      <c r="AC82" t="e">
        <f t="shared" si="56"/>
        <v>#NUM!</v>
      </c>
      <c r="AE82">
        <v>3.2153875902064446E-6</v>
      </c>
      <c r="AF82">
        <v>-59.999999999999922</v>
      </c>
      <c r="AH82" s="1">
        <v>76</v>
      </c>
      <c r="AI82" s="1">
        <f t="shared" si="48"/>
        <v>0</v>
      </c>
      <c r="AJ82" s="1">
        <f t="shared" si="48"/>
        <v>0</v>
      </c>
      <c r="AK82" s="2" t="e">
        <f t="shared" si="49"/>
        <v>#NUM!</v>
      </c>
      <c r="AL82" s="2" t="e">
        <f t="shared" si="49"/>
        <v>#NUM!</v>
      </c>
      <c r="AY82">
        <v>-12</v>
      </c>
      <c r="BK82">
        <v>0</v>
      </c>
    </row>
    <row r="83" spans="1:65" x14ac:dyDescent="0.25">
      <c r="A83">
        <v>77</v>
      </c>
      <c r="B83" t="e">
        <f t="shared" si="57"/>
        <v>#NUM!</v>
      </c>
      <c r="C83" t="e">
        <f t="shared" si="58"/>
        <v>#NUM!</v>
      </c>
      <c r="D83" t="e">
        <f t="shared" si="59"/>
        <v>#NUM!</v>
      </c>
      <c r="E83" t="e">
        <f t="shared" si="60"/>
        <v>#NUM!</v>
      </c>
      <c r="F83" t="e">
        <f t="shared" si="61"/>
        <v>#NUM!</v>
      </c>
      <c r="G83" t="e">
        <f t="shared" si="62"/>
        <v>#NUM!</v>
      </c>
      <c r="H83" t="e">
        <f t="shared" si="63"/>
        <v>#NUM!</v>
      </c>
      <c r="J83" t="e">
        <f t="shared" si="64"/>
        <v>#NUM!</v>
      </c>
      <c r="K83" t="e">
        <f t="shared" si="65"/>
        <v>#NUM!</v>
      </c>
      <c r="L83" t="e">
        <f t="shared" si="66"/>
        <v>#NUM!</v>
      </c>
      <c r="M83" t="e">
        <f t="shared" si="67"/>
        <v>#NUM!</v>
      </c>
      <c r="N83" t="e">
        <f t="shared" si="68"/>
        <v>#NUM!</v>
      </c>
      <c r="O83" t="e">
        <f t="shared" si="69"/>
        <v>#NUM!</v>
      </c>
      <c r="P83" t="e">
        <f t="shared" si="70"/>
        <v>#NUM!</v>
      </c>
      <c r="Q83" t="e">
        <f t="shared" si="71"/>
        <v>#NUM!</v>
      </c>
      <c r="R83" t="e">
        <f t="shared" si="72"/>
        <v>#NUM!</v>
      </c>
      <c r="S83" t="e">
        <f t="shared" si="73"/>
        <v>#NUM!</v>
      </c>
      <c r="W83" t="e">
        <f t="shared" si="50"/>
        <v>#NUM!</v>
      </c>
      <c r="X83">
        <f t="shared" si="51"/>
        <v>61.570799515387513</v>
      </c>
      <c r="Y83">
        <f t="shared" si="52"/>
        <v>12</v>
      </c>
      <c r="Z83">
        <f t="shared" si="53"/>
        <v>-1.5707963267948966</v>
      </c>
      <c r="AA83" t="e">
        <f t="shared" si="54"/>
        <v>#NUM!</v>
      </c>
      <c r="AB83" t="e">
        <f t="shared" si="55"/>
        <v>#NUM!</v>
      </c>
      <c r="AC83" t="e">
        <f t="shared" si="56"/>
        <v>#NUM!</v>
      </c>
      <c r="AE83">
        <v>3.2153875902064446E-6</v>
      </c>
      <c r="AF83">
        <v>-59.999999999999922</v>
      </c>
      <c r="AH83" s="1">
        <v>77</v>
      </c>
      <c r="AI83" s="1">
        <f t="shared" si="48"/>
        <v>0</v>
      </c>
      <c r="AJ83" s="1">
        <f t="shared" si="48"/>
        <v>0</v>
      </c>
      <c r="AK83" s="2" t="e">
        <f t="shared" si="49"/>
        <v>#NUM!</v>
      </c>
      <c r="AL83" s="2" t="e">
        <f t="shared" si="49"/>
        <v>#NUM!</v>
      </c>
      <c r="AY83">
        <v>-21.078840109892809</v>
      </c>
      <c r="BK83">
        <v>17.820624631561081</v>
      </c>
    </row>
    <row r="84" spans="1:65" x14ac:dyDescent="0.25">
      <c r="A84">
        <v>78</v>
      </c>
      <c r="B84" t="e">
        <f t="shared" si="57"/>
        <v>#NUM!</v>
      </c>
      <c r="C84" t="e">
        <f t="shared" si="58"/>
        <v>#NUM!</v>
      </c>
      <c r="D84" t="e">
        <f t="shared" si="59"/>
        <v>#NUM!</v>
      </c>
      <c r="E84" t="e">
        <f t="shared" si="60"/>
        <v>#NUM!</v>
      </c>
      <c r="F84" t="e">
        <f t="shared" si="61"/>
        <v>#NUM!</v>
      </c>
      <c r="G84" t="e">
        <f t="shared" si="62"/>
        <v>#NUM!</v>
      </c>
      <c r="H84" t="e">
        <f t="shared" si="63"/>
        <v>#NUM!</v>
      </c>
      <c r="J84" t="e">
        <f t="shared" si="64"/>
        <v>#NUM!</v>
      </c>
      <c r="K84" t="e">
        <f t="shared" si="65"/>
        <v>#NUM!</v>
      </c>
      <c r="L84" t="e">
        <f t="shared" si="66"/>
        <v>#NUM!</v>
      </c>
      <c r="M84" t="e">
        <f t="shared" si="67"/>
        <v>#NUM!</v>
      </c>
      <c r="N84" t="e">
        <f t="shared" si="68"/>
        <v>#NUM!</v>
      </c>
      <c r="O84" t="e">
        <f t="shared" si="69"/>
        <v>#NUM!</v>
      </c>
      <c r="P84" t="e">
        <f t="shared" si="70"/>
        <v>#NUM!</v>
      </c>
      <c r="Q84" t="e">
        <f t="shared" si="71"/>
        <v>#NUM!</v>
      </c>
      <c r="R84" t="e">
        <f t="shared" si="72"/>
        <v>#NUM!</v>
      </c>
      <c r="S84" t="e">
        <f t="shared" si="73"/>
        <v>#NUM!</v>
      </c>
      <c r="W84" t="e">
        <f t="shared" si="50"/>
        <v>#NUM!</v>
      </c>
      <c r="X84">
        <f t="shared" si="51"/>
        <v>61.570799515387513</v>
      </c>
      <c r="Y84">
        <f t="shared" si="52"/>
        <v>12</v>
      </c>
      <c r="Z84">
        <f t="shared" si="53"/>
        <v>-1.5707963267948966</v>
      </c>
      <c r="AA84" t="e">
        <f t="shared" si="54"/>
        <v>#NUM!</v>
      </c>
      <c r="AB84" t="e">
        <f t="shared" si="55"/>
        <v>#NUM!</v>
      </c>
      <c r="AC84" t="e">
        <f t="shared" si="56"/>
        <v>#NUM!</v>
      </c>
      <c r="AE84">
        <v>3.2153875902064446E-6</v>
      </c>
      <c r="AF84">
        <v>-59.999999999999922</v>
      </c>
      <c r="AH84" s="1">
        <v>78</v>
      </c>
      <c r="AI84" s="1">
        <f t="shared" si="48"/>
        <v>0</v>
      </c>
      <c r="AJ84" s="1">
        <f t="shared" si="48"/>
        <v>0</v>
      </c>
      <c r="AK84" s="2" t="e">
        <f t="shared" si="49"/>
        <v>#NUM!</v>
      </c>
      <c r="AL84" s="2" t="e">
        <f t="shared" si="49"/>
        <v>#NUM!</v>
      </c>
      <c r="AY84">
        <v>9.3333333333333339</v>
      </c>
      <c r="BK84">
        <v>60</v>
      </c>
    </row>
    <row r="85" spans="1:65" x14ac:dyDescent="0.25">
      <c r="A85">
        <v>79</v>
      </c>
      <c r="B85" t="e">
        <f t="shared" si="57"/>
        <v>#NUM!</v>
      </c>
      <c r="C85" t="e">
        <f t="shared" si="58"/>
        <v>#NUM!</v>
      </c>
      <c r="D85" t="e">
        <f t="shared" si="59"/>
        <v>#NUM!</v>
      </c>
      <c r="E85" t="e">
        <f t="shared" si="60"/>
        <v>#NUM!</v>
      </c>
      <c r="F85" t="e">
        <f t="shared" si="61"/>
        <v>#NUM!</v>
      </c>
      <c r="G85" t="e">
        <f t="shared" si="62"/>
        <v>#NUM!</v>
      </c>
      <c r="H85" t="e">
        <f t="shared" si="63"/>
        <v>#NUM!</v>
      </c>
      <c r="J85" t="e">
        <f t="shared" si="64"/>
        <v>#NUM!</v>
      </c>
      <c r="K85" t="e">
        <f t="shared" si="65"/>
        <v>#NUM!</v>
      </c>
      <c r="L85" t="e">
        <f t="shared" si="66"/>
        <v>#NUM!</v>
      </c>
      <c r="M85" t="e">
        <f t="shared" si="67"/>
        <v>#NUM!</v>
      </c>
      <c r="N85" t="e">
        <f t="shared" si="68"/>
        <v>#NUM!</v>
      </c>
      <c r="O85" t="e">
        <f t="shared" si="69"/>
        <v>#NUM!</v>
      </c>
      <c r="P85" t="e">
        <f t="shared" si="70"/>
        <v>#NUM!</v>
      </c>
      <c r="Q85" t="e">
        <f t="shared" si="71"/>
        <v>#NUM!</v>
      </c>
      <c r="R85" t="e">
        <f t="shared" si="72"/>
        <v>#NUM!</v>
      </c>
      <c r="S85" t="e">
        <f t="shared" si="73"/>
        <v>#NUM!</v>
      </c>
      <c r="W85" t="e">
        <f t="shared" si="50"/>
        <v>#NUM!</v>
      </c>
      <c r="X85">
        <f t="shared" si="51"/>
        <v>61.570799515387513</v>
      </c>
      <c r="Y85">
        <f t="shared" si="52"/>
        <v>12</v>
      </c>
      <c r="Z85">
        <f t="shared" si="53"/>
        <v>-1.5707963267948966</v>
      </c>
      <c r="AA85" t="e">
        <f t="shared" si="54"/>
        <v>#NUM!</v>
      </c>
      <c r="AB85" t="e">
        <f t="shared" si="55"/>
        <v>#NUM!</v>
      </c>
      <c r="AC85" t="e">
        <f t="shared" si="56"/>
        <v>#NUM!</v>
      </c>
      <c r="AE85">
        <v>3.2153875902064446E-6</v>
      </c>
      <c r="AF85">
        <v>-59.999999999999922</v>
      </c>
      <c r="AH85" s="1">
        <v>79</v>
      </c>
      <c r="AI85" s="1">
        <f t="shared" si="48"/>
        <v>0</v>
      </c>
      <c r="AJ85" s="1">
        <f t="shared" si="48"/>
        <v>0</v>
      </c>
      <c r="AK85" s="2" t="e">
        <f t="shared" si="49"/>
        <v>#NUM!</v>
      </c>
      <c r="AL85" s="2" t="e">
        <f t="shared" si="49"/>
        <v>#NUM!</v>
      </c>
      <c r="AY85">
        <v>-2.3636564525099644</v>
      </c>
      <c r="BK85">
        <v>43.777163319837754</v>
      </c>
    </row>
    <row r="86" spans="1:65" x14ac:dyDescent="0.25">
      <c r="A86">
        <v>80</v>
      </c>
      <c r="B86" t="e">
        <f t="shared" si="57"/>
        <v>#NUM!</v>
      </c>
      <c r="C86" t="e">
        <f t="shared" si="58"/>
        <v>#NUM!</v>
      </c>
      <c r="D86" t="e">
        <f t="shared" si="59"/>
        <v>#NUM!</v>
      </c>
      <c r="E86" t="e">
        <f t="shared" si="60"/>
        <v>#NUM!</v>
      </c>
      <c r="F86" t="e">
        <f t="shared" si="61"/>
        <v>#NUM!</v>
      </c>
      <c r="G86" t="e">
        <f t="shared" si="62"/>
        <v>#NUM!</v>
      </c>
      <c r="H86" t="e">
        <f t="shared" si="63"/>
        <v>#NUM!</v>
      </c>
      <c r="J86" t="e">
        <f t="shared" si="64"/>
        <v>#NUM!</v>
      </c>
      <c r="K86" t="e">
        <f t="shared" si="65"/>
        <v>#NUM!</v>
      </c>
      <c r="L86" t="e">
        <f t="shared" si="66"/>
        <v>#NUM!</v>
      </c>
      <c r="M86" t="e">
        <f t="shared" si="67"/>
        <v>#NUM!</v>
      </c>
      <c r="N86" t="e">
        <f t="shared" si="68"/>
        <v>#NUM!</v>
      </c>
      <c r="O86" t="e">
        <f t="shared" si="69"/>
        <v>#NUM!</v>
      </c>
      <c r="P86" t="e">
        <f t="shared" si="70"/>
        <v>#NUM!</v>
      </c>
      <c r="Q86" t="e">
        <f t="shared" si="71"/>
        <v>#NUM!</v>
      </c>
      <c r="R86" t="e">
        <f t="shared" si="72"/>
        <v>#NUM!</v>
      </c>
      <c r="S86" t="e">
        <f t="shared" si="73"/>
        <v>#NUM!</v>
      </c>
      <c r="W86" t="e">
        <f t="shared" si="50"/>
        <v>#NUM!</v>
      </c>
      <c r="X86">
        <f t="shared" si="51"/>
        <v>61.570799515387513</v>
      </c>
      <c r="Y86">
        <f t="shared" si="52"/>
        <v>12</v>
      </c>
      <c r="Z86">
        <f t="shared" si="53"/>
        <v>-1.5707963267948966</v>
      </c>
      <c r="AA86" t="e">
        <f t="shared" si="54"/>
        <v>#NUM!</v>
      </c>
      <c r="AB86" t="e">
        <f t="shared" si="55"/>
        <v>#NUM!</v>
      </c>
      <c r="AC86" t="e">
        <f t="shared" si="56"/>
        <v>#NUM!</v>
      </c>
      <c r="AE86">
        <v>3.2153875902064446E-6</v>
      </c>
      <c r="AF86">
        <v>-59.999999999999922</v>
      </c>
      <c r="AH86" s="1">
        <v>80</v>
      </c>
      <c r="AI86" s="1">
        <f t="shared" si="48"/>
        <v>0</v>
      </c>
      <c r="AJ86" s="1">
        <f t="shared" si="48"/>
        <v>0</v>
      </c>
      <c r="AK86" s="2" t="e">
        <f t="shared" si="49"/>
        <v>#NUM!</v>
      </c>
      <c r="AL86" s="2" t="e">
        <f t="shared" si="49"/>
        <v>#NUM!</v>
      </c>
      <c r="AY86">
        <v>17.987756355580007</v>
      </c>
      <c r="BK86">
        <v>19.08263016007519</v>
      </c>
    </row>
    <row r="87" spans="1:65" x14ac:dyDescent="0.25">
      <c r="A87">
        <v>81</v>
      </c>
      <c r="B87" t="e">
        <f t="shared" si="57"/>
        <v>#NUM!</v>
      </c>
      <c r="C87" t="e">
        <f t="shared" si="58"/>
        <v>#NUM!</v>
      </c>
      <c r="D87" t="e">
        <f t="shared" si="59"/>
        <v>#NUM!</v>
      </c>
      <c r="E87" t="e">
        <f t="shared" si="60"/>
        <v>#NUM!</v>
      </c>
      <c r="F87" t="e">
        <f t="shared" si="61"/>
        <v>#NUM!</v>
      </c>
      <c r="G87" t="e">
        <f t="shared" si="62"/>
        <v>#NUM!</v>
      </c>
      <c r="H87" t="e">
        <f t="shared" si="63"/>
        <v>#NUM!</v>
      </c>
      <c r="J87" t="e">
        <f t="shared" si="64"/>
        <v>#NUM!</v>
      </c>
      <c r="K87" t="e">
        <f t="shared" si="65"/>
        <v>#NUM!</v>
      </c>
      <c r="L87" t="e">
        <f t="shared" si="66"/>
        <v>#NUM!</v>
      </c>
      <c r="M87" t="e">
        <f t="shared" si="67"/>
        <v>#NUM!</v>
      </c>
      <c r="N87" t="e">
        <f t="shared" si="68"/>
        <v>#NUM!</v>
      </c>
      <c r="O87" t="e">
        <f t="shared" si="69"/>
        <v>#NUM!</v>
      </c>
      <c r="P87" t="e">
        <f t="shared" si="70"/>
        <v>#NUM!</v>
      </c>
      <c r="Q87" t="e">
        <f t="shared" si="71"/>
        <v>#NUM!</v>
      </c>
      <c r="R87" t="e">
        <f t="shared" si="72"/>
        <v>#NUM!</v>
      </c>
      <c r="S87" t="e">
        <f t="shared" si="73"/>
        <v>#NUM!</v>
      </c>
      <c r="W87" t="e">
        <f t="shared" si="50"/>
        <v>#NUM!</v>
      </c>
      <c r="X87">
        <f t="shared" si="51"/>
        <v>61.570799515387513</v>
      </c>
      <c r="Y87">
        <f t="shared" si="52"/>
        <v>12</v>
      </c>
      <c r="Z87">
        <f t="shared" si="53"/>
        <v>-1.5707963267948966</v>
      </c>
      <c r="AA87" t="e">
        <f t="shared" si="54"/>
        <v>#NUM!</v>
      </c>
      <c r="AB87" t="e">
        <f t="shared" si="55"/>
        <v>#NUM!</v>
      </c>
      <c r="AC87" t="e">
        <f t="shared" si="56"/>
        <v>#NUM!</v>
      </c>
      <c r="AE87">
        <v>3.2153875902064446E-6</v>
      </c>
      <c r="AF87">
        <v>-59.999999999999922</v>
      </c>
      <c r="AH87" s="1">
        <v>81</v>
      </c>
      <c r="AI87" s="1">
        <f t="shared" si="48"/>
        <v>0</v>
      </c>
      <c r="AJ87" s="1">
        <f t="shared" si="48"/>
        <v>0</v>
      </c>
      <c r="AK87" s="2" t="e">
        <f t="shared" si="49"/>
        <v>#NUM!</v>
      </c>
      <c r="AL87" s="2" t="e">
        <f t="shared" si="49"/>
        <v>#NUM!</v>
      </c>
      <c r="AY87">
        <v>12</v>
      </c>
      <c r="BK87">
        <v>0</v>
      </c>
    </row>
    <row r="88" spans="1:65" x14ac:dyDescent="0.25">
      <c r="A88">
        <v>82</v>
      </c>
      <c r="B88" t="e">
        <f t="shared" si="57"/>
        <v>#NUM!</v>
      </c>
      <c r="C88" t="e">
        <f t="shared" si="58"/>
        <v>#NUM!</v>
      </c>
      <c r="D88" t="e">
        <f t="shared" si="59"/>
        <v>#NUM!</v>
      </c>
      <c r="E88" t="e">
        <f t="shared" si="60"/>
        <v>#NUM!</v>
      </c>
      <c r="F88" t="e">
        <f t="shared" si="61"/>
        <v>#NUM!</v>
      </c>
      <c r="G88" t="e">
        <f t="shared" si="62"/>
        <v>#NUM!</v>
      </c>
      <c r="H88" t="e">
        <f t="shared" si="63"/>
        <v>#NUM!</v>
      </c>
      <c r="J88" t="e">
        <f t="shared" si="64"/>
        <v>#NUM!</v>
      </c>
      <c r="K88" t="e">
        <f t="shared" si="65"/>
        <v>#NUM!</v>
      </c>
      <c r="L88" t="e">
        <f t="shared" si="66"/>
        <v>#NUM!</v>
      </c>
      <c r="M88" t="e">
        <f t="shared" si="67"/>
        <v>#NUM!</v>
      </c>
      <c r="N88" t="e">
        <f t="shared" si="68"/>
        <v>#NUM!</v>
      </c>
      <c r="O88" t="e">
        <f t="shared" si="69"/>
        <v>#NUM!</v>
      </c>
      <c r="P88" t="e">
        <f t="shared" si="70"/>
        <v>#NUM!</v>
      </c>
      <c r="Q88" t="e">
        <f t="shared" si="71"/>
        <v>#NUM!</v>
      </c>
      <c r="R88" t="e">
        <f t="shared" si="72"/>
        <v>#NUM!</v>
      </c>
      <c r="S88" t="e">
        <f t="shared" si="73"/>
        <v>#NUM!</v>
      </c>
      <c r="W88" t="e">
        <f t="shared" si="50"/>
        <v>#NUM!</v>
      </c>
      <c r="X88">
        <f t="shared" si="51"/>
        <v>61.570799515387513</v>
      </c>
      <c r="Y88">
        <f t="shared" si="52"/>
        <v>12</v>
      </c>
      <c r="Z88">
        <f t="shared" si="53"/>
        <v>-1.5707963267948966</v>
      </c>
      <c r="AA88" t="e">
        <f t="shared" si="54"/>
        <v>#NUM!</v>
      </c>
      <c r="AB88" t="e">
        <f t="shared" si="55"/>
        <v>#NUM!</v>
      </c>
      <c r="AC88" t="e">
        <f t="shared" si="56"/>
        <v>#NUM!</v>
      </c>
      <c r="AE88">
        <v>3.2153875902064446E-6</v>
      </c>
      <c r="AF88">
        <v>-59.999999999999922</v>
      </c>
      <c r="AH88" s="1">
        <v>82</v>
      </c>
      <c r="AI88" s="1">
        <f t="shared" si="48"/>
        <v>0</v>
      </c>
      <c r="AJ88" s="1">
        <f t="shared" si="48"/>
        <v>0</v>
      </c>
      <c r="AK88" s="2" t="e">
        <f t="shared" si="49"/>
        <v>#NUM!</v>
      </c>
      <c r="AL88" s="2" t="e">
        <f t="shared" si="49"/>
        <v>#NUM!</v>
      </c>
      <c r="AY88">
        <v>-12</v>
      </c>
      <c r="BL88">
        <v>0</v>
      </c>
    </row>
    <row r="89" spans="1:65" x14ac:dyDescent="0.25">
      <c r="A89">
        <v>83</v>
      </c>
      <c r="B89" t="e">
        <f t="shared" si="57"/>
        <v>#NUM!</v>
      </c>
      <c r="C89" t="e">
        <f t="shared" si="58"/>
        <v>#NUM!</v>
      </c>
      <c r="D89" t="e">
        <f t="shared" si="59"/>
        <v>#NUM!</v>
      </c>
      <c r="E89" t="e">
        <f t="shared" si="60"/>
        <v>#NUM!</v>
      </c>
      <c r="F89" t="e">
        <f t="shared" si="61"/>
        <v>#NUM!</v>
      </c>
      <c r="G89" t="e">
        <f t="shared" si="62"/>
        <v>#NUM!</v>
      </c>
      <c r="H89" t="e">
        <f t="shared" si="63"/>
        <v>#NUM!</v>
      </c>
      <c r="J89" t="e">
        <f t="shared" si="64"/>
        <v>#NUM!</v>
      </c>
      <c r="K89" t="e">
        <f t="shared" si="65"/>
        <v>#NUM!</v>
      </c>
      <c r="L89" t="e">
        <f t="shared" si="66"/>
        <v>#NUM!</v>
      </c>
      <c r="M89" t="e">
        <f t="shared" si="67"/>
        <v>#NUM!</v>
      </c>
      <c r="N89" t="e">
        <f t="shared" si="68"/>
        <v>#NUM!</v>
      </c>
      <c r="O89" t="e">
        <f t="shared" si="69"/>
        <v>#NUM!</v>
      </c>
      <c r="P89" t="e">
        <f t="shared" si="70"/>
        <v>#NUM!</v>
      </c>
      <c r="Q89" t="e">
        <f t="shared" si="71"/>
        <v>#NUM!</v>
      </c>
      <c r="R89" t="e">
        <f t="shared" si="72"/>
        <v>#NUM!</v>
      </c>
      <c r="S89" t="e">
        <f t="shared" si="73"/>
        <v>#NUM!</v>
      </c>
      <c r="W89" t="e">
        <f t="shared" si="50"/>
        <v>#NUM!</v>
      </c>
      <c r="X89">
        <f t="shared" si="51"/>
        <v>61.570799515387513</v>
      </c>
      <c r="Y89">
        <f t="shared" si="52"/>
        <v>12</v>
      </c>
      <c r="Z89">
        <f t="shared" si="53"/>
        <v>-1.5707963267948966</v>
      </c>
      <c r="AA89" t="e">
        <f t="shared" si="54"/>
        <v>#NUM!</v>
      </c>
      <c r="AB89" t="e">
        <f t="shared" si="55"/>
        <v>#NUM!</v>
      </c>
      <c r="AC89" t="e">
        <f t="shared" si="56"/>
        <v>#NUM!</v>
      </c>
      <c r="AE89">
        <v>3.2153875902064446E-6</v>
      </c>
      <c r="AF89">
        <v>-59.999999999999922</v>
      </c>
      <c r="AH89" s="1">
        <v>83</v>
      </c>
      <c r="AI89" s="1">
        <f t="shared" si="48"/>
        <v>0</v>
      </c>
      <c r="AJ89" s="1">
        <f t="shared" si="48"/>
        <v>0</v>
      </c>
      <c r="AK89" s="2" t="e">
        <f t="shared" si="49"/>
        <v>#NUM!</v>
      </c>
      <c r="AL89" s="2" t="e">
        <f t="shared" si="49"/>
        <v>#NUM!</v>
      </c>
      <c r="AY89">
        <v>-19.642597335724307</v>
      </c>
      <c r="BL89">
        <v>18.482172652693723</v>
      </c>
    </row>
    <row r="90" spans="1:65" x14ac:dyDescent="0.25">
      <c r="A90">
        <v>84</v>
      </c>
      <c r="B90" t="e">
        <f t="shared" si="57"/>
        <v>#NUM!</v>
      </c>
      <c r="C90" t="e">
        <f t="shared" si="58"/>
        <v>#NUM!</v>
      </c>
      <c r="D90" t="e">
        <f t="shared" si="59"/>
        <v>#NUM!</v>
      </c>
      <c r="E90" t="e">
        <f t="shared" si="60"/>
        <v>#NUM!</v>
      </c>
      <c r="F90" t="e">
        <f t="shared" si="61"/>
        <v>#NUM!</v>
      </c>
      <c r="G90" t="e">
        <f t="shared" si="62"/>
        <v>#NUM!</v>
      </c>
      <c r="H90" t="e">
        <f t="shared" si="63"/>
        <v>#NUM!</v>
      </c>
      <c r="J90" t="e">
        <f t="shared" si="64"/>
        <v>#NUM!</v>
      </c>
      <c r="K90" t="e">
        <f t="shared" si="65"/>
        <v>#NUM!</v>
      </c>
      <c r="L90" t="e">
        <f t="shared" si="66"/>
        <v>#NUM!</v>
      </c>
      <c r="M90" t="e">
        <f t="shared" si="67"/>
        <v>#NUM!</v>
      </c>
      <c r="N90" t="e">
        <f t="shared" si="68"/>
        <v>#NUM!</v>
      </c>
      <c r="O90" t="e">
        <f t="shared" si="69"/>
        <v>#NUM!</v>
      </c>
      <c r="P90" t="e">
        <f t="shared" si="70"/>
        <v>#NUM!</v>
      </c>
      <c r="Q90" t="e">
        <f t="shared" si="71"/>
        <v>#NUM!</v>
      </c>
      <c r="R90" t="e">
        <f t="shared" si="72"/>
        <v>#NUM!</v>
      </c>
      <c r="S90" t="e">
        <f t="shared" si="73"/>
        <v>#NUM!</v>
      </c>
      <c r="W90" t="e">
        <f t="shared" si="50"/>
        <v>#NUM!</v>
      </c>
      <c r="X90">
        <f t="shared" si="51"/>
        <v>61.570799515387513</v>
      </c>
      <c r="Y90">
        <f t="shared" si="52"/>
        <v>12</v>
      </c>
      <c r="Z90">
        <f t="shared" si="53"/>
        <v>-1.5707963267948966</v>
      </c>
      <c r="AA90" t="e">
        <f t="shared" si="54"/>
        <v>#NUM!</v>
      </c>
      <c r="AB90" t="e">
        <f t="shared" si="55"/>
        <v>#NUM!</v>
      </c>
      <c r="AC90" t="e">
        <f t="shared" si="56"/>
        <v>#NUM!</v>
      </c>
      <c r="AE90">
        <v>3.2153875902064446E-6</v>
      </c>
      <c r="AF90">
        <v>-59.999999999999922</v>
      </c>
      <c r="AH90" s="1">
        <v>84</v>
      </c>
      <c r="AI90" s="1">
        <f t="shared" si="48"/>
        <v>0</v>
      </c>
      <c r="AJ90" s="1">
        <f t="shared" si="48"/>
        <v>0</v>
      </c>
      <c r="AK90" s="2" t="e">
        <f t="shared" si="49"/>
        <v>#NUM!</v>
      </c>
      <c r="AL90" s="2" t="e">
        <f t="shared" si="49"/>
        <v>#NUM!</v>
      </c>
      <c r="AY90">
        <v>11.666666666666668</v>
      </c>
      <c r="BL90">
        <v>60</v>
      </c>
    </row>
    <row r="91" spans="1:65" x14ac:dyDescent="0.25">
      <c r="A91">
        <v>85</v>
      </c>
      <c r="B91" t="e">
        <f t="shared" si="57"/>
        <v>#NUM!</v>
      </c>
      <c r="C91" t="e">
        <f t="shared" si="58"/>
        <v>#NUM!</v>
      </c>
      <c r="D91" t="e">
        <f t="shared" si="59"/>
        <v>#NUM!</v>
      </c>
      <c r="E91" t="e">
        <f t="shared" si="60"/>
        <v>#NUM!</v>
      </c>
      <c r="F91" t="e">
        <f t="shared" si="61"/>
        <v>#NUM!</v>
      </c>
      <c r="G91" t="e">
        <f t="shared" si="62"/>
        <v>#NUM!</v>
      </c>
      <c r="H91" t="e">
        <f t="shared" si="63"/>
        <v>#NUM!</v>
      </c>
      <c r="J91" t="e">
        <f t="shared" si="64"/>
        <v>#NUM!</v>
      </c>
      <c r="K91" t="e">
        <f t="shared" si="65"/>
        <v>#NUM!</v>
      </c>
      <c r="L91" t="e">
        <f t="shared" si="66"/>
        <v>#NUM!</v>
      </c>
      <c r="M91" t="e">
        <f t="shared" si="67"/>
        <v>#NUM!</v>
      </c>
      <c r="N91" t="e">
        <f t="shared" si="68"/>
        <v>#NUM!</v>
      </c>
      <c r="O91" t="e">
        <f t="shared" si="69"/>
        <v>#NUM!</v>
      </c>
      <c r="P91" t="e">
        <f t="shared" si="70"/>
        <v>#NUM!</v>
      </c>
      <c r="Q91" t="e">
        <f t="shared" si="71"/>
        <v>#NUM!</v>
      </c>
      <c r="R91" t="e">
        <f t="shared" si="72"/>
        <v>#NUM!</v>
      </c>
      <c r="S91" t="e">
        <f t="shared" si="73"/>
        <v>#NUM!</v>
      </c>
      <c r="W91" t="e">
        <f t="shared" si="50"/>
        <v>#NUM!</v>
      </c>
      <c r="X91">
        <f t="shared" si="51"/>
        <v>61.570799515387513</v>
      </c>
      <c r="Y91">
        <f t="shared" si="52"/>
        <v>12</v>
      </c>
      <c r="Z91">
        <f t="shared" si="53"/>
        <v>-1.5707963267948966</v>
      </c>
      <c r="AA91" t="e">
        <f t="shared" si="54"/>
        <v>#NUM!</v>
      </c>
      <c r="AB91" t="e">
        <f t="shared" si="55"/>
        <v>#NUM!</v>
      </c>
      <c r="AC91" t="e">
        <f t="shared" si="56"/>
        <v>#NUM!</v>
      </c>
      <c r="AE91">
        <v>3.2153875902064446E-6</v>
      </c>
      <c r="AF91">
        <v>-59.999999999999922</v>
      </c>
      <c r="AH91" s="1">
        <v>85</v>
      </c>
      <c r="AI91" s="1">
        <f t="shared" si="48"/>
        <v>0</v>
      </c>
      <c r="AJ91" s="1">
        <f t="shared" si="48"/>
        <v>0</v>
      </c>
      <c r="AK91" s="2" t="e">
        <f t="shared" si="49"/>
        <v>#NUM!</v>
      </c>
      <c r="AL91" s="2" t="e">
        <f t="shared" si="49"/>
        <v>#NUM!</v>
      </c>
      <c r="AY91">
        <v>-0.37535794962416702</v>
      </c>
      <c r="BL91">
        <v>44.0316048664262</v>
      </c>
    </row>
    <row r="92" spans="1:65" x14ac:dyDescent="0.25">
      <c r="A92">
        <v>86</v>
      </c>
      <c r="B92" t="e">
        <f t="shared" si="57"/>
        <v>#NUM!</v>
      </c>
      <c r="C92" t="e">
        <f t="shared" si="58"/>
        <v>#NUM!</v>
      </c>
      <c r="D92" t="e">
        <f t="shared" si="59"/>
        <v>#NUM!</v>
      </c>
      <c r="E92" t="e">
        <f t="shared" si="60"/>
        <v>#NUM!</v>
      </c>
      <c r="F92" t="e">
        <f t="shared" si="61"/>
        <v>#NUM!</v>
      </c>
      <c r="G92" t="e">
        <f t="shared" si="62"/>
        <v>#NUM!</v>
      </c>
      <c r="H92" t="e">
        <f t="shared" si="63"/>
        <v>#NUM!</v>
      </c>
      <c r="J92" t="e">
        <f t="shared" si="64"/>
        <v>#NUM!</v>
      </c>
      <c r="K92" t="e">
        <f t="shared" si="65"/>
        <v>#NUM!</v>
      </c>
      <c r="L92" t="e">
        <f t="shared" si="66"/>
        <v>#NUM!</v>
      </c>
      <c r="M92" t="e">
        <f t="shared" si="67"/>
        <v>#NUM!</v>
      </c>
      <c r="N92" t="e">
        <f t="shared" si="68"/>
        <v>#NUM!</v>
      </c>
      <c r="O92" t="e">
        <f t="shared" si="69"/>
        <v>#NUM!</v>
      </c>
      <c r="P92" t="e">
        <f t="shared" si="70"/>
        <v>#NUM!</v>
      </c>
      <c r="Q92" t="e">
        <f t="shared" si="71"/>
        <v>#NUM!</v>
      </c>
      <c r="R92" t="e">
        <f t="shared" si="72"/>
        <v>#NUM!</v>
      </c>
      <c r="S92" t="e">
        <f t="shared" si="73"/>
        <v>#NUM!</v>
      </c>
      <c r="W92" t="e">
        <f t="shared" si="50"/>
        <v>#NUM!</v>
      </c>
      <c r="X92">
        <f t="shared" si="51"/>
        <v>61.570799515387513</v>
      </c>
      <c r="Y92">
        <f t="shared" si="52"/>
        <v>12</v>
      </c>
      <c r="Z92">
        <f t="shared" si="53"/>
        <v>-1.5707963267948966</v>
      </c>
      <c r="AA92" t="e">
        <f t="shared" si="54"/>
        <v>#NUM!</v>
      </c>
      <c r="AB92" t="e">
        <f t="shared" si="55"/>
        <v>#NUM!</v>
      </c>
      <c r="AC92" t="e">
        <f t="shared" si="56"/>
        <v>#NUM!</v>
      </c>
      <c r="AE92">
        <v>3.2153875902064446E-6</v>
      </c>
      <c r="AF92">
        <v>-59.999999999999922</v>
      </c>
      <c r="AH92" s="1">
        <v>86</v>
      </c>
      <c r="AI92" s="1">
        <f t="shared" si="48"/>
        <v>0</v>
      </c>
      <c r="AJ92" s="1">
        <f t="shared" si="48"/>
        <v>0</v>
      </c>
      <c r="AK92" s="2" t="e">
        <f t="shared" si="49"/>
        <v>#NUM!</v>
      </c>
      <c r="AL92" s="2" t="e">
        <f t="shared" si="49"/>
        <v>#NUM!</v>
      </c>
      <c r="AY92">
        <v>19.149459663035739</v>
      </c>
      <c r="BL92">
        <v>18.678469598086053</v>
      </c>
    </row>
    <row r="93" spans="1:65" x14ac:dyDescent="0.25">
      <c r="A93">
        <v>87</v>
      </c>
      <c r="B93" t="e">
        <f t="shared" si="57"/>
        <v>#NUM!</v>
      </c>
      <c r="C93" t="e">
        <f t="shared" si="58"/>
        <v>#NUM!</v>
      </c>
      <c r="D93" t="e">
        <f t="shared" si="59"/>
        <v>#NUM!</v>
      </c>
      <c r="E93" t="e">
        <f t="shared" si="60"/>
        <v>#NUM!</v>
      </c>
      <c r="F93" t="e">
        <f t="shared" si="61"/>
        <v>#NUM!</v>
      </c>
      <c r="G93" t="e">
        <f t="shared" si="62"/>
        <v>#NUM!</v>
      </c>
      <c r="H93" t="e">
        <f t="shared" si="63"/>
        <v>#NUM!</v>
      </c>
      <c r="J93" t="e">
        <f t="shared" si="64"/>
        <v>#NUM!</v>
      </c>
      <c r="K93" t="e">
        <f t="shared" si="65"/>
        <v>#NUM!</v>
      </c>
      <c r="L93" t="e">
        <f t="shared" si="66"/>
        <v>#NUM!</v>
      </c>
      <c r="M93" t="e">
        <f t="shared" si="67"/>
        <v>#NUM!</v>
      </c>
      <c r="N93" t="e">
        <f t="shared" si="68"/>
        <v>#NUM!</v>
      </c>
      <c r="O93" t="e">
        <f t="shared" si="69"/>
        <v>#NUM!</v>
      </c>
      <c r="P93" t="e">
        <f t="shared" si="70"/>
        <v>#NUM!</v>
      </c>
      <c r="Q93" t="e">
        <f t="shared" si="71"/>
        <v>#NUM!</v>
      </c>
      <c r="R93" t="e">
        <f t="shared" si="72"/>
        <v>#NUM!</v>
      </c>
      <c r="S93" t="e">
        <f t="shared" si="73"/>
        <v>#NUM!</v>
      </c>
      <c r="W93" t="e">
        <f t="shared" si="50"/>
        <v>#NUM!</v>
      </c>
      <c r="X93">
        <f t="shared" si="51"/>
        <v>61.570799515387513</v>
      </c>
      <c r="Y93">
        <f t="shared" si="52"/>
        <v>12</v>
      </c>
      <c r="Z93">
        <f t="shared" si="53"/>
        <v>-1.5707963267948966</v>
      </c>
      <c r="AA93" t="e">
        <f t="shared" si="54"/>
        <v>#NUM!</v>
      </c>
      <c r="AB93" t="e">
        <f t="shared" si="55"/>
        <v>#NUM!</v>
      </c>
      <c r="AC93" t="e">
        <f t="shared" si="56"/>
        <v>#NUM!</v>
      </c>
      <c r="AE93">
        <v>3.2153875902064446E-6</v>
      </c>
      <c r="AF93">
        <v>-59.999999999999922</v>
      </c>
      <c r="AH93" s="1">
        <v>87</v>
      </c>
      <c r="AI93" s="1">
        <f t="shared" si="48"/>
        <v>0</v>
      </c>
      <c r="AJ93" s="1">
        <f t="shared" si="48"/>
        <v>0</v>
      </c>
      <c r="AK93" s="2" t="e">
        <f t="shared" si="49"/>
        <v>#NUM!</v>
      </c>
      <c r="AL93" s="2" t="e">
        <f t="shared" si="49"/>
        <v>#NUM!</v>
      </c>
      <c r="AY93">
        <v>12</v>
      </c>
      <c r="BL93">
        <v>0</v>
      </c>
    </row>
    <row r="94" spans="1:65" x14ac:dyDescent="0.25">
      <c r="A94">
        <v>88</v>
      </c>
      <c r="B94" t="e">
        <f t="shared" si="57"/>
        <v>#NUM!</v>
      </c>
      <c r="C94" t="e">
        <f t="shared" si="58"/>
        <v>#NUM!</v>
      </c>
      <c r="D94" t="e">
        <f t="shared" si="59"/>
        <v>#NUM!</v>
      </c>
      <c r="E94" t="e">
        <f t="shared" si="60"/>
        <v>#NUM!</v>
      </c>
      <c r="F94" t="e">
        <f t="shared" si="61"/>
        <v>#NUM!</v>
      </c>
      <c r="G94" t="e">
        <f t="shared" si="62"/>
        <v>#NUM!</v>
      </c>
      <c r="H94" t="e">
        <f t="shared" si="63"/>
        <v>#NUM!</v>
      </c>
      <c r="J94" t="e">
        <f t="shared" si="64"/>
        <v>#NUM!</v>
      </c>
      <c r="K94" t="e">
        <f t="shared" si="65"/>
        <v>#NUM!</v>
      </c>
      <c r="L94" t="e">
        <f t="shared" si="66"/>
        <v>#NUM!</v>
      </c>
      <c r="M94" t="e">
        <f t="shared" si="67"/>
        <v>#NUM!</v>
      </c>
      <c r="N94" t="e">
        <f t="shared" si="68"/>
        <v>#NUM!</v>
      </c>
      <c r="O94" t="e">
        <f t="shared" si="69"/>
        <v>#NUM!</v>
      </c>
      <c r="P94" t="e">
        <f t="shared" si="70"/>
        <v>#NUM!</v>
      </c>
      <c r="Q94" t="e">
        <f t="shared" si="71"/>
        <v>#NUM!</v>
      </c>
      <c r="R94" t="e">
        <f t="shared" si="72"/>
        <v>#NUM!</v>
      </c>
      <c r="S94" t="e">
        <f t="shared" si="73"/>
        <v>#NUM!</v>
      </c>
      <c r="W94" t="e">
        <f t="shared" si="50"/>
        <v>#NUM!</v>
      </c>
      <c r="X94">
        <f t="shared" si="51"/>
        <v>61.570799515387513</v>
      </c>
      <c r="Y94">
        <f t="shared" si="52"/>
        <v>12</v>
      </c>
      <c r="Z94">
        <f t="shared" si="53"/>
        <v>-1.5707963267948966</v>
      </c>
      <c r="AA94" t="e">
        <f t="shared" si="54"/>
        <v>#NUM!</v>
      </c>
      <c r="AB94" t="e">
        <f t="shared" si="55"/>
        <v>#NUM!</v>
      </c>
      <c r="AC94" t="e">
        <f t="shared" si="56"/>
        <v>#NUM!</v>
      </c>
      <c r="AE94">
        <v>3.2153875902064446E-6</v>
      </c>
      <c r="AF94">
        <v>-59.999999999999922</v>
      </c>
      <c r="AH94" s="1">
        <v>88</v>
      </c>
      <c r="AI94" s="1">
        <f t="shared" si="48"/>
        <v>0</v>
      </c>
      <c r="AJ94" s="1">
        <f t="shared" si="48"/>
        <v>0</v>
      </c>
      <c r="AK94" s="2" t="e">
        <f t="shared" si="49"/>
        <v>#NUM!</v>
      </c>
      <c r="AL94" s="2" t="e">
        <f t="shared" si="49"/>
        <v>#NUM!</v>
      </c>
      <c r="AY94">
        <v>-12</v>
      </c>
      <c r="BM94">
        <v>0</v>
      </c>
    </row>
    <row r="95" spans="1:65" x14ac:dyDescent="0.25">
      <c r="A95">
        <v>89</v>
      </c>
      <c r="B95" t="e">
        <f t="shared" si="57"/>
        <v>#NUM!</v>
      </c>
      <c r="C95" t="e">
        <f t="shared" si="58"/>
        <v>#NUM!</v>
      </c>
      <c r="D95" t="e">
        <f t="shared" si="59"/>
        <v>#NUM!</v>
      </c>
      <c r="E95" t="e">
        <f t="shared" si="60"/>
        <v>#NUM!</v>
      </c>
      <c r="F95" t="e">
        <f t="shared" si="61"/>
        <v>#NUM!</v>
      </c>
      <c r="G95" t="e">
        <f t="shared" si="62"/>
        <v>#NUM!</v>
      </c>
      <c r="H95" t="e">
        <f t="shared" si="63"/>
        <v>#NUM!</v>
      </c>
      <c r="J95" t="e">
        <f t="shared" si="64"/>
        <v>#NUM!</v>
      </c>
      <c r="K95" t="e">
        <f t="shared" si="65"/>
        <v>#NUM!</v>
      </c>
      <c r="L95" t="e">
        <f t="shared" si="66"/>
        <v>#NUM!</v>
      </c>
      <c r="M95" t="e">
        <f t="shared" si="67"/>
        <v>#NUM!</v>
      </c>
      <c r="N95" t="e">
        <f t="shared" si="68"/>
        <v>#NUM!</v>
      </c>
      <c r="O95" t="e">
        <f t="shared" si="69"/>
        <v>#NUM!</v>
      </c>
      <c r="P95" t="e">
        <f t="shared" si="70"/>
        <v>#NUM!</v>
      </c>
      <c r="Q95" t="e">
        <f t="shared" si="71"/>
        <v>#NUM!</v>
      </c>
      <c r="R95" t="e">
        <f t="shared" si="72"/>
        <v>#NUM!</v>
      </c>
      <c r="S95" t="e">
        <f t="shared" si="73"/>
        <v>#NUM!</v>
      </c>
      <c r="W95" t="e">
        <f t="shared" si="50"/>
        <v>#NUM!</v>
      </c>
      <c r="X95">
        <f t="shared" si="51"/>
        <v>61.570799515387513</v>
      </c>
      <c r="Y95">
        <f t="shared" si="52"/>
        <v>12</v>
      </c>
      <c r="Z95">
        <f t="shared" si="53"/>
        <v>-1.5707963267948966</v>
      </c>
      <c r="AA95" t="e">
        <f t="shared" si="54"/>
        <v>#NUM!</v>
      </c>
      <c r="AB95" t="e">
        <f t="shared" si="55"/>
        <v>#NUM!</v>
      </c>
      <c r="AC95" t="e">
        <f t="shared" si="56"/>
        <v>#NUM!</v>
      </c>
      <c r="AE95">
        <v>3.2153875902064446E-6</v>
      </c>
      <c r="AF95">
        <v>-59.999999999999922</v>
      </c>
      <c r="AH95" s="1">
        <v>89</v>
      </c>
      <c r="AI95" s="1">
        <f t="shared" si="48"/>
        <v>0</v>
      </c>
      <c r="AJ95" s="1">
        <f t="shared" si="48"/>
        <v>0</v>
      </c>
      <c r="AK95" s="2" t="e">
        <f t="shared" si="49"/>
        <v>#NUM!</v>
      </c>
      <c r="AL95" s="2" t="e">
        <f t="shared" si="49"/>
        <v>#NUM!</v>
      </c>
      <c r="AY95">
        <v>-30.376282653093735</v>
      </c>
      <c r="BM95">
        <v>7.8938099707052896</v>
      </c>
    </row>
    <row r="96" spans="1:65" x14ac:dyDescent="0.25">
      <c r="A96">
        <v>90</v>
      </c>
      <c r="B96" t="e">
        <f t="shared" si="57"/>
        <v>#NUM!</v>
      </c>
      <c r="C96" t="e">
        <f t="shared" si="58"/>
        <v>#NUM!</v>
      </c>
      <c r="D96" t="e">
        <f t="shared" si="59"/>
        <v>#NUM!</v>
      </c>
      <c r="E96" t="e">
        <f t="shared" si="60"/>
        <v>#NUM!</v>
      </c>
      <c r="F96" t="e">
        <f t="shared" si="61"/>
        <v>#NUM!</v>
      </c>
      <c r="G96" t="e">
        <f t="shared" si="62"/>
        <v>#NUM!</v>
      </c>
      <c r="H96" t="e">
        <f t="shared" si="63"/>
        <v>#NUM!</v>
      </c>
      <c r="J96" t="e">
        <f t="shared" si="64"/>
        <v>#NUM!</v>
      </c>
      <c r="K96" t="e">
        <f t="shared" si="65"/>
        <v>#NUM!</v>
      </c>
      <c r="L96" t="e">
        <f t="shared" si="66"/>
        <v>#NUM!</v>
      </c>
      <c r="M96" t="e">
        <f t="shared" si="67"/>
        <v>#NUM!</v>
      </c>
      <c r="N96" t="e">
        <f t="shared" si="68"/>
        <v>#NUM!</v>
      </c>
      <c r="O96" t="e">
        <f t="shared" si="69"/>
        <v>#NUM!</v>
      </c>
      <c r="P96" t="e">
        <f t="shared" si="70"/>
        <v>#NUM!</v>
      </c>
      <c r="Q96" t="e">
        <f t="shared" si="71"/>
        <v>#NUM!</v>
      </c>
      <c r="R96" t="e">
        <f t="shared" si="72"/>
        <v>#NUM!</v>
      </c>
      <c r="S96" t="e">
        <f t="shared" si="73"/>
        <v>#NUM!</v>
      </c>
      <c r="W96" t="e">
        <f t="shared" si="50"/>
        <v>#NUM!</v>
      </c>
      <c r="X96">
        <f t="shared" si="51"/>
        <v>61.570799515387513</v>
      </c>
      <c r="Y96">
        <f t="shared" si="52"/>
        <v>12</v>
      </c>
      <c r="Z96">
        <f t="shared" si="53"/>
        <v>-1.5707963267948966</v>
      </c>
      <c r="AA96" t="e">
        <f t="shared" si="54"/>
        <v>#NUM!</v>
      </c>
      <c r="AB96" t="e">
        <f t="shared" si="55"/>
        <v>#NUM!</v>
      </c>
      <c r="AC96" t="e">
        <f t="shared" si="56"/>
        <v>#NUM!</v>
      </c>
      <c r="AE96">
        <v>3.2153875902064446E-6</v>
      </c>
      <c r="AF96">
        <v>-59.999999999999922</v>
      </c>
      <c r="AH96" s="1">
        <v>90</v>
      </c>
      <c r="AI96" s="1">
        <f t="shared" si="48"/>
        <v>0</v>
      </c>
      <c r="AJ96" s="1">
        <f t="shared" si="48"/>
        <v>0</v>
      </c>
      <c r="AK96" s="2" t="e">
        <f t="shared" si="49"/>
        <v>#NUM!</v>
      </c>
      <c r="AL96" s="2" t="e">
        <f t="shared" si="49"/>
        <v>#NUM!</v>
      </c>
      <c r="AY96">
        <v>14.000000000000002</v>
      </c>
      <c r="BM96">
        <v>35</v>
      </c>
    </row>
    <row r="97" spans="1:68" x14ac:dyDescent="0.25">
      <c r="A97">
        <v>91</v>
      </c>
      <c r="B97" t="e">
        <f t="shared" si="57"/>
        <v>#NUM!</v>
      </c>
      <c r="C97" t="e">
        <f t="shared" si="58"/>
        <v>#NUM!</v>
      </c>
      <c r="D97" t="e">
        <f t="shared" si="59"/>
        <v>#NUM!</v>
      </c>
      <c r="E97" t="e">
        <f t="shared" si="60"/>
        <v>#NUM!</v>
      </c>
      <c r="F97" t="e">
        <f t="shared" si="61"/>
        <v>#NUM!</v>
      </c>
      <c r="G97" t="e">
        <f t="shared" si="62"/>
        <v>#NUM!</v>
      </c>
      <c r="H97" t="e">
        <f t="shared" si="63"/>
        <v>#NUM!</v>
      </c>
      <c r="J97" t="e">
        <f t="shared" si="64"/>
        <v>#NUM!</v>
      </c>
      <c r="K97" t="e">
        <f t="shared" si="65"/>
        <v>#NUM!</v>
      </c>
      <c r="L97" t="e">
        <f t="shared" si="66"/>
        <v>#NUM!</v>
      </c>
      <c r="M97" t="e">
        <f t="shared" si="67"/>
        <v>#NUM!</v>
      </c>
      <c r="N97" t="e">
        <f t="shared" si="68"/>
        <v>#NUM!</v>
      </c>
      <c r="O97" t="e">
        <f t="shared" si="69"/>
        <v>#NUM!</v>
      </c>
      <c r="P97" t="e">
        <f t="shared" si="70"/>
        <v>#NUM!</v>
      </c>
      <c r="Q97" t="e">
        <f t="shared" si="71"/>
        <v>#NUM!</v>
      </c>
      <c r="R97" t="e">
        <f t="shared" si="72"/>
        <v>#NUM!</v>
      </c>
      <c r="S97" t="e">
        <f t="shared" si="73"/>
        <v>#NUM!</v>
      </c>
      <c r="W97" t="e">
        <f t="shared" si="50"/>
        <v>#NUM!</v>
      </c>
      <c r="X97">
        <f t="shared" si="51"/>
        <v>61.570799515387513</v>
      </c>
      <c r="Y97">
        <f t="shared" si="52"/>
        <v>12</v>
      </c>
      <c r="Z97">
        <f t="shared" si="53"/>
        <v>-1.5707963267948966</v>
      </c>
      <c r="AA97" t="e">
        <f t="shared" si="54"/>
        <v>#NUM!</v>
      </c>
      <c r="AB97" t="e">
        <f t="shared" si="55"/>
        <v>#NUM!</v>
      </c>
      <c r="AC97" t="e">
        <f t="shared" si="56"/>
        <v>#NUM!</v>
      </c>
      <c r="AE97">
        <v>3.2153875902064446E-6</v>
      </c>
      <c r="AF97">
        <v>-59.999999999999922</v>
      </c>
      <c r="AH97" s="1">
        <v>91</v>
      </c>
      <c r="AI97" s="1">
        <f t="shared" si="48"/>
        <v>0</v>
      </c>
      <c r="AJ97" s="1">
        <f t="shared" si="48"/>
        <v>0</v>
      </c>
      <c r="AK97" s="2" t="e">
        <f t="shared" si="49"/>
        <v>#NUM!</v>
      </c>
      <c r="AL97" s="2" t="e">
        <f t="shared" si="49"/>
        <v>#NUM!</v>
      </c>
      <c r="AY97">
        <v>-3.0678010204149508</v>
      </c>
      <c r="BM97">
        <v>24.57454229643842</v>
      </c>
    </row>
    <row r="98" spans="1:68" x14ac:dyDescent="0.25">
      <c r="A98">
        <v>92</v>
      </c>
      <c r="B98" t="e">
        <f t="shared" si="57"/>
        <v>#NUM!</v>
      </c>
      <c r="C98" t="e">
        <f t="shared" si="58"/>
        <v>#NUM!</v>
      </c>
      <c r="D98" t="e">
        <f t="shared" si="59"/>
        <v>#NUM!</v>
      </c>
      <c r="E98" t="e">
        <f t="shared" si="60"/>
        <v>#NUM!</v>
      </c>
      <c r="F98" t="e">
        <f t="shared" si="61"/>
        <v>#NUM!</v>
      </c>
      <c r="G98" t="e">
        <f t="shared" si="62"/>
        <v>#NUM!</v>
      </c>
      <c r="H98" t="e">
        <f t="shared" si="63"/>
        <v>#NUM!</v>
      </c>
      <c r="J98" t="e">
        <f t="shared" si="64"/>
        <v>#NUM!</v>
      </c>
      <c r="K98" t="e">
        <f t="shared" si="65"/>
        <v>#NUM!</v>
      </c>
      <c r="L98" t="e">
        <f t="shared" si="66"/>
        <v>#NUM!</v>
      </c>
      <c r="M98" t="e">
        <f t="shared" si="67"/>
        <v>#NUM!</v>
      </c>
      <c r="N98" t="e">
        <f t="shared" si="68"/>
        <v>#NUM!</v>
      </c>
      <c r="O98" t="e">
        <f t="shared" si="69"/>
        <v>#NUM!</v>
      </c>
      <c r="P98" t="e">
        <f t="shared" si="70"/>
        <v>#NUM!</v>
      </c>
      <c r="Q98" t="e">
        <f t="shared" si="71"/>
        <v>#NUM!</v>
      </c>
      <c r="R98" t="e">
        <f t="shared" si="72"/>
        <v>#NUM!</v>
      </c>
      <c r="S98" t="e">
        <f t="shared" si="73"/>
        <v>#NUM!</v>
      </c>
      <c r="W98" t="e">
        <f t="shared" si="50"/>
        <v>#NUM!</v>
      </c>
      <c r="X98">
        <f t="shared" si="51"/>
        <v>61.570799515387513</v>
      </c>
      <c r="Y98">
        <f t="shared" si="52"/>
        <v>12</v>
      </c>
      <c r="Z98">
        <f t="shared" si="53"/>
        <v>-1.5707963267948966</v>
      </c>
      <c r="AA98" t="e">
        <f t="shared" si="54"/>
        <v>#NUM!</v>
      </c>
      <c r="AB98" t="e">
        <f t="shared" si="55"/>
        <v>#NUM!</v>
      </c>
      <c r="AC98" t="e">
        <f t="shared" si="56"/>
        <v>#NUM!</v>
      </c>
      <c r="AE98">
        <v>3.2153875902064446E-6</v>
      </c>
      <c r="AF98">
        <v>-59.999999999999922</v>
      </c>
      <c r="AH98" s="1">
        <v>92</v>
      </c>
      <c r="AI98" s="1">
        <f t="shared" si="48"/>
        <v>0</v>
      </c>
      <c r="AJ98" s="1">
        <f t="shared" si="48"/>
        <v>0</v>
      </c>
      <c r="AK98" s="2" t="e">
        <f t="shared" si="49"/>
        <v>#NUM!</v>
      </c>
      <c r="AL98" s="2" t="e">
        <f t="shared" si="49"/>
        <v>#NUM!</v>
      </c>
      <c r="AY98">
        <v>26.896999319700733</v>
      </c>
      <c r="BM98">
        <v>13.344639795394848</v>
      </c>
    </row>
    <row r="99" spans="1:68" x14ac:dyDescent="0.25">
      <c r="A99">
        <v>93</v>
      </c>
      <c r="B99" t="e">
        <f t="shared" si="57"/>
        <v>#NUM!</v>
      </c>
      <c r="C99" t="e">
        <f t="shared" si="58"/>
        <v>#NUM!</v>
      </c>
      <c r="D99" t="e">
        <f t="shared" si="59"/>
        <v>#NUM!</v>
      </c>
      <c r="E99" t="e">
        <f t="shared" si="60"/>
        <v>#NUM!</v>
      </c>
      <c r="F99" t="e">
        <f t="shared" si="61"/>
        <v>#NUM!</v>
      </c>
      <c r="G99" t="e">
        <f t="shared" si="62"/>
        <v>#NUM!</v>
      </c>
      <c r="H99" t="e">
        <f t="shared" si="63"/>
        <v>#NUM!</v>
      </c>
      <c r="J99" t="e">
        <f t="shared" si="64"/>
        <v>#NUM!</v>
      </c>
      <c r="K99" t="e">
        <f t="shared" si="65"/>
        <v>#NUM!</v>
      </c>
      <c r="L99" t="e">
        <f t="shared" si="66"/>
        <v>#NUM!</v>
      </c>
      <c r="M99" t="e">
        <f t="shared" si="67"/>
        <v>#NUM!</v>
      </c>
      <c r="N99" t="e">
        <f t="shared" si="68"/>
        <v>#NUM!</v>
      </c>
      <c r="O99" t="e">
        <f t="shared" si="69"/>
        <v>#NUM!</v>
      </c>
      <c r="P99" t="e">
        <f t="shared" si="70"/>
        <v>#NUM!</v>
      </c>
      <c r="Q99" t="e">
        <f t="shared" si="71"/>
        <v>#NUM!</v>
      </c>
      <c r="R99" t="e">
        <f t="shared" si="72"/>
        <v>#NUM!</v>
      </c>
      <c r="S99" t="e">
        <f t="shared" si="73"/>
        <v>#NUM!</v>
      </c>
      <c r="W99" t="e">
        <f t="shared" si="50"/>
        <v>#NUM!</v>
      </c>
      <c r="X99">
        <f t="shared" si="51"/>
        <v>61.570799515387513</v>
      </c>
      <c r="Y99">
        <f t="shared" si="52"/>
        <v>12</v>
      </c>
      <c r="Z99">
        <f t="shared" si="53"/>
        <v>-1.5707963267948966</v>
      </c>
      <c r="AA99" t="e">
        <f t="shared" si="54"/>
        <v>#NUM!</v>
      </c>
      <c r="AB99" t="e">
        <f t="shared" si="55"/>
        <v>#NUM!</v>
      </c>
      <c r="AC99" t="e">
        <f t="shared" si="56"/>
        <v>#NUM!</v>
      </c>
      <c r="AE99">
        <v>3.2153875902064446E-6</v>
      </c>
      <c r="AF99">
        <v>-59.999999999999922</v>
      </c>
      <c r="AH99" s="1">
        <v>93</v>
      </c>
      <c r="AI99" s="1">
        <f t="shared" si="48"/>
        <v>0</v>
      </c>
      <c r="AJ99" s="1">
        <f t="shared" si="48"/>
        <v>0</v>
      </c>
      <c r="AK99" s="2" t="e">
        <f t="shared" si="49"/>
        <v>#NUM!</v>
      </c>
      <c r="AL99" s="2" t="e">
        <f t="shared" si="49"/>
        <v>#NUM!</v>
      </c>
      <c r="AY99">
        <v>12</v>
      </c>
      <c r="BM99">
        <v>0</v>
      </c>
    </row>
    <row r="100" spans="1:68" x14ac:dyDescent="0.25">
      <c r="A100">
        <v>94</v>
      </c>
      <c r="B100" t="e">
        <f t="shared" si="57"/>
        <v>#NUM!</v>
      </c>
      <c r="C100" t="e">
        <f t="shared" si="58"/>
        <v>#NUM!</v>
      </c>
      <c r="D100" t="e">
        <f t="shared" si="59"/>
        <v>#NUM!</v>
      </c>
      <c r="E100" t="e">
        <f t="shared" si="60"/>
        <v>#NUM!</v>
      </c>
      <c r="F100" t="e">
        <f t="shared" si="61"/>
        <v>#NUM!</v>
      </c>
      <c r="G100" t="e">
        <f t="shared" si="62"/>
        <v>#NUM!</v>
      </c>
      <c r="H100" t="e">
        <f t="shared" si="63"/>
        <v>#NUM!</v>
      </c>
      <c r="J100" t="e">
        <f t="shared" si="64"/>
        <v>#NUM!</v>
      </c>
      <c r="K100" t="e">
        <f t="shared" si="65"/>
        <v>#NUM!</v>
      </c>
      <c r="L100" t="e">
        <f t="shared" si="66"/>
        <v>#NUM!</v>
      </c>
      <c r="M100" t="e">
        <f t="shared" si="67"/>
        <v>#NUM!</v>
      </c>
      <c r="N100" t="e">
        <f t="shared" si="68"/>
        <v>#NUM!</v>
      </c>
      <c r="O100" t="e">
        <f t="shared" si="69"/>
        <v>#NUM!</v>
      </c>
      <c r="P100" t="e">
        <f t="shared" si="70"/>
        <v>#NUM!</v>
      </c>
      <c r="Q100" t="e">
        <f t="shared" si="71"/>
        <v>#NUM!</v>
      </c>
      <c r="R100" t="e">
        <f t="shared" si="72"/>
        <v>#NUM!</v>
      </c>
      <c r="S100" t="e">
        <f t="shared" si="73"/>
        <v>#NUM!</v>
      </c>
      <c r="W100" t="e">
        <f t="shared" si="50"/>
        <v>#NUM!</v>
      </c>
      <c r="X100">
        <f t="shared" si="51"/>
        <v>61.570799515387513</v>
      </c>
      <c r="Y100">
        <f t="shared" si="52"/>
        <v>12</v>
      </c>
      <c r="Z100">
        <f t="shared" si="53"/>
        <v>-1.5707963267948966</v>
      </c>
      <c r="AA100" t="e">
        <f t="shared" si="54"/>
        <v>#NUM!</v>
      </c>
      <c r="AB100" t="e">
        <f t="shared" si="55"/>
        <v>#NUM!</v>
      </c>
      <c r="AC100" t="e">
        <f t="shared" si="56"/>
        <v>#NUM!</v>
      </c>
      <c r="AE100">
        <v>3.2153875902064446E-6</v>
      </c>
      <c r="AF100">
        <v>-59.999999999999922</v>
      </c>
      <c r="AH100" s="1">
        <v>94</v>
      </c>
      <c r="AI100" s="1">
        <f t="shared" si="48"/>
        <v>0</v>
      </c>
      <c r="AJ100" s="1">
        <f t="shared" si="48"/>
        <v>0</v>
      </c>
      <c r="AK100" s="2" t="e">
        <f t="shared" si="49"/>
        <v>#NUM!</v>
      </c>
      <c r="AL100" s="2" t="e">
        <f t="shared" si="49"/>
        <v>#NUM!</v>
      </c>
      <c r="AY100">
        <v>-12</v>
      </c>
      <c r="BN100">
        <v>0</v>
      </c>
    </row>
    <row r="101" spans="1:68" x14ac:dyDescent="0.25">
      <c r="A101">
        <v>95</v>
      </c>
      <c r="B101" t="e">
        <f t="shared" si="57"/>
        <v>#NUM!</v>
      </c>
      <c r="C101" t="e">
        <f t="shared" si="58"/>
        <v>#NUM!</v>
      </c>
      <c r="D101" t="e">
        <f t="shared" si="59"/>
        <v>#NUM!</v>
      </c>
      <c r="E101" t="e">
        <f t="shared" si="60"/>
        <v>#NUM!</v>
      </c>
      <c r="F101" t="e">
        <f t="shared" si="61"/>
        <v>#NUM!</v>
      </c>
      <c r="G101" t="e">
        <f t="shared" si="62"/>
        <v>#NUM!</v>
      </c>
      <c r="H101" t="e">
        <f t="shared" si="63"/>
        <v>#NUM!</v>
      </c>
      <c r="J101" t="e">
        <f t="shared" si="64"/>
        <v>#NUM!</v>
      </c>
      <c r="K101" t="e">
        <f t="shared" si="65"/>
        <v>#NUM!</v>
      </c>
      <c r="L101" t="e">
        <f t="shared" si="66"/>
        <v>#NUM!</v>
      </c>
      <c r="M101" t="e">
        <f t="shared" si="67"/>
        <v>#NUM!</v>
      </c>
      <c r="N101" t="e">
        <f t="shared" si="68"/>
        <v>#NUM!</v>
      </c>
      <c r="O101" t="e">
        <f t="shared" si="69"/>
        <v>#NUM!</v>
      </c>
      <c r="P101" t="e">
        <f t="shared" si="70"/>
        <v>#NUM!</v>
      </c>
      <c r="Q101" t="e">
        <f t="shared" si="71"/>
        <v>#NUM!</v>
      </c>
      <c r="R101" t="e">
        <f t="shared" si="72"/>
        <v>#NUM!</v>
      </c>
      <c r="S101" t="e">
        <f t="shared" si="73"/>
        <v>#NUM!</v>
      </c>
      <c r="W101" t="e">
        <f t="shared" si="50"/>
        <v>#NUM!</v>
      </c>
      <c r="X101">
        <f t="shared" si="51"/>
        <v>61.570799515387513</v>
      </c>
      <c r="Y101">
        <f t="shared" si="52"/>
        <v>12</v>
      </c>
      <c r="Z101">
        <f t="shared" si="53"/>
        <v>-1.5707963267948966</v>
      </c>
      <c r="AA101" t="e">
        <f t="shared" si="54"/>
        <v>#NUM!</v>
      </c>
      <c r="AB101" t="e">
        <f t="shared" si="55"/>
        <v>#NUM!</v>
      </c>
      <c r="AC101" t="e">
        <f t="shared" si="56"/>
        <v>#NUM!</v>
      </c>
      <c r="AE101">
        <v>3.2153875902064446E-6</v>
      </c>
      <c r="AF101">
        <v>-59.999999999999922</v>
      </c>
      <c r="AH101" s="1">
        <v>95</v>
      </c>
      <c r="AI101" s="1">
        <f t="shared" si="48"/>
        <v>0</v>
      </c>
      <c r="AJ101" s="1">
        <f t="shared" si="48"/>
        <v>0</v>
      </c>
      <c r="AK101" s="2" t="e">
        <f t="shared" si="49"/>
        <v>#NUM!</v>
      </c>
      <c r="AL101" s="2" t="e">
        <f t="shared" si="49"/>
        <v>#NUM!</v>
      </c>
      <c r="AY101">
        <v>-24.879281862192261</v>
      </c>
      <c r="BN101">
        <v>15.301114296488521</v>
      </c>
    </row>
    <row r="102" spans="1:68" x14ac:dyDescent="0.25">
      <c r="A102">
        <v>96</v>
      </c>
      <c r="B102" t="e">
        <f t="shared" si="57"/>
        <v>#NUM!</v>
      </c>
      <c r="C102" t="e">
        <f t="shared" si="58"/>
        <v>#NUM!</v>
      </c>
      <c r="D102" t="e">
        <f t="shared" si="59"/>
        <v>#NUM!</v>
      </c>
      <c r="E102" t="e">
        <f t="shared" si="60"/>
        <v>#NUM!</v>
      </c>
      <c r="F102" t="e">
        <f t="shared" si="61"/>
        <v>#NUM!</v>
      </c>
      <c r="G102" t="e">
        <f t="shared" si="62"/>
        <v>#NUM!</v>
      </c>
      <c r="H102" t="e">
        <f t="shared" si="63"/>
        <v>#NUM!</v>
      </c>
      <c r="J102" t="e">
        <f t="shared" si="64"/>
        <v>#NUM!</v>
      </c>
      <c r="K102" t="e">
        <f t="shared" si="65"/>
        <v>#NUM!</v>
      </c>
      <c r="L102" t="e">
        <f t="shared" si="66"/>
        <v>#NUM!</v>
      </c>
      <c r="M102" t="e">
        <f t="shared" si="67"/>
        <v>#NUM!</v>
      </c>
      <c r="N102" t="e">
        <f t="shared" si="68"/>
        <v>#NUM!</v>
      </c>
      <c r="O102" t="e">
        <f t="shared" si="69"/>
        <v>#NUM!</v>
      </c>
      <c r="P102" t="e">
        <f t="shared" si="70"/>
        <v>#NUM!</v>
      </c>
      <c r="Q102" t="e">
        <f t="shared" si="71"/>
        <v>#NUM!</v>
      </c>
      <c r="R102" t="e">
        <f t="shared" si="72"/>
        <v>#NUM!</v>
      </c>
      <c r="S102" t="e">
        <f t="shared" si="73"/>
        <v>#NUM!</v>
      </c>
      <c r="W102" t="e">
        <f t="shared" si="50"/>
        <v>#NUM!</v>
      </c>
      <c r="X102">
        <f t="shared" si="51"/>
        <v>61.570799515387513</v>
      </c>
      <c r="Y102">
        <f t="shared" si="52"/>
        <v>12</v>
      </c>
      <c r="Z102">
        <f t="shared" si="53"/>
        <v>-1.5707963267948966</v>
      </c>
      <c r="AA102" t="e">
        <f t="shared" si="54"/>
        <v>#NUM!</v>
      </c>
      <c r="AB102" t="e">
        <f t="shared" si="55"/>
        <v>#NUM!</v>
      </c>
      <c r="AC102" t="e">
        <f t="shared" si="56"/>
        <v>#NUM!</v>
      </c>
      <c r="AE102">
        <v>3.2153875902064446E-6</v>
      </c>
      <c r="AF102">
        <v>-59.999999999999922</v>
      </c>
      <c r="AH102" s="1">
        <v>96</v>
      </c>
      <c r="AI102" s="1">
        <f t="shared" si="48"/>
        <v>0</v>
      </c>
      <c r="AJ102" s="1">
        <f t="shared" si="48"/>
        <v>0</v>
      </c>
      <c r="AK102" s="2" t="e">
        <f t="shared" si="49"/>
        <v>#NUM!</v>
      </c>
      <c r="AL102" s="2" t="e">
        <f t="shared" si="49"/>
        <v>#NUM!</v>
      </c>
      <c r="AY102">
        <v>25</v>
      </c>
      <c r="BN102">
        <v>30</v>
      </c>
    </row>
    <row r="103" spans="1:68" x14ac:dyDescent="0.25">
      <c r="A103">
        <v>97</v>
      </c>
      <c r="B103" t="e">
        <f t="shared" si="57"/>
        <v>#NUM!</v>
      </c>
      <c r="C103" t="e">
        <f t="shared" si="58"/>
        <v>#NUM!</v>
      </c>
      <c r="D103" t="e">
        <f t="shared" si="59"/>
        <v>#NUM!</v>
      </c>
      <c r="E103" t="e">
        <f t="shared" si="60"/>
        <v>#NUM!</v>
      </c>
      <c r="F103" t="e">
        <f t="shared" si="61"/>
        <v>#NUM!</v>
      </c>
      <c r="G103" t="e">
        <f t="shared" si="62"/>
        <v>#NUM!</v>
      </c>
      <c r="H103" t="e">
        <f t="shared" si="63"/>
        <v>#NUM!</v>
      </c>
      <c r="J103" t="e">
        <f t="shared" si="64"/>
        <v>#NUM!</v>
      </c>
      <c r="K103" t="e">
        <f t="shared" si="65"/>
        <v>#NUM!</v>
      </c>
      <c r="L103" t="e">
        <f t="shared" si="66"/>
        <v>#NUM!</v>
      </c>
      <c r="M103" t="e">
        <f t="shared" si="67"/>
        <v>#NUM!</v>
      </c>
      <c r="N103" t="e">
        <f t="shared" si="68"/>
        <v>#NUM!</v>
      </c>
      <c r="O103" t="e">
        <f t="shared" si="69"/>
        <v>#NUM!</v>
      </c>
      <c r="P103" t="e">
        <f t="shared" si="70"/>
        <v>#NUM!</v>
      </c>
      <c r="Q103" t="e">
        <f t="shared" si="71"/>
        <v>#NUM!</v>
      </c>
      <c r="R103" t="e">
        <f t="shared" si="72"/>
        <v>#NUM!</v>
      </c>
      <c r="S103" t="e">
        <f t="shared" si="73"/>
        <v>#NUM!</v>
      </c>
      <c r="W103" t="e">
        <f t="shared" si="50"/>
        <v>#NUM!</v>
      </c>
      <c r="X103">
        <f t="shared" si="51"/>
        <v>61.570799515387513</v>
      </c>
      <c r="Y103">
        <f t="shared" si="52"/>
        <v>12</v>
      </c>
      <c r="Z103">
        <f t="shared" si="53"/>
        <v>-1.5707963267948966</v>
      </c>
      <c r="AA103" t="e">
        <f t="shared" si="54"/>
        <v>#NUM!</v>
      </c>
      <c r="AB103" t="e">
        <f t="shared" si="55"/>
        <v>#NUM!</v>
      </c>
      <c r="AC103" t="e">
        <f t="shared" si="56"/>
        <v>#NUM!</v>
      </c>
      <c r="AE103">
        <v>3.2153875902064446E-6</v>
      </c>
      <c r="AF103">
        <v>-59.999999999999922</v>
      </c>
      <c r="AH103" s="1">
        <v>97</v>
      </c>
      <c r="AI103" s="1">
        <f t="shared" ref="AI103:AJ166" si="74">U103</f>
        <v>0</v>
      </c>
      <c r="AJ103" s="1">
        <f t="shared" si="74"/>
        <v>0</v>
      </c>
      <c r="AK103" s="2" t="e">
        <f t="shared" ref="AK103:AL166" si="75">D103*180/3.1415926</f>
        <v>#NUM!</v>
      </c>
      <c r="AL103" s="2" t="e">
        <f t="shared" si="75"/>
        <v>#NUM!</v>
      </c>
      <c r="AY103">
        <v>5.8156608222448263</v>
      </c>
      <c r="BN103">
        <v>24.346582421735683</v>
      </c>
    </row>
    <row r="104" spans="1:68" x14ac:dyDescent="0.25">
      <c r="A104">
        <v>98</v>
      </c>
      <c r="B104" t="e">
        <f t="shared" si="57"/>
        <v>#NUM!</v>
      </c>
      <c r="C104" t="e">
        <f t="shared" si="58"/>
        <v>#NUM!</v>
      </c>
      <c r="D104" t="e">
        <f t="shared" si="59"/>
        <v>#NUM!</v>
      </c>
      <c r="E104" t="e">
        <f t="shared" si="60"/>
        <v>#NUM!</v>
      </c>
      <c r="F104" t="e">
        <f t="shared" si="61"/>
        <v>#NUM!</v>
      </c>
      <c r="G104" t="e">
        <f t="shared" si="62"/>
        <v>#NUM!</v>
      </c>
      <c r="H104" t="e">
        <f t="shared" si="63"/>
        <v>#NUM!</v>
      </c>
      <c r="J104" t="e">
        <f t="shared" si="64"/>
        <v>#NUM!</v>
      </c>
      <c r="K104" t="e">
        <f t="shared" si="65"/>
        <v>#NUM!</v>
      </c>
      <c r="L104" t="e">
        <f t="shared" si="66"/>
        <v>#NUM!</v>
      </c>
      <c r="M104" t="e">
        <f t="shared" si="67"/>
        <v>#NUM!</v>
      </c>
      <c r="N104" t="e">
        <f t="shared" si="68"/>
        <v>#NUM!</v>
      </c>
      <c r="O104" t="e">
        <f t="shared" si="69"/>
        <v>#NUM!</v>
      </c>
      <c r="P104" t="e">
        <f t="shared" si="70"/>
        <v>#NUM!</v>
      </c>
      <c r="Q104" t="e">
        <f t="shared" si="71"/>
        <v>#NUM!</v>
      </c>
      <c r="R104" t="e">
        <f t="shared" si="72"/>
        <v>#NUM!</v>
      </c>
      <c r="S104" t="e">
        <f t="shared" si="73"/>
        <v>#NUM!</v>
      </c>
      <c r="W104" t="e">
        <f t="shared" si="50"/>
        <v>#NUM!</v>
      </c>
      <c r="X104">
        <f t="shared" si="51"/>
        <v>61.570799515387513</v>
      </c>
      <c r="Y104">
        <f t="shared" si="52"/>
        <v>12</v>
      </c>
      <c r="Z104">
        <f t="shared" si="53"/>
        <v>-1.5707963267948966</v>
      </c>
      <c r="AA104" t="e">
        <f t="shared" si="54"/>
        <v>#NUM!</v>
      </c>
      <c r="AB104" t="e">
        <f t="shared" si="55"/>
        <v>#NUM!</v>
      </c>
      <c r="AC104" t="e">
        <f t="shared" si="56"/>
        <v>#NUM!</v>
      </c>
      <c r="AE104">
        <v>3.2153875902064446E-6</v>
      </c>
      <c r="AF104">
        <v>-59.999999999999922</v>
      </c>
      <c r="AH104" s="1">
        <v>98</v>
      </c>
      <c r="AI104" s="1">
        <f t="shared" si="74"/>
        <v>0</v>
      </c>
      <c r="AJ104" s="1">
        <f t="shared" si="74"/>
        <v>0</v>
      </c>
      <c r="AK104" s="2" t="e">
        <f t="shared" si="75"/>
        <v>#NUM!</v>
      </c>
      <c r="AL104" s="2" t="e">
        <f t="shared" si="75"/>
        <v>#NUM!</v>
      </c>
      <c r="AY104">
        <v>31.34962606454722</v>
      </c>
      <c r="BN104">
        <v>5.0588507748494571</v>
      </c>
    </row>
    <row r="105" spans="1:68" x14ac:dyDescent="0.25">
      <c r="A105">
        <v>99</v>
      </c>
      <c r="B105" t="e">
        <f t="shared" si="57"/>
        <v>#NUM!</v>
      </c>
      <c r="C105" t="e">
        <f t="shared" si="58"/>
        <v>#NUM!</v>
      </c>
      <c r="D105" t="e">
        <f t="shared" si="59"/>
        <v>#NUM!</v>
      </c>
      <c r="E105" t="e">
        <f t="shared" si="60"/>
        <v>#NUM!</v>
      </c>
      <c r="F105" t="e">
        <f t="shared" si="61"/>
        <v>#NUM!</v>
      </c>
      <c r="G105" t="e">
        <f t="shared" si="62"/>
        <v>#NUM!</v>
      </c>
      <c r="H105" t="e">
        <f t="shared" si="63"/>
        <v>#NUM!</v>
      </c>
      <c r="J105" t="e">
        <f t="shared" si="64"/>
        <v>#NUM!</v>
      </c>
      <c r="K105" t="e">
        <f t="shared" si="65"/>
        <v>#NUM!</v>
      </c>
      <c r="L105" t="e">
        <f t="shared" si="66"/>
        <v>#NUM!</v>
      </c>
      <c r="M105" t="e">
        <f t="shared" si="67"/>
        <v>#NUM!</v>
      </c>
      <c r="N105" t="e">
        <f t="shared" si="68"/>
        <v>#NUM!</v>
      </c>
      <c r="O105" t="e">
        <f t="shared" si="69"/>
        <v>#NUM!</v>
      </c>
      <c r="P105" t="e">
        <f t="shared" si="70"/>
        <v>#NUM!</v>
      </c>
      <c r="Q105" t="e">
        <f t="shared" si="71"/>
        <v>#NUM!</v>
      </c>
      <c r="R105" t="e">
        <f t="shared" si="72"/>
        <v>#NUM!</v>
      </c>
      <c r="S105" t="e">
        <f t="shared" si="73"/>
        <v>#NUM!</v>
      </c>
      <c r="W105" t="e">
        <f t="shared" si="50"/>
        <v>#NUM!</v>
      </c>
      <c r="X105">
        <f t="shared" si="51"/>
        <v>61.570799515387513</v>
      </c>
      <c r="Y105">
        <f t="shared" si="52"/>
        <v>12</v>
      </c>
      <c r="Z105">
        <f t="shared" si="53"/>
        <v>-1.5707963267948966</v>
      </c>
      <c r="AA105" t="e">
        <f t="shared" si="54"/>
        <v>#NUM!</v>
      </c>
      <c r="AB105" t="e">
        <f t="shared" si="55"/>
        <v>#NUM!</v>
      </c>
      <c r="AC105" t="e">
        <f t="shared" si="56"/>
        <v>#NUM!</v>
      </c>
      <c r="AE105">
        <v>3.2153875902064446E-6</v>
      </c>
      <c r="AF105">
        <v>-59.999999999999922</v>
      </c>
      <c r="AH105" s="1">
        <v>99</v>
      </c>
      <c r="AI105" s="1">
        <f t="shared" si="74"/>
        <v>0</v>
      </c>
      <c r="AJ105" s="1">
        <f t="shared" si="74"/>
        <v>0</v>
      </c>
      <c r="AK105" s="2" t="e">
        <f t="shared" si="75"/>
        <v>#NUM!</v>
      </c>
      <c r="AL105" s="2" t="e">
        <f t="shared" si="75"/>
        <v>#NUM!</v>
      </c>
      <c r="AY105">
        <v>12</v>
      </c>
      <c r="BN105">
        <v>0</v>
      </c>
    </row>
    <row r="106" spans="1:68" x14ac:dyDescent="0.25">
      <c r="A106">
        <v>100</v>
      </c>
      <c r="B106" t="e">
        <f t="shared" si="57"/>
        <v>#NUM!</v>
      </c>
      <c r="C106" t="e">
        <f t="shared" si="58"/>
        <v>#NUM!</v>
      </c>
      <c r="D106" t="e">
        <f t="shared" si="59"/>
        <v>#NUM!</v>
      </c>
      <c r="E106" t="e">
        <f t="shared" si="60"/>
        <v>#NUM!</v>
      </c>
      <c r="F106" t="e">
        <f t="shared" si="61"/>
        <v>#NUM!</v>
      </c>
      <c r="G106" t="e">
        <f t="shared" si="62"/>
        <v>#NUM!</v>
      </c>
      <c r="H106" t="e">
        <f t="shared" si="63"/>
        <v>#NUM!</v>
      </c>
      <c r="J106" t="e">
        <f t="shared" si="64"/>
        <v>#NUM!</v>
      </c>
      <c r="K106" t="e">
        <f t="shared" si="65"/>
        <v>#NUM!</v>
      </c>
      <c r="L106" t="e">
        <f t="shared" si="66"/>
        <v>#NUM!</v>
      </c>
      <c r="M106" t="e">
        <f t="shared" si="67"/>
        <v>#NUM!</v>
      </c>
      <c r="N106" t="e">
        <f t="shared" si="68"/>
        <v>#NUM!</v>
      </c>
      <c r="O106" t="e">
        <f t="shared" si="69"/>
        <v>#NUM!</v>
      </c>
      <c r="P106" t="e">
        <f t="shared" si="70"/>
        <v>#NUM!</v>
      </c>
      <c r="Q106" t="e">
        <f t="shared" si="71"/>
        <v>#NUM!</v>
      </c>
      <c r="R106" t="e">
        <f t="shared" si="72"/>
        <v>#NUM!</v>
      </c>
      <c r="S106" t="e">
        <f t="shared" si="73"/>
        <v>#NUM!</v>
      </c>
      <c r="W106" t="e">
        <f t="shared" si="50"/>
        <v>#NUM!</v>
      </c>
      <c r="X106">
        <f t="shared" si="51"/>
        <v>61.570799515387513</v>
      </c>
      <c r="Y106">
        <f t="shared" si="52"/>
        <v>12</v>
      </c>
      <c r="Z106">
        <f t="shared" si="53"/>
        <v>-1.5707963267948966</v>
      </c>
      <c r="AA106" t="e">
        <f t="shared" si="54"/>
        <v>#NUM!</v>
      </c>
      <c r="AB106" t="e">
        <f t="shared" si="55"/>
        <v>#NUM!</v>
      </c>
      <c r="AC106" t="e">
        <f t="shared" si="56"/>
        <v>#NUM!</v>
      </c>
      <c r="AE106">
        <v>3.2153875902064446E-6</v>
      </c>
      <c r="AF106">
        <v>-59.999999999999922</v>
      </c>
      <c r="AH106" s="1">
        <v>100</v>
      </c>
      <c r="AI106" s="1">
        <f t="shared" si="74"/>
        <v>0</v>
      </c>
      <c r="AJ106" s="1">
        <f t="shared" si="74"/>
        <v>0</v>
      </c>
      <c r="AK106" s="2" t="e">
        <f t="shared" si="75"/>
        <v>#NUM!</v>
      </c>
      <c r="AL106" s="2" t="e">
        <f t="shared" si="75"/>
        <v>#NUM!</v>
      </c>
      <c r="AY106">
        <v>-12</v>
      </c>
      <c r="BO106">
        <v>0</v>
      </c>
    </row>
    <row r="107" spans="1:68" x14ac:dyDescent="0.25">
      <c r="A107">
        <v>101</v>
      </c>
      <c r="B107" t="e">
        <f t="shared" si="57"/>
        <v>#NUM!</v>
      </c>
      <c r="C107" t="e">
        <f t="shared" si="58"/>
        <v>#NUM!</v>
      </c>
      <c r="D107" t="e">
        <f t="shared" si="59"/>
        <v>#NUM!</v>
      </c>
      <c r="E107" t="e">
        <f t="shared" si="60"/>
        <v>#NUM!</v>
      </c>
      <c r="F107" t="e">
        <f t="shared" si="61"/>
        <v>#NUM!</v>
      </c>
      <c r="G107" t="e">
        <f t="shared" si="62"/>
        <v>#NUM!</v>
      </c>
      <c r="H107" t="e">
        <f t="shared" si="63"/>
        <v>#NUM!</v>
      </c>
      <c r="J107" t="e">
        <f t="shared" si="64"/>
        <v>#NUM!</v>
      </c>
      <c r="K107" t="e">
        <f t="shared" si="65"/>
        <v>#NUM!</v>
      </c>
      <c r="L107" t="e">
        <f t="shared" si="66"/>
        <v>#NUM!</v>
      </c>
      <c r="M107" t="e">
        <f t="shared" si="67"/>
        <v>#NUM!</v>
      </c>
      <c r="N107" t="e">
        <f t="shared" si="68"/>
        <v>#NUM!</v>
      </c>
      <c r="O107" t="e">
        <f t="shared" si="69"/>
        <v>#NUM!</v>
      </c>
      <c r="P107" t="e">
        <f t="shared" si="70"/>
        <v>#NUM!</v>
      </c>
      <c r="Q107" t="e">
        <f t="shared" si="71"/>
        <v>#NUM!</v>
      </c>
      <c r="R107" t="e">
        <f t="shared" si="72"/>
        <v>#NUM!</v>
      </c>
      <c r="S107" t="e">
        <f t="shared" si="73"/>
        <v>#NUM!</v>
      </c>
      <c r="W107" t="e">
        <f t="shared" si="50"/>
        <v>#NUM!</v>
      </c>
      <c r="X107">
        <f t="shared" si="51"/>
        <v>61.570799515387513</v>
      </c>
      <c r="Y107">
        <f t="shared" si="52"/>
        <v>12</v>
      </c>
      <c r="Z107">
        <f t="shared" si="53"/>
        <v>-1.5707963267948966</v>
      </c>
      <c r="AA107" t="e">
        <f t="shared" si="54"/>
        <v>#NUM!</v>
      </c>
      <c r="AB107" t="e">
        <f t="shared" si="55"/>
        <v>#NUM!</v>
      </c>
      <c r="AC107" t="e">
        <f t="shared" si="56"/>
        <v>#NUM!</v>
      </c>
      <c r="AE107">
        <v>3.2153875902064446E-6</v>
      </c>
      <c r="AF107">
        <v>-59.999999999999922</v>
      </c>
      <c r="AH107" s="1">
        <v>101</v>
      </c>
      <c r="AI107" s="1">
        <f t="shared" si="74"/>
        <v>0</v>
      </c>
      <c r="AJ107" s="1">
        <f t="shared" si="74"/>
        <v>0</v>
      </c>
      <c r="AK107" s="2" t="e">
        <f t="shared" si="75"/>
        <v>#NUM!</v>
      </c>
      <c r="AL107" s="2" t="e">
        <f t="shared" si="75"/>
        <v>#NUM!</v>
      </c>
      <c r="AY107">
        <v>-23.375716830330454</v>
      </c>
      <c r="BO107">
        <v>-16.449713267900339</v>
      </c>
    </row>
    <row r="108" spans="1:68" x14ac:dyDescent="0.25">
      <c r="A108">
        <v>102</v>
      </c>
      <c r="B108" t="e">
        <f t="shared" si="57"/>
        <v>#NUM!</v>
      </c>
      <c r="C108" t="e">
        <f t="shared" si="58"/>
        <v>#NUM!</v>
      </c>
      <c r="D108" t="e">
        <f t="shared" si="59"/>
        <v>#NUM!</v>
      </c>
      <c r="E108" t="e">
        <f t="shared" si="60"/>
        <v>#NUM!</v>
      </c>
      <c r="F108" t="e">
        <f t="shared" si="61"/>
        <v>#NUM!</v>
      </c>
      <c r="G108" t="e">
        <f t="shared" si="62"/>
        <v>#NUM!</v>
      </c>
      <c r="H108" t="e">
        <f t="shared" si="63"/>
        <v>#NUM!</v>
      </c>
      <c r="J108" t="e">
        <f t="shared" si="64"/>
        <v>#NUM!</v>
      </c>
      <c r="K108" t="e">
        <f t="shared" si="65"/>
        <v>#NUM!</v>
      </c>
      <c r="L108" t="e">
        <f t="shared" si="66"/>
        <v>#NUM!</v>
      </c>
      <c r="M108" t="e">
        <f t="shared" si="67"/>
        <v>#NUM!</v>
      </c>
      <c r="N108" t="e">
        <f t="shared" si="68"/>
        <v>#NUM!</v>
      </c>
      <c r="O108" t="e">
        <f t="shared" si="69"/>
        <v>#NUM!</v>
      </c>
      <c r="P108" t="e">
        <f t="shared" si="70"/>
        <v>#NUM!</v>
      </c>
      <c r="Q108" t="e">
        <f t="shared" si="71"/>
        <v>#NUM!</v>
      </c>
      <c r="R108" t="e">
        <f t="shared" si="72"/>
        <v>#NUM!</v>
      </c>
      <c r="S108" t="e">
        <f t="shared" si="73"/>
        <v>#NUM!</v>
      </c>
      <c r="W108" t="e">
        <f t="shared" si="50"/>
        <v>#NUM!</v>
      </c>
      <c r="X108">
        <f t="shared" si="51"/>
        <v>61.570799515387513</v>
      </c>
      <c r="Y108">
        <f t="shared" si="52"/>
        <v>12</v>
      </c>
      <c r="Z108">
        <f t="shared" si="53"/>
        <v>-1.5707963267948966</v>
      </c>
      <c r="AA108" t="e">
        <f t="shared" si="54"/>
        <v>#NUM!</v>
      </c>
      <c r="AB108" t="e">
        <f t="shared" si="55"/>
        <v>#NUM!</v>
      </c>
      <c r="AC108" t="e">
        <f t="shared" si="56"/>
        <v>#NUM!</v>
      </c>
      <c r="AE108">
        <v>3.2153875902064446E-6</v>
      </c>
      <c r="AF108">
        <v>-59.999999999999922</v>
      </c>
      <c r="AH108" s="1">
        <v>102</v>
      </c>
      <c r="AI108" s="1">
        <f t="shared" si="74"/>
        <v>0</v>
      </c>
      <c r="AJ108" s="1">
        <f t="shared" si="74"/>
        <v>0</v>
      </c>
      <c r="AK108" s="2" t="e">
        <f t="shared" si="75"/>
        <v>#NUM!</v>
      </c>
      <c r="AL108" s="2" t="e">
        <f t="shared" si="75"/>
        <v>#NUM!</v>
      </c>
      <c r="AY108">
        <v>0</v>
      </c>
      <c r="BO108">
        <v>30</v>
      </c>
    </row>
    <row r="109" spans="1:68" x14ac:dyDescent="0.25">
      <c r="A109">
        <v>103</v>
      </c>
      <c r="B109" t="e">
        <f t="shared" si="57"/>
        <v>#NUM!</v>
      </c>
      <c r="C109" t="e">
        <f t="shared" si="58"/>
        <v>#NUM!</v>
      </c>
      <c r="D109" t="e">
        <f t="shared" si="59"/>
        <v>#NUM!</v>
      </c>
      <c r="E109" t="e">
        <f t="shared" si="60"/>
        <v>#NUM!</v>
      </c>
      <c r="F109" t="e">
        <f t="shared" si="61"/>
        <v>#NUM!</v>
      </c>
      <c r="G109" t="e">
        <f t="shared" si="62"/>
        <v>#NUM!</v>
      </c>
      <c r="H109" t="e">
        <f t="shared" si="63"/>
        <v>#NUM!</v>
      </c>
      <c r="J109" t="e">
        <f t="shared" si="64"/>
        <v>#NUM!</v>
      </c>
      <c r="K109" t="e">
        <f t="shared" si="65"/>
        <v>#NUM!</v>
      </c>
      <c r="L109" t="e">
        <f t="shared" si="66"/>
        <v>#NUM!</v>
      </c>
      <c r="M109" t="e">
        <f t="shared" si="67"/>
        <v>#NUM!</v>
      </c>
      <c r="N109" t="e">
        <f t="shared" si="68"/>
        <v>#NUM!</v>
      </c>
      <c r="O109" t="e">
        <f t="shared" si="69"/>
        <v>#NUM!</v>
      </c>
      <c r="P109" t="e">
        <f t="shared" si="70"/>
        <v>#NUM!</v>
      </c>
      <c r="Q109" t="e">
        <f t="shared" si="71"/>
        <v>#NUM!</v>
      </c>
      <c r="R109" t="e">
        <f t="shared" si="72"/>
        <v>#NUM!</v>
      </c>
      <c r="S109" t="e">
        <f t="shared" si="73"/>
        <v>#NUM!</v>
      </c>
      <c r="W109" t="e">
        <f t="shared" si="50"/>
        <v>#NUM!</v>
      </c>
      <c r="X109">
        <f t="shared" si="51"/>
        <v>61.570799515387513</v>
      </c>
      <c r="Y109">
        <f t="shared" si="52"/>
        <v>12</v>
      </c>
      <c r="Z109">
        <f t="shared" si="53"/>
        <v>-1.5707963267948966</v>
      </c>
      <c r="AA109" t="e">
        <f t="shared" si="54"/>
        <v>#NUM!</v>
      </c>
      <c r="AB109" t="e">
        <f t="shared" si="55"/>
        <v>#NUM!</v>
      </c>
      <c r="AC109" t="e">
        <f t="shared" si="56"/>
        <v>#NUM!</v>
      </c>
      <c r="AE109">
        <v>3.2153875902064446E-6</v>
      </c>
      <c r="AF109">
        <v>-59.999999999999922</v>
      </c>
      <c r="AH109" s="1">
        <v>103</v>
      </c>
      <c r="AI109" s="1">
        <f t="shared" si="74"/>
        <v>0</v>
      </c>
      <c r="AJ109" s="1">
        <f t="shared" si="74"/>
        <v>0</v>
      </c>
      <c r="AK109" s="2" t="e">
        <f t="shared" si="75"/>
        <v>#NUM!</v>
      </c>
      <c r="AL109" s="2" t="e">
        <f t="shared" si="75"/>
        <v>#NUM!</v>
      </c>
      <c r="AY109">
        <v>-8.9906603193697858</v>
      </c>
      <c r="BO109">
        <v>12.134725666200417</v>
      </c>
    </row>
    <row r="110" spans="1:68" x14ac:dyDescent="0.25">
      <c r="A110">
        <v>104</v>
      </c>
      <c r="B110" t="e">
        <f t="shared" si="57"/>
        <v>#NUM!</v>
      </c>
      <c r="C110" t="e">
        <f t="shared" si="58"/>
        <v>#NUM!</v>
      </c>
      <c r="D110" t="e">
        <f t="shared" si="59"/>
        <v>#NUM!</v>
      </c>
      <c r="E110" t="e">
        <f t="shared" si="60"/>
        <v>#NUM!</v>
      </c>
      <c r="F110" t="e">
        <f t="shared" si="61"/>
        <v>#NUM!</v>
      </c>
      <c r="G110" t="e">
        <f t="shared" si="62"/>
        <v>#NUM!</v>
      </c>
      <c r="H110" t="e">
        <f t="shared" si="63"/>
        <v>#NUM!</v>
      </c>
      <c r="J110" t="e">
        <f t="shared" si="64"/>
        <v>#NUM!</v>
      </c>
      <c r="K110" t="e">
        <f t="shared" si="65"/>
        <v>#NUM!</v>
      </c>
      <c r="L110" t="e">
        <f t="shared" si="66"/>
        <v>#NUM!</v>
      </c>
      <c r="M110" t="e">
        <f t="shared" si="67"/>
        <v>#NUM!</v>
      </c>
      <c r="N110" t="e">
        <f t="shared" si="68"/>
        <v>#NUM!</v>
      </c>
      <c r="O110" t="e">
        <f t="shared" si="69"/>
        <v>#NUM!</v>
      </c>
      <c r="P110" t="e">
        <f t="shared" si="70"/>
        <v>#NUM!</v>
      </c>
      <c r="Q110" t="e">
        <f t="shared" si="71"/>
        <v>#NUM!</v>
      </c>
      <c r="R110" t="e">
        <f t="shared" si="72"/>
        <v>#NUM!</v>
      </c>
      <c r="S110" t="e">
        <f t="shared" si="73"/>
        <v>#NUM!</v>
      </c>
      <c r="W110" t="e">
        <f t="shared" si="50"/>
        <v>#NUM!</v>
      </c>
      <c r="X110">
        <f t="shared" si="51"/>
        <v>61.570799515387513</v>
      </c>
      <c r="Y110">
        <f t="shared" si="52"/>
        <v>12</v>
      </c>
      <c r="Z110">
        <f t="shared" si="53"/>
        <v>-1.5707963267948966</v>
      </c>
      <c r="AA110" t="e">
        <f t="shared" si="54"/>
        <v>#NUM!</v>
      </c>
      <c r="AB110" t="e">
        <f t="shared" si="55"/>
        <v>#NUM!</v>
      </c>
      <c r="AC110" t="e">
        <f t="shared" si="56"/>
        <v>#NUM!</v>
      </c>
      <c r="AE110">
        <v>3.2153875902064446E-6</v>
      </c>
      <c r="AF110">
        <v>-59.999999999999922</v>
      </c>
      <c r="AH110" s="1">
        <v>104</v>
      </c>
      <c r="AI110" s="1">
        <f t="shared" si="74"/>
        <v>0</v>
      </c>
      <c r="AJ110" s="1">
        <f t="shared" si="74"/>
        <v>0</v>
      </c>
      <c r="AK110" s="2" t="e">
        <f t="shared" si="75"/>
        <v>#NUM!</v>
      </c>
      <c r="AL110" s="2" t="e">
        <f t="shared" si="75"/>
        <v>#NUM!</v>
      </c>
      <c r="AY110">
        <v>22.648032351271631</v>
      </c>
      <c r="BO110">
        <v>16.929837773773048</v>
      </c>
    </row>
    <row r="111" spans="1:68" x14ac:dyDescent="0.25">
      <c r="A111">
        <v>105</v>
      </c>
      <c r="B111" t="e">
        <f t="shared" si="57"/>
        <v>#NUM!</v>
      </c>
      <c r="C111" t="e">
        <f t="shared" si="58"/>
        <v>#NUM!</v>
      </c>
      <c r="D111" t="e">
        <f t="shared" si="59"/>
        <v>#NUM!</v>
      </c>
      <c r="E111" t="e">
        <f t="shared" si="60"/>
        <v>#NUM!</v>
      </c>
      <c r="F111" t="e">
        <f t="shared" si="61"/>
        <v>#NUM!</v>
      </c>
      <c r="G111" t="e">
        <f t="shared" si="62"/>
        <v>#NUM!</v>
      </c>
      <c r="H111" t="e">
        <f t="shared" si="63"/>
        <v>#NUM!</v>
      </c>
      <c r="J111" t="e">
        <f t="shared" si="64"/>
        <v>#NUM!</v>
      </c>
      <c r="K111" t="e">
        <f t="shared" si="65"/>
        <v>#NUM!</v>
      </c>
      <c r="L111" t="e">
        <f t="shared" si="66"/>
        <v>#NUM!</v>
      </c>
      <c r="M111" t="e">
        <f t="shared" si="67"/>
        <v>#NUM!</v>
      </c>
      <c r="N111" t="e">
        <f t="shared" si="68"/>
        <v>#NUM!</v>
      </c>
      <c r="O111" t="e">
        <f t="shared" si="69"/>
        <v>#NUM!</v>
      </c>
      <c r="P111" t="e">
        <f t="shared" si="70"/>
        <v>#NUM!</v>
      </c>
      <c r="Q111" t="e">
        <f t="shared" si="71"/>
        <v>#NUM!</v>
      </c>
      <c r="R111" t="e">
        <f t="shared" si="72"/>
        <v>#NUM!</v>
      </c>
      <c r="S111" t="e">
        <f t="shared" si="73"/>
        <v>#NUM!</v>
      </c>
      <c r="W111" t="e">
        <f t="shared" si="50"/>
        <v>#NUM!</v>
      </c>
      <c r="X111">
        <f t="shared" si="51"/>
        <v>61.570799515387513</v>
      </c>
      <c r="Y111">
        <f t="shared" si="52"/>
        <v>12</v>
      </c>
      <c r="Z111">
        <f t="shared" si="53"/>
        <v>-1.5707963267948966</v>
      </c>
      <c r="AA111" t="e">
        <f t="shared" si="54"/>
        <v>#NUM!</v>
      </c>
      <c r="AB111" t="e">
        <f t="shared" si="55"/>
        <v>#NUM!</v>
      </c>
      <c r="AC111" t="e">
        <f t="shared" si="56"/>
        <v>#NUM!</v>
      </c>
      <c r="AE111">
        <v>3.2153875902064446E-6</v>
      </c>
      <c r="AF111">
        <v>-59.999999999999922</v>
      </c>
      <c r="AH111" s="1">
        <v>105</v>
      </c>
      <c r="AI111" s="1">
        <f t="shared" si="74"/>
        <v>0</v>
      </c>
      <c r="AJ111" s="1">
        <f t="shared" si="74"/>
        <v>0</v>
      </c>
      <c r="AK111" s="2" t="e">
        <f t="shared" si="75"/>
        <v>#NUM!</v>
      </c>
      <c r="AL111" s="2" t="e">
        <f t="shared" si="75"/>
        <v>#NUM!</v>
      </c>
      <c r="AY111">
        <v>12</v>
      </c>
      <c r="BO111">
        <v>0</v>
      </c>
    </row>
    <row r="112" spans="1:68" x14ac:dyDescent="0.25">
      <c r="A112">
        <v>106</v>
      </c>
      <c r="B112" t="e">
        <f t="shared" si="57"/>
        <v>#NUM!</v>
      </c>
      <c r="C112" t="e">
        <f t="shared" si="58"/>
        <v>#NUM!</v>
      </c>
      <c r="D112" t="e">
        <f t="shared" si="59"/>
        <v>#NUM!</v>
      </c>
      <c r="E112" t="e">
        <f t="shared" si="60"/>
        <v>#NUM!</v>
      </c>
      <c r="F112" t="e">
        <f t="shared" si="61"/>
        <v>#NUM!</v>
      </c>
      <c r="G112" t="e">
        <f t="shared" si="62"/>
        <v>#NUM!</v>
      </c>
      <c r="H112" t="e">
        <f t="shared" si="63"/>
        <v>#NUM!</v>
      </c>
      <c r="J112" t="e">
        <f t="shared" si="64"/>
        <v>#NUM!</v>
      </c>
      <c r="K112" t="e">
        <f t="shared" si="65"/>
        <v>#NUM!</v>
      </c>
      <c r="L112" t="e">
        <f t="shared" si="66"/>
        <v>#NUM!</v>
      </c>
      <c r="M112" t="e">
        <f t="shared" si="67"/>
        <v>#NUM!</v>
      </c>
      <c r="N112" t="e">
        <f t="shared" si="68"/>
        <v>#NUM!</v>
      </c>
      <c r="O112" t="e">
        <f t="shared" si="69"/>
        <v>#NUM!</v>
      </c>
      <c r="P112" t="e">
        <f t="shared" si="70"/>
        <v>#NUM!</v>
      </c>
      <c r="Q112" t="e">
        <f t="shared" si="71"/>
        <v>#NUM!</v>
      </c>
      <c r="R112" t="e">
        <f t="shared" si="72"/>
        <v>#NUM!</v>
      </c>
      <c r="S112" t="e">
        <f t="shared" si="73"/>
        <v>#NUM!</v>
      </c>
      <c r="W112" t="e">
        <f t="shared" si="50"/>
        <v>#NUM!</v>
      </c>
      <c r="X112">
        <f t="shared" si="51"/>
        <v>61.570799515387513</v>
      </c>
      <c r="Y112">
        <f t="shared" si="52"/>
        <v>12</v>
      </c>
      <c r="Z112">
        <f t="shared" si="53"/>
        <v>-1.5707963267948966</v>
      </c>
      <c r="AA112" t="e">
        <f t="shared" si="54"/>
        <v>#NUM!</v>
      </c>
      <c r="AB112" t="e">
        <f t="shared" si="55"/>
        <v>#NUM!</v>
      </c>
      <c r="AC112" t="e">
        <f t="shared" si="56"/>
        <v>#NUM!</v>
      </c>
      <c r="AE112">
        <v>3.2153875902064446E-6</v>
      </c>
      <c r="AF112">
        <v>-59.999999999999922</v>
      </c>
      <c r="AH112" s="1">
        <v>106</v>
      </c>
      <c r="AI112" s="1">
        <f t="shared" si="74"/>
        <v>0</v>
      </c>
      <c r="AJ112" s="1">
        <f t="shared" si="74"/>
        <v>0</v>
      </c>
      <c r="AK112" s="2" t="e">
        <f t="shared" si="75"/>
        <v>#NUM!</v>
      </c>
      <c r="AL112" s="2" t="e">
        <f t="shared" si="75"/>
        <v>#NUM!</v>
      </c>
      <c r="AY112">
        <v>-12</v>
      </c>
      <c r="BP112">
        <v>0</v>
      </c>
    </row>
    <row r="113" spans="1:69" x14ac:dyDescent="0.25">
      <c r="A113">
        <v>107</v>
      </c>
      <c r="B113" t="e">
        <f t="shared" si="57"/>
        <v>#NUM!</v>
      </c>
      <c r="C113" t="e">
        <f t="shared" si="58"/>
        <v>#NUM!</v>
      </c>
      <c r="D113" t="e">
        <f t="shared" si="59"/>
        <v>#NUM!</v>
      </c>
      <c r="E113" t="e">
        <f t="shared" si="60"/>
        <v>#NUM!</v>
      </c>
      <c r="F113" t="e">
        <f t="shared" si="61"/>
        <v>#NUM!</v>
      </c>
      <c r="G113" t="e">
        <f t="shared" si="62"/>
        <v>#NUM!</v>
      </c>
      <c r="H113" t="e">
        <f t="shared" si="63"/>
        <v>#NUM!</v>
      </c>
      <c r="J113" t="e">
        <f t="shared" si="64"/>
        <v>#NUM!</v>
      </c>
      <c r="K113" t="e">
        <f t="shared" si="65"/>
        <v>#NUM!</v>
      </c>
      <c r="L113" t="e">
        <f t="shared" si="66"/>
        <v>#NUM!</v>
      </c>
      <c r="M113" t="e">
        <f t="shared" si="67"/>
        <v>#NUM!</v>
      </c>
      <c r="N113" t="e">
        <f t="shared" si="68"/>
        <v>#NUM!</v>
      </c>
      <c r="O113" t="e">
        <f t="shared" si="69"/>
        <v>#NUM!</v>
      </c>
      <c r="P113" t="e">
        <f t="shared" si="70"/>
        <v>#NUM!</v>
      </c>
      <c r="Q113" t="e">
        <f t="shared" si="71"/>
        <v>#NUM!</v>
      </c>
      <c r="R113" t="e">
        <f t="shared" si="72"/>
        <v>#NUM!</v>
      </c>
      <c r="S113" t="e">
        <f t="shared" si="73"/>
        <v>#NUM!</v>
      </c>
      <c r="W113" t="e">
        <f t="shared" si="50"/>
        <v>#NUM!</v>
      </c>
      <c r="X113">
        <f t="shared" si="51"/>
        <v>61.570799515387513</v>
      </c>
      <c r="Y113">
        <f t="shared" si="52"/>
        <v>12</v>
      </c>
      <c r="Z113">
        <f t="shared" si="53"/>
        <v>-1.5707963267948966</v>
      </c>
      <c r="AA113" t="e">
        <f t="shared" si="54"/>
        <v>#NUM!</v>
      </c>
      <c r="AB113" t="e">
        <f t="shared" si="55"/>
        <v>#NUM!</v>
      </c>
      <c r="AC113" t="e">
        <f t="shared" si="56"/>
        <v>#NUM!</v>
      </c>
      <c r="AE113">
        <v>3.2153875902064446E-6</v>
      </c>
      <c r="AF113">
        <v>-59.999999999999922</v>
      </c>
      <c r="AH113" s="1">
        <v>107</v>
      </c>
      <c r="AI113" s="1">
        <f t="shared" si="74"/>
        <v>0</v>
      </c>
      <c r="AJ113" s="1">
        <f t="shared" si="74"/>
        <v>0</v>
      </c>
      <c r="AK113" s="2" t="e">
        <f t="shared" si="75"/>
        <v>#NUM!</v>
      </c>
      <c r="AL113" s="2" t="e">
        <f t="shared" si="75"/>
        <v>#NUM!</v>
      </c>
      <c r="AY113">
        <v>-10.52880704336475</v>
      </c>
      <c r="BP113">
        <v>-19.945816385506681</v>
      </c>
    </row>
    <row r="114" spans="1:69" x14ac:dyDescent="0.25">
      <c r="A114">
        <v>108</v>
      </c>
      <c r="B114" t="e">
        <f t="shared" si="57"/>
        <v>#NUM!</v>
      </c>
      <c r="C114" t="e">
        <f t="shared" si="58"/>
        <v>#NUM!</v>
      </c>
      <c r="D114" t="e">
        <f t="shared" si="59"/>
        <v>#NUM!</v>
      </c>
      <c r="E114" t="e">
        <f t="shared" si="60"/>
        <v>#NUM!</v>
      </c>
      <c r="F114" t="e">
        <f t="shared" si="61"/>
        <v>#NUM!</v>
      </c>
      <c r="G114" t="e">
        <f t="shared" si="62"/>
        <v>#NUM!</v>
      </c>
      <c r="H114" t="e">
        <f t="shared" si="63"/>
        <v>#NUM!</v>
      </c>
      <c r="J114" t="e">
        <f t="shared" si="64"/>
        <v>#NUM!</v>
      </c>
      <c r="K114" t="e">
        <f t="shared" si="65"/>
        <v>#NUM!</v>
      </c>
      <c r="L114" t="e">
        <f t="shared" si="66"/>
        <v>#NUM!</v>
      </c>
      <c r="M114" t="e">
        <f t="shared" si="67"/>
        <v>#NUM!</v>
      </c>
      <c r="N114" t="e">
        <f t="shared" si="68"/>
        <v>#NUM!</v>
      </c>
      <c r="O114" t="e">
        <f t="shared" si="69"/>
        <v>#NUM!</v>
      </c>
      <c r="P114" t="e">
        <f t="shared" si="70"/>
        <v>#NUM!</v>
      </c>
      <c r="Q114" t="e">
        <f t="shared" si="71"/>
        <v>#NUM!</v>
      </c>
      <c r="R114" t="e">
        <f t="shared" si="72"/>
        <v>#NUM!</v>
      </c>
      <c r="S114" t="e">
        <f t="shared" si="73"/>
        <v>#NUM!</v>
      </c>
      <c r="W114" t="e">
        <f t="shared" si="50"/>
        <v>#NUM!</v>
      </c>
      <c r="X114">
        <f t="shared" si="51"/>
        <v>61.570799515387513</v>
      </c>
      <c r="Y114">
        <f t="shared" si="52"/>
        <v>12</v>
      </c>
      <c r="Z114">
        <f t="shared" si="53"/>
        <v>-1.5707963267948966</v>
      </c>
      <c r="AA114" t="e">
        <f t="shared" si="54"/>
        <v>#NUM!</v>
      </c>
      <c r="AB114" t="e">
        <f t="shared" si="55"/>
        <v>#NUM!</v>
      </c>
      <c r="AC114" t="e">
        <f t="shared" si="56"/>
        <v>#NUM!</v>
      </c>
      <c r="AE114">
        <v>3.2153875902064446E-6</v>
      </c>
      <c r="AF114">
        <v>-59.999999999999922</v>
      </c>
      <c r="AH114" s="1">
        <v>108</v>
      </c>
      <c r="AI114" s="1">
        <f t="shared" si="74"/>
        <v>0</v>
      </c>
      <c r="AJ114" s="1">
        <f t="shared" si="74"/>
        <v>0</v>
      </c>
      <c r="AK114" s="2" t="e">
        <f t="shared" si="75"/>
        <v>#NUM!</v>
      </c>
      <c r="AL114" s="2" t="e">
        <f t="shared" si="75"/>
        <v>#NUM!</v>
      </c>
      <c r="AY114">
        <v>-25</v>
      </c>
      <c r="BP114">
        <v>30</v>
      </c>
    </row>
    <row r="115" spans="1:69" x14ac:dyDescent="0.25">
      <c r="A115">
        <v>109</v>
      </c>
      <c r="B115" t="e">
        <f t="shared" si="57"/>
        <v>#NUM!</v>
      </c>
      <c r="C115" t="e">
        <f t="shared" si="58"/>
        <v>#NUM!</v>
      </c>
      <c r="D115" t="e">
        <f t="shared" si="59"/>
        <v>#NUM!</v>
      </c>
      <c r="E115" t="e">
        <f t="shared" si="60"/>
        <v>#NUM!</v>
      </c>
      <c r="F115" t="e">
        <f t="shared" si="61"/>
        <v>#NUM!</v>
      </c>
      <c r="G115" t="e">
        <f t="shared" si="62"/>
        <v>#NUM!</v>
      </c>
      <c r="H115" t="e">
        <f t="shared" si="63"/>
        <v>#NUM!</v>
      </c>
      <c r="J115" t="e">
        <f t="shared" si="64"/>
        <v>#NUM!</v>
      </c>
      <c r="K115" t="e">
        <f t="shared" si="65"/>
        <v>#NUM!</v>
      </c>
      <c r="L115" t="e">
        <f t="shared" si="66"/>
        <v>#NUM!</v>
      </c>
      <c r="M115" t="e">
        <f t="shared" si="67"/>
        <v>#NUM!</v>
      </c>
      <c r="N115" t="e">
        <f t="shared" si="68"/>
        <v>#NUM!</v>
      </c>
      <c r="O115" t="e">
        <f t="shared" si="69"/>
        <v>#NUM!</v>
      </c>
      <c r="P115" t="e">
        <f t="shared" si="70"/>
        <v>#NUM!</v>
      </c>
      <c r="Q115" t="e">
        <f t="shared" si="71"/>
        <v>#NUM!</v>
      </c>
      <c r="R115" t="e">
        <f t="shared" si="72"/>
        <v>#NUM!</v>
      </c>
      <c r="S115" t="e">
        <f t="shared" si="73"/>
        <v>#NUM!</v>
      </c>
      <c r="W115" t="e">
        <f t="shared" si="50"/>
        <v>#NUM!</v>
      </c>
      <c r="X115">
        <f t="shared" si="51"/>
        <v>61.570799515387513</v>
      </c>
      <c r="Y115">
        <f t="shared" si="52"/>
        <v>12</v>
      </c>
      <c r="Z115">
        <f t="shared" si="53"/>
        <v>-1.5707963267948966</v>
      </c>
      <c r="AA115" t="e">
        <f t="shared" si="54"/>
        <v>#NUM!</v>
      </c>
      <c r="AB115" t="e">
        <f t="shared" si="55"/>
        <v>#NUM!</v>
      </c>
      <c r="AC115" t="e">
        <f t="shared" si="56"/>
        <v>#NUM!</v>
      </c>
      <c r="AE115">
        <v>3.2153875902064446E-6</v>
      </c>
      <c r="AF115">
        <v>-59.999999999999922</v>
      </c>
      <c r="AH115" s="1">
        <v>109</v>
      </c>
      <c r="AI115" s="1">
        <f t="shared" si="74"/>
        <v>0</v>
      </c>
      <c r="AJ115" s="1">
        <f t="shared" si="74"/>
        <v>0</v>
      </c>
      <c r="AK115" s="2" t="e">
        <f t="shared" si="75"/>
        <v>#NUM!</v>
      </c>
      <c r="AL115" s="2" t="e">
        <f t="shared" si="75"/>
        <v>#NUM!</v>
      </c>
      <c r="AY115">
        <v>-19.434156555154736</v>
      </c>
      <c r="BP115">
        <v>10.790070620957902</v>
      </c>
    </row>
    <row r="116" spans="1:69" x14ac:dyDescent="0.25">
      <c r="A116">
        <v>110</v>
      </c>
      <c r="B116" t="e">
        <f t="shared" si="57"/>
        <v>#NUM!</v>
      </c>
      <c r="C116" t="e">
        <f t="shared" si="58"/>
        <v>#NUM!</v>
      </c>
      <c r="D116" t="e">
        <f t="shared" si="59"/>
        <v>#NUM!</v>
      </c>
      <c r="E116" t="e">
        <f t="shared" si="60"/>
        <v>#NUM!</v>
      </c>
      <c r="F116" t="e">
        <f t="shared" si="61"/>
        <v>#NUM!</v>
      </c>
      <c r="G116" t="e">
        <f t="shared" si="62"/>
        <v>#NUM!</v>
      </c>
      <c r="H116" t="e">
        <f t="shared" si="63"/>
        <v>#NUM!</v>
      </c>
      <c r="J116" t="e">
        <f t="shared" si="64"/>
        <v>#NUM!</v>
      </c>
      <c r="K116" t="e">
        <f t="shared" si="65"/>
        <v>#NUM!</v>
      </c>
      <c r="L116" t="e">
        <f t="shared" si="66"/>
        <v>#NUM!</v>
      </c>
      <c r="M116" t="e">
        <f t="shared" si="67"/>
        <v>#NUM!</v>
      </c>
      <c r="N116" t="e">
        <f t="shared" si="68"/>
        <v>#NUM!</v>
      </c>
      <c r="O116" t="e">
        <f t="shared" si="69"/>
        <v>#NUM!</v>
      </c>
      <c r="P116" t="e">
        <f t="shared" si="70"/>
        <v>#NUM!</v>
      </c>
      <c r="Q116" t="e">
        <f t="shared" si="71"/>
        <v>#NUM!</v>
      </c>
      <c r="R116" t="e">
        <f t="shared" si="72"/>
        <v>#NUM!</v>
      </c>
      <c r="S116" t="e">
        <f t="shared" si="73"/>
        <v>#NUM!</v>
      </c>
      <c r="W116" t="e">
        <f t="shared" si="50"/>
        <v>#NUM!</v>
      </c>
      <c r="X116">
        <f t="shared" si="51"/>
        <v>61.570799515387513</v>
      </c>
      <c r="Y116">
        <f t="shared" si="52"/>
        <v>12</v>
      </c>
      <c r="Z116">
        <f t="shared" si="53"/>
        <v>-1.5707963267948966</v>
      </c>
      <c r="AA116" t="e">
        <f t="shared" si="54"/>
        <v>#NUM!</v>
      </c>
      <c r="AB116" t="e">
        <f t="shared" si="55"/>
        <v>#NUM!</v>
      </c>
      <c r="AC116" t="e">
        <f t="shared" si="56"/>
        <v>#NUM!</v>
      </c>
      <c r="AE116">
        <v>3.2153875902064446E-6</v>
      </c>
      <c r="AF116">
        <v>-59.999999999999922</v>
      </c>
      <c r="AH116" s="1">
        <v>110</v>
      </c>
      <c r="AI116" s="1">
        <f t="shared" si="74"/>
        <v>0</v>
      </c>
      <c r="AJ116" s="1">
        <f t="shared" si="74"/>
        <v>0</v>
      </c>
      <c r="AK116" s="2" t="e">
        <f t="shared" si="75"/>
        <v>#NUM!</v>
      </c>
      <c r="AL116" s="2" t="e">
        <f t="shared" si="75"/>
        <v>#NUM!</v>
      </c>
      <c r="AY116">
        <v>20.32293673094285</v>
      </c>
      <c r="BP116">
        <v>18.185948536513635</v>
      </c>
    </row>
    <row r="117" spans="1:69" x14ac:dyDescent="0.25">
      <c r="A117">
        <v>111</v>
      </c>
      <c r="B117" t="e">
        <f t="shared" si="57"/>
        <v>#NUM!</v>
      </c>
      <c r="C117" t="e">
        <f t="shared" si="58"/>
        <v>#NUM!</v>
      </c>
      <c r="D117" t="e">
        <f t="shared" si="59"/>
        <v>#NUM!</v>
      </c>
      <c r="E117" t="e">
        <f t="shared" si="60"/>
        <v>#NUM!</v>
      </c>
      <c r="F117" t="e">
        <f t="shared" si="61"/>
        <v>#NUM!</v>
      </c>
      <c r="G117" t="e">
        <f t="shared" si="62"/>
        <v>#NUM!</v>
      </c>
      <c r="H117" t="e">
        <f t="shared" si="63"/>
        <v>#NUM!</v>
      </c>
      <c r="J117" t="e">
        <f t="shared" si="64"/>
        <v>#NUM!</v>
      </c>
      <c r="K117" t="e">
        <f t="shared" si="65"/>
        <v>#NUM!</v>
      </c>
      <c r="L117" t="e">
        <f t="shared" si="66"/>
        <v>#NUM!</v>
      </c>
      <c r="M117" t="e">
        <f t="shared" si="67"/>
        <v>#NUM!</v>
      </c>
      <c r="N117" t="e">
        <f t="shared" si="68"/>
        <v>#NUM!</v>
      </c>
      <c r="O117" t="e">
        <f t="shared" si="69"/>
        <v>#NUM!</v>
      </c>
      <c r="P117" t="e">
        <f t="shared" si="70"/>
        <v>#NUM!</v>
      </c>
      <c r="Q117" t="e">
        <f t="shared" si="71"/>
        <v>#NUM!</v>
      </c>
      <c r="R117" t="e">
        <f t="shared" si="72"/>
        <v>#NUM!</v>
      </c>
      <c r="S117" t="e">
        <f t="shared" si="73"/>
        <v>#NUM!</v>
      </c>
      <c r="W117" t="e">
        <f t="shared" si="50"/>
        <v>#NUM!</v>
      </c>
      <c r="X117">
        <f t="shared" si="51"/>
        <v>61.570799515387513</v>
      </c>
      <c r="Y117">
        <f t="shared" si="52"/>
        <v>12</v>
      </c>
      <c r="Z117">
        <f t="shared" si="53"/>
        <v>-1.5707963267948966</v>
      </c>
      <c r="AA117" t="e">
        <f t="shared" si="54"/>
        <v>#NUM!</v>
      </c>
      <c r="AB117" t="e">
        <f t="shared" si="55"/>
        <v>#NUM!</v>
      </c>
      <c r="AC117" t="e">
        <f t="shared" si="56"/>
        <v>#NUM!</v>
      </c>
      <c r="AE117">
        <v>3.2153875902064446E-6</v>
      </c>
      <c r="AF117">
        <v>-59.999999999999922</v>
      </c>
      <c r="AH117" s="1">
        <v>111</v>
      </c>
      <c r="AI117" s="1">
        <f t="shared" si="74"/>
        <v>0</v>
      </c>
      <c r="AJ117" s="1">
        <f t="shared" si="74"/>
        <v>0</v>
      </c>
      <c r="AK117" s="2" t="e">
        <f t="shared" si="75"/>
        <v>#NUM!</v>
      </c>
      <c r="AL117" s="2" t="e">
        <f t="shared" si="75"/>
        <v>#NUM!</v>
      </c>
      <c r="AY117">
        <v>12</v>
      </c>
      <c r="BP117">
        <v>0</v>
      </c>
    </row>
    <row r="118" spans="1:69" x14ac:dyDescent="0.25">
      <c r="A118">
        <v>112</v>
      </c>
      <c r="B118" t="e">
        <f t="shared" si="57"/>
        <v>#NUM!</v>
      </c>
      <c r="C118" t="e">
        <f t="shared" si="58"/>
        <v>#NUM!</v>
      </c>
      <c r="D118" t="e">
        <f t="shared" si="59"/>
        <v>#NUM!</v>
      </c>
      <c r="E118" t="e">
        <f t="shared" si="60"/>
        <v>#NUM!</v>
      </c>
      <c r="F118" t="e">
        <f t="shared" si="61"/>
        <v>#NUM!</v>
      </c>
      <c r="G118" t="e">
        <f t="shared" si="62"/>
        <v>#NUM!</v>
      </c>
      <c r="H118" t="e">
        <f t="shared" si="63"/>
        <v>#NUM!</v>
      </c>
      <c r="J118" t="e">
        <f t="shared" si="64"/>
        <v>#NUM!</v>
      </c>
      <c r="K118" t="e">
        <f t="shared" si="65"/>
        <v>#NUM!</v>
      </c>
      <c r="L118" t="e">
        <f t="shared" si="66"/>
        <v>#NUM!</v>
      </c>
      <c r="M118" t="e">
        <f t="shared" si="67"/>
        <v>#NUM!</v>
      </c>
      <c r="N118" t="e">
        <f t="shared" si="68"/>
        <v>#NUM!</v>
      </c>
      <c r="O118" t="e">
        <f t="shared" si="69"/>
        <v>#NUM!</v>
      </c>
      <c r="P118" t="e">
        <f t="shared" si="70"/>
        <v>#NUM!</v>
      </c>
      <c r="Q118" t="e">
        <f t="shared" si="71"/>
        <v>#NUM!</v>
      </c>
      <c r="R118" t="e">
        <f t="shared" si="72"/>
        <v>#NUM!</v>
      </c>
      <c r="S118" t="e">
        <f t="shared" si="73"/>
        <v>#NUM!</v>
      </c>
      <c r="W118" t="e">
        <f t="shared" si="50"/>
        <v>#NUM!</v>
      </c>
      <c r="X118">
        <f t="shared" si="51"/>
        <v>61.570799515387513</v>
      </c>
      <c r="Y118">
        <f t="shared" si="52"/>
        <v>12</v>
      </c>
      <c r="Z118">
        <f t="shared" si="53"/>
        <v>-1.5707963267948966</v>
      </c>
      <c r="AA118" t="e">
        <f t="shared" si="54"/>
        <v>#NUM!</v>
      </c>
      <c r="AB118" t="e">
        <f t="shared" si="55"/>
        <v>#NUM!</v>
      </c>
      <c r="AC118" t="e">
        <f t="shared" si="56"/>
        <v>#NUM!</v>
      </c>
      <c r="AE118">
        <v>3.2153875902064446E-6</v>
      </c>
      <c r="AF118">
        <v>-59.999999999999922</v>
      </c>
      <c r="AH118" s="1">
        <v>112</v>
      </c>
      <c r="AI118" s="1">
        <f t="shared" si="74"/>
        <v>0</v>
      </c>
      <c r="AJ118" s="1">
        <f t="shared" si="74"/>
        <v>0</v>
      </c>
      <c r="AK118" s="2" t="e">
        <f t="shared" si="75"/>
        <v>#NUM!</v>
      </c>
      <c r="AL118" s="2" t="e">
        <f t="shared" si="75"/>
        <v>#NUM!</v>
      </c>
      <c r="AY118">
        <v>60</v>
      </c>
      <c r="BQ118">
        <v>0</v>
      </c>
    </row>
    <row r="119" spans="1:69" x14ac:dyDescent="0.25">
      <c r="A119">
        <v>113</v>
      </c>
      <c r="B119" t="e">
        <f t="shared" si="57"/>
        <v>#NUM!</v>
      </c>
      <c r="C119" t="e">
        <f t="shared" si="58"/>
        <v>#NUM!</v>
      </c>
      <c r="D119" t="e">
        <f t="shared" si="59"/>
        <v>#NUM!</v>
      </c>
      <c r="E119" t="e">
        <f t="shared" si="60"/>
        <v>#NUM!</v>
      </c>
      <c r="F119" t="e">
        <f t="shared" si="61"/>
        <v>#NUM!</v>
      </c>
      <c r="G119" t="e">
        <f t="shared" si="62"/>
        <v>#NUM!</v>
      </c>
      <c r="H119" t="e">
        <f t="shared" si="63"/>
        <v>#NUM!</v>
      </c>
      <c r="J119" t="e">
        <f t="shared" si="64"/>
        <v>#NUM!</v>
      </c>
      <c r="K119" t="e">
        <f t="shared" si="65"/>
        <v>#NUM!</v>
      </c>
      <c r="L119" t="e">
        <f t="shared" si="66"/>
        <v>#NUM!</v>
      </c>
      <c r="M119" t="e">
        <f t="shared" si="67"/>
        <v>#NUM!</v>
      </c>
      <c r="N119" t="e">
        <f t="shared" si="68"/>
        <v>#NUM!</v>
      </c>
      <c r="O119" t="e">
        <f t="shared" si="69"/>
        <v>#NUM!</v>
      </c>
      <c r="P119" t="e">
        <f t="shared" si="70"/>
        <v>#NUM!</v>
      </c>
      <c r="Q119" t="e">
        <f t="shared" si="71"/>
        <v>#NUM!</v>
      </c>
      <c r="R119" t="e">
        <f t="shared" si="72"/>
        <v>#NUM!</v>
      </c>
      <c r="S119" t="e">
        <f t="shared" si="73"/>
        <v>#NUM!</v>
      </c>
      <c r="W119" t="e">
        <f t="shared" si="50"/>
        <v>#NUM!</v>
      </c>
      <c r="X119">
        <f t="shared" si="51"/>
        <v>61.570799515387513</v>
      </c>
      <c r="Y119">
        <f t="shared" si="52"/>
        <v>12</v>
      </c>
      <c r="Z119">
        <f t="shared" si="53"/>
        <v>-1.5707963267948966</v>
      </c>
      <c r="AA119" t="e">
        <f t="shared" si="54"/>
        <v>#NUM!</v>
      </c>
      <c r="AB119" t="e">
        <f t="shared" si="55"/>
        <v>#NUM!</v>
      </c>
      <c r="AC119" t="e">
        <f t="shared" si="56"/>
        <v>#NUM!</v>
      </c>
      <c r="AE119">
        <v>3.2153875902064446E-6</v>
      </c>
      <c r="AF119">
        <v>-59.999999999999922</v>
      </c>
      <c r="AH119" s="1">
        <v>113</v>
      </c>
      <c r="AI119" s="1">
        <f t="shared" si="74"/>
        <v>0</v>
      </c>
      <c r="AJ119" s="1">
        <f t="shared" si="74"/>
        <v>0</v>
      </c>
      <c r="AK119" s="2" t="e">
        <f t="shared" si="75"/>
        <v>#NUM!</v>
      </c>
      <c r="AL119" s="2" t="e">
        <f t="shared" si="75"/>
        <v>#NUM!</v>
      </c>
      <c r="AY119">
        <v>59.977621104822219</v>
      </c>
      <c r="BQ119">
        <v>1.795009774528026</v>
      </c>
    </row>
    <row r="120" spans="1:69" x14ac:dyDescent="0.25">
      <c r="A120">
        <v>114</v>
      </c>
      <c r="B120" t="e">
        <f t="shared" si="57"/>
        <v>#NUM!</v>
      </c>
      <c r="C120" t="e">
        <f t="shared" si="58"/>
        <v>#NUM!</v>
      </c>
      <c r="D120" t="e">
        <f t="shared" si="59"/>
        <v>#NUM!</v>
      </c>
      <c r="E120" t="e">
        <f t="shared" si="60"/>
        <v>#NUM!</v>
      </c>
      <c r="F120" t="e">
        <f t="shared" si="61"/>
        <v>#NUM!</v>
      </c>
      <c r="G120" t="e">
        <f t="shared" si="62"/>
        <v>#NUM!</v>
      </c>
      <c r="H120" t="e">
        <f t="shared" si="63"/>
        <v>#NUM!</v>
      </c>
      <c r="J120" t="e">
        <f t="shared" si="64"/>
        <v>#NUM!</v>
      </c>
      <c r="K120" t="e">
        <f t="shared" si="65"/>
        <v>#NUM!</v>
      </c>
      <c r="L120" t="e">
        <f t="shared" si="66"/>
        <v>#NUM!</v>
      </c>
      <c r="M120" t="e">
        <f t="shared" si="67"/>
        <v>#NUM!</v>
      </c>
      <c r="N120" t="e">
        <f t="shared" si="68"/>
        <v>#NUM!</v>
      </c>
      <c r="O120" t="e">
        <f t="shared" si="69"/>
        <v>#NUM!</v>
      </c>
      <c r="P120" t="e">
        <f t="shared" si="70"/>
        <v>#NUM!</v>
      </c>
      <c r="Q120" t="e">
        <f t="shared" si="71"/>
        <v>#NUM!</v>
      </c>
      <c r="R120" t="e">
        <f t="shared" si="72"/>
        <v>#NUM!</v>
      </c>
      <c r="S120" t="e">
        <f t="shared" si="73"/>
        <v>#NUM!</v>
      </c>
      <c r="W120" t="e">
        <f t="shared" si="50"/>
        <v>#NUM!</v>
      </c>
      <c r="X120">
        <f t="shared" si="51"/>
        <v>61.570799515387513</v>
      </c>
      <c r="Y120">
        <f t="shared" si="52"/>
        <v>12</v>
      </c>
      <c r="Z120">
        <f t="shared" si="53"/>
        <v>-1.5707963267948966</v>
      </c>
      <c r="AA120" t="e">
        <f t="shared" si="54"/>
        <v>#NUM!</v>
      </c>
      <c r="AB120" t="e">
        <f t="shared" si="55"/>
        <v>#NUM!</v>
      </c>
      <c r="AC120" t="e">
        <f t="shared" si="56"/>
        <v>#NUM!</v>
      </c>
      <c r="AE120">
        <v>3.2153875902064446E-6</v>
      </c>
      <c r="AF120">
        <v>-59.999999999999922</v>
      </c>
      <c r="AH120" s="1">
        <v>114</v>
      </c>
      <c r="AI120" s="1">
        <f t="shared" si="74"/>
        <v>0</v>
      </c>
      <c r="AJ120" s="1">
        <f t="shared" si="74"/>
        <v>0</v>
      </c>
      <c r="AK120" s="2" t="e">
        <f t="shared" si="75"/>
        <v>#NUM!</v>
      </c>
      <c r="AL120" s="2" t="e">
        <f t="shared" si="75"/>
        <v>#NUM!</v>
      </c>
      <c r="AY120">
        <v>59.910498330815244</v>
      </c>
      <c r="BQ120">
        <v>3.5889037064008509</v>
      </c>
    </row>
    <row r="121" spans="1:69" x14ac:dyDescent="0.25">
      <c r="A121">
        <v>115</v>
      </c>
      <c r="B121" t="e">
        <f t="shared" si="57"/>
        <v>#NUM!</v>
      </c>
      <c r="C121" t="e">
        <f t="shared" si="58"/>
        <v>#NUM!</v>
      </c>
      <c r="D121" t="e">
        <f t="shared" si="59"/>
        <v>#NUM!</v>
      </c>
      <c r="E121" t="e">
        <f t="shared" si="60"/>
        <v>#NUM!</v>
      </c>
      <c r="F121" t="e">
        <f t="shared" si="61"/>
        <v>#NUM!</v>
      </c>
      <c r="G121" t="e">
        <f t="shared" si="62"/>
        <v>#NUM!</v>
      </c>
      <c r="H121" t="e">
        <f t="shared" si="63"/>
        <v>#NUM!</v>
      </c>
      <c r="J121" t="e">
        <f t="shared" si="64"/>
        <v>#NUM!</v>
      </c>
      <c r="K121" t="e">
        <f t="shared" si="65"/>
        <v>#NUM!</v>
      </c>
      <c r="L121" t="e">
        <f t="shared" si="66"/>
        <v>#NUM!</v>
      </c>
      <c r="M121" t="e">
        <f t="shared" si="67"/>
        <v>#NUM!</v>
      </c>
      <c r="N121" t="e">
        <f t="shared" si="68"/>
        <v>#NUM!</v>
      </c>
      <c r="O121" t="e">
        <f t="shared" si="69"/>
        <v>#NUM!</v>
      </c>
      <c r="P121" t="e">
        <f t="shared" si="70"/>
        <v>#NUM!</v>
      </c>
      <c r="Q121" t="e">
        <f t="shared" si="71"/>
        <v>#NUM!</v>
      </c>
      <c r="R121" t="e">
        <f t="shared" si="72"/>
        <v>#NUM!</v>
      </c>
      <c r="S121" t="e">
        <f t="shared" si="73"/>
        <v>#NUM!</v>
      </c>
      <c r="W121" t="e">
        <f t="shared" si="50"/>
        <v>#NUM!</v>
      </c>
      <c r="X121">
        <f t="shared" si="51"/>
        <v>61.570799515387513</v>
      </c>
      <c r="Y121">
        <f t="shared" si="52"/>
        <v>12</v>
      </c>
      <c r="Z121">
        <f t="shared" si="53"/>
        <v>-1.5707963267948966</v>
      </c>
      <c r="AA121" t="e">
        <f t="shared" si="54"/>
        <v>#NUM!</v>
      </c>
      <c r="AB121" t="e">
        <f t="shared" si="55"/>
        <v>#NUM!</v>
      </c>
      <c r="AC121" t="e">
        <f t="shared" si="56"/>
        <v>#NUM!</v>
      </c>
      <c r="AE121">
        <v>3.2153875902064446E-6</v>
      </c>
      <c r="AF121">
        <v>-59.999999999999922</v>
      </c>
      <c r="AH121" s="1">
        <v>115</v>
      </c>
      <c r="AI121" s="1">
        <f t="shared" si="74"/>
        <v>0</v>
      </c>
      <c r="AJ121" s="1">
        <f t="shared" si="74"/>
        <v>0</v>
      </c>
      <c r="AK121" s="2" t="e">
        <f t="shared" si="75"/>
        <v>#NUM!</v>
      </c>
      <c r="AL121" s="2" t="e">
        <f t="shared" si="75"/>
        <v>#NUM!</v>
      </c>
      <c r="AY121">
        <v>59.7986734039103</v>
      </c>
      <c r="BQ121">
        <v>5.3805666466112125</v>
      </c>
    </row>
    <row r="122" spans="1:69" x14ac:dyDescent="0.25">
      <c r="A122">
        <v>116</v>
      </c>
      <c r="B122" t="e">
        <f t="shared" si="57"/>
        <v>#NUM!</v>
      </c>
      <c r="C122" t="e">
        <f t="shared" si="58"/>
        <v>#NUM!</v>
      </c>
      <c r="D122" t="e">
        <f t="shared" si="59"/>
        <v>#NUM!</v>
      </c>
      <c r="E122" t="e">
        <f t="shared" si="60"/>
        <v>#NUM!</v>
      </c>
      <c r="F122" t="e">
        <f t="shared" si="61"/>
        <v>#NUM!</v>
      </c>
      <c r="G122" t="e">
        <f t="shared" si="62"/>
        <v>#NUM!</v>
      </c>
      <c r="H122" t="e">
        <f t="shared" si="63"/>
        <v>#NUM!</v>
      </c>
      <c r="J122" t="e">
        <f t="shared" si="64"/>
        <v>#NUM!</v>
      </c>
      <c r="K122" t="e">
        <f t="shared" si="65"/>
        <v>#NUM!</v>
      </c>
      <c r="L122" t="e">
        <f t="shared" si="66"/>
        <v>#NUM!</v>
      </c>
      <c r="M122" t="e">
        <f t="shared" si="67"/>
        <v>#NUM!</v>
      </c>
      <c r="N122" t="e">
        <f t="shared" si="68"/>
        <v>#NUM!</v>
      </c>
      <c r="O122" t="e">
        <f t="shared" si="69"/>
        <v>#NUM!</v>
      </c>
      <c r="P122" t="e">
        <f t="shared" si="70"/>
        <v>#NUM!</v>
      </c>
      <c r="Q122" t="e">
        <f t="shared" si="71"/>
        <v>#NUM!</v>
      </c>
      <c r="R122" t="e">
        <f t="shared" si="72"/>
        <v>#NUM!</v>
      </c>
      <c r="S122" t="e">
        <f t="shared" si="73"/>
        <v>#NUM!</v>
      </c>
      <c r="W122" t="e">
        <f t="shared" si="50"/>
        <v>#NUM!</v>
      </c>
      <c r="X122">
        <f t="shared" si="51"/>
        <v>61.570799515387513</v>
      </c>
      <c r="Y122">
        <f t="shared" si="52"/>
        <v>12</v>
      </c>
      <c r="Z122">
        <f t="shared" si="53"/>
        <v>-1.5707963267948966</v>
      </c>
      <c r="AA122" t="e">
        <f t="shared" si="54"/>
        <v>#NUM!</v>
      </c>
      <c r="AB122" t="e">
        <f t="shared" si="55"/>
        <v>#NUM!</v>
      </c>
      <c r="AC122" t="e">
        <f t="shared" si="56"/>
        <v>#NUM!</v>
      </c>
      <c r="AE122">
        <v>3.2153875902064446E-6</v>
      </c>
      <c r="AF122">
        <v>-59.999999999999922</v>
      </c>
      <c r="AH122" s="1">
        <v>116</v>
      </c>
      <c r="AI122" s="1">
        <f t="shared" si="74"/>
        <v>0</v>
      </c>
      <c r="AJ122" s="1">
        <f t="shared" si="74"/>
        <v>0</v>
      </c>
      <c r="AK122" s="2" t="e">
        <f t="shared" si="75"/>
        <v>#NUM!</v>
      </c>
      <c r="AL122" s="2" t="e">
        <f t="shared" si="75"/>
        <v>#NUM!</v>
      </c>
      <c r="AY122">
        <v>59.642215838505066</v>
      </c>
      <c r="BQ122">
        <v>7.168884833016528</v>
      </c>
    </row>
    <row r="123" spans="1:69" x14ac:dyDescent="0.25">
      <c r="A123">
        <v>117</v>
      </c>
      <c r="B123" t="e">
        <f t="shared" si="57"/>
        <v>#NUM!</v>
      </c>
      <c r="C123" t="e">
        <f t="shared" si="58"/>
        <v>#NUM!</v>
      </c>
      <c r="D123" t="e">
        <f t="shared" si="59"/>
        <v>#NUM!</v>
      </c>
      <c r="E123" t="e">
        <f t="shared" si="60"/>
        <v>#NUM!</v>
      </c>
      <c r="F123" t="e">
        <f t="shared" si="61"/>
        <v>#NUM!</v>
      </c>
      <c r="G123" t="e">
        <f t="shared" si="62"/>
        <v>#NUM!</v>
      </c>
      <c r="H123" t="e">
        <f t="shared" si="63"/>
        <v>#NUM!</v>
      </c>
      <c r="J123" t="e">
        <f t="shared" si="64"/>
        <v>#NUM!</v>
      </c>
      <c r="K123" t="e">
        <f t="shared" si="65"/>
        <v>#NUM!</v>
      </c>
      <c r="L123" t="e">
        <f t="shared" si="66"/>
        <v>#NUM!</v>
      </c>
      <c r="M123" t="e">
        <f t="shared" si="67"/>
        <v>#NUM!</v>
      </c>
      <c r="N123" t="e">
        <f t="shared" si="68"/>
        <v>#NUM!</v>
      </c>
      <c r="O123" t="e">
        <f t="shared" si="69"/>
        <v>#NUM!</v>
      </c>
      <c r="P123" t="e">
        <f t="shared" si="70"/>
        <v>#NUM!</v>
      </c>
      <c r="Q123" t="e">
        <f t="shared" si="71"/>
        <v>#NUM!</v>
      </c>
      <c r="R123" t="e">
        <f t="shared" si="72"/>
        <v>#NUM!</v>
      </c>
      <c r="S123" t="e">
        <f t="shared" si="73"/>
        <v>#NUM!</v>
      </c>
      <c r="W123" t="e">
        <f t="shared" si="50"/>
        <v>#NUM!</v>
      </c>
      <c r="X123">
        <f t="shared" si="51"/>
        <v>61.570799515387513</v>
      </c>
      <c r="Y123">
        <f t="shared" si="52"/>
        <v>12</v>
      </c>
      <c r="Z123">
        <f t="shared" si="53"/>
        <v>-1.5707963267948966</v>
      </c>
      <c r="AA123" t="e">
        <f t="shared" si="54"/>
        <v>#NUM!</v>
      </c>
      <c r="AB123" t="e">
        <f t="shared" si="55"/>
        <v>#NUM!</v>
      </c>
      <c r="AC123" t="e">
        <f t="shared" si="56"/>
        <v>#NUM!</v>
      </c>
      <c r="AE123">
        <v>3.2153875902064446E-6</v>
      </c>
      <c r="AF123">
        <v>-59.999999999999922</v>
      </c>
      <c r="AH123" s="1">
        <v>117</v>
      </c>
      <c r="AI123" s="1">
        <f t="shared" si="74"/>
        <v>0</v>
      </c>
      <c r="AJ123" s="1">
        <f t="shared" si="74"/>
        <v>0</v>
      </c>
      <c r="AK123" s="2" t="e">
        <f t="shared" si="75"/>
        <v>#NUM!</v>
      </c>
      <c r="AL123" s="2" t="e">
        <f t="shared" si="75"/>
        <v>#NUM!</v>
      </c>
      <c r="AY123">
        <v>59.441222894251112</v>
      </c>
      <c r="BQ123">
        <v>8.9527465826935213</v>
      </c>
    </row>
    <row r="124" spans="1:69" x14ac:dyDescent="0.25">
      <c r="A124">
        <v>118</v>
      </c>
      <c r="B124" t="e">
        <f t="shared" si="57"/>
        <v>#NUM!</v>
      </c>
      <c r="C124" t="e">
        <f t="shared" si="58"/>
        <v>#NUM!</v>
      </c>
      <c r="D124" t="e">
        <f t="shared" si="59"/>
        <v>#NUM!</v>
      </c>
      <c r="E124" t="e">
        <f t="shared" si="60"/>
        <v>#NUM!</v>
      </c>
      <c r="F124" t="e">
        <f t="shared" si="61"/>
        <v>#NUM!</v>
      </c>
      <c r="G124" t="e">
        <f t="shared" si="62"/>
        <v>#NUM!</v>
      </c>
      <c r="H124" t="e">
        <f t="shared" si="63"/>
        <v>#NUM!</v>
      </c>
      <c r="J124" t="e">
        <f t="shared" si="64"/>
        <v>#NUM!</v>
      </c>
      <c r="K124" t="e">
        <f t="shared" si="65"/>
        <v>#NUM!</v>
      </c>
      <c r="L124" t="e">
        <f t="shared" si="66"/>
        <v>#NUM!</v>
      </c>
      <c r="M124" t="e">
        <f t="shared" si="67"/>
        <v>#NUM!</v>
      </c>
      <c r="N124" t="e">
        <f t="shared" si="68"/>
        <v>#NUM!</v>
      </c>
      <c r="O124" t="e">
        <f t="shared" si="69"/>
        <v>#NUM!</v>
      </c>
      <c r="P124" t="e">
        <f t="shared" si="70"/>
        <v>#NUM!</v>
      </c>
      <c r="Q124" t="e">
        <f t="shared" si="71"/>
        <v>#NUM!</v>
      </c>
      <c r="R124" t="e">
        <f t="shared" si="72"/>
        <v>#NUM!</v>
      </c>
      <c r="S124" t="e">
        <f t="shared" si="73"/>
        <v>#NUM!</v>
      </c>
      <c r="W124" t="e">
        <f t="shared" si="50"/>
        <v>#NUM!</v>
      </c>
      <c r="X124">
        <f t="shared" si="51"/>
        <v>61.570799515387513</v>
      </c>
      <c r="Y124">
        <f t="shared" si="52"/>
        <v>12</v>
      </c>
      <c r="Z124">
        <f t="shared" si="53"/>
        <v>-1.5707963267948966</v>
      </c>
      <c r="AA124" t="e">
        <f t="shared" si="54"/>
        <v>#NUM!</v>
      </c>
      <c r="AB124" t="e">
        <f t="shared" si="55"/>
        <v>#NUM!</v>
      </c>
      <c r="AC124" t="e">
        <f t="shared" si="56"/>
        <v>#NUM!</v>
      </c>
      <c r="AE124">
        <v>3.2153875902064446E-6</v>
      </c>
      <c r="AF124">
        <v>-59.999999999999922</v>
      </c>
      <c r="AH124" s="1">
        <v>118</v>
      </c>
      <c r="AI124" s="1">
        <f t="shared" si="74"/>
        <v>0</v>
      </c>
      <c r="AJ124" s="1">
        <f t="shared" si="74"/>
        <v>0</v>
      </c>
      <c r="AK124" s="2" t="e">
        <f t="shared" si="75"/>
        <v>#NUM!</v>
      </c>
      <c r="AL124" s="2" t="e">
        <f t="shared" si="75"/>
        <v>#NUM!</v>
      </c>
      <c r="AY124">
        <v>59.195819515593755</v>
      </c>
      <c r="BQ124">
        <v>10.731042983000313</v>
      </c>
    </row>
    <row r="125" spans="1:69" x14ac:dyDescent="0.25">
      <c r="A125">
        <v>119</v>
      </c>
      <c r="B125" t="e">
        <f t="shared" si="57"/>
        <v>#NUM!</v>
      </c>
      <c r="C125" t="e">
        <f t="shared" si="58"/>
        <v>#NUM!</v>
      </c>
      <c r="D125" t="e">
        <f t="shared" si="59"/>
        <v>#NUM!</v>
      </c>
      <c r="E125" t="e">
        <f t="shared" si="60"/>
        <v>#NUM!</v>
      </c>
      <c r="F125" t="e">
        <f t="shared" si="61"/>
        <v>#NUM!</v>
      </c>
      <c r="G125" t="e">
        <f t="shared" si="62"/>
        <v>#NUM!</v>
      </c>
      <c r="H125" t="e">
        <f t="shared" si="63"/>
        <v>#NUM!</v>
      </c>
      <c r="J125" t="e">
        <f t="shared" si="64"/>
        <v>#NUM!</v>
      </c>
      <c r="K125" t="e">
        <f t="shared" si="65"/>
        <v>#NUM!</v>
      </c>
      <c r="L125" t="e">
        <f t="shared" si="66"/>
        <v>#NUM!</v>
      </c>
      <c r="M125" t="e">
        <f t="shared" si="67"/>
        <v>#NUM!</v>
      </c>
      <c r="N125" t="e">
        <f t="shared" si="68"/>
        <v>#NUM!</v>
      </c>
      <c r="O125" t="e">
        <f t="shared" si="69"/>
        <v>#NUM!</v>
      </c>
      <c r="P125" t="e">
        <f t="shared" si="70"/>
        <v>#NUM!</v>
      </c>
      <c r="Q125" t="e">
        <f t="shared" si="71"/>
        <v>#NUM!</v>
      </c>
      <c r="R125" t="e">
        <f t="shared" si="72"/>
        <v>#NUM!</v>
      </c>
      <c r="S125" t="e">
        <f t="shared" si="73"/>
        <v>#NUM!</v>
      </c>
      <c r="W125" t="e">
        <f t="shared" si="50"/>
        <v>#NUM!</v>
      </c>
      <c r="X125">
        <f t="shared" si="51"/>
        <v>61.570799515387513</v>
      </c>
      <c r="Y125">
        <f t="shared" si="52"/>
        <v>12</v>
      </c>
      <c r="Z125">
        <f t="shared" si="53"/>
        <v>-1.5707963267948966</v>
      </c>
      <c r="AA125" t="e">
        <f t="shared" si="54"/>
        <v>#NUM!</v>
      </c>
      <c r="AB125" t="e">
        <f t="shared" si="55"/>
        <v>#NUM!</v>
      </c>
      <c r="AC125" t="e">
        <f t="shared" si="56"/>
        <v>#NUM!</v>
      </c>
      <c r="AE125">
        <v>3.2153875902064446E-6</v>
      </c>
      <c r="AF125">
        <v>-59.999999999999922</v>
      </c>
      <c r="AH125" s="1">
        <v>119</v>
      </c>
      <c r="AI125" s="1">
        <f t="shared" si="74"/>
        <v>0</v>
      </c>
      <c r="AJ125" s="1">
        <f t="shared" si="74"/>
        <v>0</v>
      </c>
      <c r="AK125" s="2" t="e">
        <f t="shared" si="75"/>
        <v>#NUM!</v>
      </c>
      <c r="AL125" s="2" t="e">
        <f t="shared" si="75"/>
        <v>#NUM!</v>
      </c>
      <c r="AY125">
        <v>58.906158254102053</v>
      </c>
      <c r="BQ125">
        <v>12.50266858091641</v>
      </c>
    </row>
    <row r="126" spans="1:69" x14ac:dyDescent="0.25">
      <c r="A126">
        <v>120</v>
      </c>
      <c r="B126" t="e">
        <f t="shared" si="57"/>
        <v>#NUM!</v>
      </c>
      <c r="C126" t="e">
        <f t="shared" si="58"/>
        <v>#NUM!</v>
      </c>
      <c r="D126" t="e">
        <f t="shared" si="59"/>
        <v>#NUM!</v>
      </c>
      <c r="E126" t="e">
        <f t="shared" si="60"/>
        <v>#NUM!</v>
      </c>
      <c r="F126" t="e">
        <f t="shared" si="61"/>
        <v>#NUM!</v>
      </c>
      <c r="G126" t="e">
        <f t="shared" si="62"/>
        <v>#NUM!</v>
      </c>
      <c r="H126" t="e">
        <f t="shared" si="63"/>
        <v>#NUM!</v>
      </c>
      <c r="J126" t="e">
        <f t="shared" si="64"/>
        <v>#NUM!</v>
      </c>
      <c r="K126" t="e">
        <f t="shared" si="65"/>
        <v>#NUM!</v>
      </c>
      <c r="L126" t="e">
        <f t="shared" si="66"/>
        <v>#NUM!</v>
      </c>
      <c r="M126" t="e">
        <f t="shared" si="67"/>
        <v>#NUM!</v>
      </c>
      <c r="N126" t="e">
        <f t="shared" si="68"/>
        <v>#NUM!</v>
      </c>
      <c r="O126" t="e">
        <f t="shared" si="69"/>
        <v>#NUM!</v>
      </c>
      <c r="P126" t="e">
        <f t="shared" si="70"/>
        <v>#NUM!</v>
      </c>
      <c r="Q126" t="e">
        <f t="shared" si="71"/>
        <v>#NUM!</v>
      </c>
      <c r="R126" t="e">
        <f t="shared" si="72"/>
        <v>#NUM!</v>
      </c>
      <c r="S126" t="e">
        <f t="shared" si="73"/>
        <v>#NUM!</v>
      </c>
      <c r="W126" t="e">
        <f t="shared" si="50"/>
        <v>#NUM!</v>
      </c>
      <c r="X126">
        <f t="shared" si="51"/>
        <v>61.570799515387513</v>
      </c>
      <c r="Y126">
        <f t="shared" si="52"/>
        <v>12</v>
      </c>
      <c r="Z126">
        <f t="shared" si="53"/>
        <v>-1.5707963267948966</v>
      </c>
      <c r="AA126" t="e">
        <f t="shared" si="54"/>
        <v>#NUM!</v>
      </c>
      <c r="AB126" t="e">
        <f t="shared" si="55"/>
        <v>#NUM!</v>
      </c>
      <c r="AC126" t="e">
        <f t="shared" si="56"/>
        <v>#NUM!</v>
      </c>
      <c r="AE126">
        <v>3.2153875902064446E-6</v>
      </c>
      <c r="AF126">
        <v>-59.999999999999922</v>
      </c>
      <c r="AH126" s="1">
        <v>120</v>
      </c>
      <c r="AI126" s="1">
        <f t="shared" si="74"/>
        <v>0</v>
      </c>
      <c r="AJ126" s="1">
        <f t="shared" si="74"/>
        <v>0</v>
      </c>
      <c r="AK126" s="2" t="e">
        <f t="shared" si="75"/>
        <v>#NUM!</v>
      </c>
      <c r="AL126" s="2" t="e">
        <f t="shared" si="75"/>
        <v>#NUM!</v>
      </c>
      <c r="AY126">
        <v>58.572419173637371</v>
      </c>
      <c r="BQ126">
        <v>14.266522070232096</v>
      </c>
    </row>
    <row r="127" spans="1:69" x14ac:dyDescent="0.25">
      <c r="A127">
        <v>121</v>
      </c>
      <c r="B127" t="e">
        <f t="shared" si="57"/>
        <v>#NUM!</v>
      </c>
      <c r="C127" t="e">
        <f t="shared" si="58"/>
        <v>#NUM!</v>
      </c>
      <c r="D127" t="e">
        <f t="shared" si="59"/>
        <v>#NUM!</v>
      </c>
      <c r="E127" t="e">
        <f t="shared" si="60"/>
        <v>#NUM!</v>
      </c>
      <c r="F127" t="e">
        <f t="shared" si="61"/>
        <v>#NUM!</v>
      </c>
      <c r="G127" t="e">
        <f t="shared" si="62"/>
        <v>#NUM!</v>
      </c>
      <c r="H127" t="e">
        <f t="shared" si="63"/>
        <v>#NUM!</v>
      </c>
      <c r="J127" t="e">
        <f t="shared" si="64"/>
        <v>#NUM!</v>
      </c>
      <c r="K127" t="e">
        <f t="shared" si="65"/>
        <v>#NUM!</v>
      </c>
      <c r="L127" t="e">
        <f t="shared" si="66"/>
        <v>#NUM!</v>
      </c>
      <c r="M127" t="e">
        <f t="shared" si="67"/>
        <v>#NUM!</v>
      </c>
      <c r="N127" t="e">
        <f t="shared" si="68"/>
        <v>#NUM!</v>
      </c>
      <c r="O127" t="e">
        <f t="shared" si="69"/>
        <v>#NUM!</v>
      </c>
      <c r="P127" t="e">
        <f t="shared" si="70"/>
        <v>#NUM!</v>
      </c>
      <c r="Q127" t="e">
        <f t="shared" si="71"/>
        <v>#NUM!</v>
      </c>
      <c r="R127" t="e">
        <f t="shared" si="72"/>
        <v>#NUM!</v>
      </c>
      <c r="S127" t="e">
        <f t="shared" si="73"/>
        <v>#NUM!</v>
      </c>
      <c r="W127" t="e">
        <f t="shared" si="50"/>
        <v>#NUM!</v>
      </c>
      <c r="X127">
        <f t="shared" si="51"/>
        <v>61.570799515387513</v>
      </c>
      <c r="Y127">
        <f t="shared" si="52"/>
        <v>12</v>
      </c>
      <c r="Z127">
        <f t="shared" si="53"/>
        <v>-1.5707963267948966</v>
      </c>
      <c r="AA127" t="e">
        <f t="shared" si="54"/>
        <v>#NUM!</v>
      </c>
      <c r="AB127" t="e">
        <f t="shared" si="55"/>
        <v>#NUM!</v>
      </c>
      <c r="AC127" t="e">
        <f t="shared" si="56"/>
        <v>#NUM!</v>
      </c>
      <c r="AE127">
        <v>3.2153875902064446E-6</v>
      </c>
      <c r="AF127">
        <v>-59.999999999999922</v>
      </c>
      <c r="AH127" s="1">
        <v>121</v>
      </c>
      <c r="AI127" s="1">
        <f t="shared" si="74"/>
        <v>0</v>
      </c>
      <c r="AJ127" s="1">
        <f t="shared" si="74"/>
        <v>0</v>
      </c>
      <c r="AK127" s="2" t="e">
        <f t="shared" si="75"/>
        <v>#NUM!</v>
      </c>
      <c r="AL127" s="2" t="e">
        <f t="shared" si="75"/>
        <v>#NUM!</v>
      </c>
      <c r="AY127">
        <v>58.19480973841911</v>
      </c>
      <c r="BQ127">
        <v>16.021506976159969</v>
      </c>
    </row>
    <row r="128" spans="1:69" x14ac:dyDescent="0.25">
      <c r="A128">
        <v>122</v>
      </c>
      <c r="B128" t="e">
        <f t="shared" si="57"/>
        <v>#NUM!</v>
      </c>
      <c r="C128" t="e">
        <f t="shared" si="58"/>
        <v>#NUM!</v>
      </c>
      <c r="D128" t="e">
        <f t="shared" si="59"/>
        <v>#NUM!</v>
      </c>
      <c r="E128" t="e">
        <f t="shared" si="60"/>
        <v>#NUM!</v>
      </c>
      <c r="F128" t="e">
        <f t="shared" si="61"/>
        <v>#NUM!</v>
      </c>
      <c r="G128" t="e">
        <f t="shared" si="62"/>
        <v>#NUM!</v>
      </c>
      <c r="H128" t="e">
        <f t="shared" si="63"/>
        <v>#NUM!</v>
      </c>
      <c r="J128" t="e">
        <f t="shared" si="64"/>
        <v>#NUM!</v>
      </c>
      <c r="K128" t="e">
        <f t="shared" si="65"/>
        <v>#NUM!</v>
      </c>
      <c r="L128" t="e">
        <f t="shared" si="66"/>
        <v>#NUM!</v>
      </c>
      <c r="M128" t="e">
        <f t="shared" si="67"/>
        <v>#NUM!</v>
      </c>
      <c r="N128" t="e">
        <f t="shared" si="68"/>
        <v>#NUM!</v>
      </c>
      <c r="O128" t="e">
        <f t="shared" si="69"/>
        <v>#NUM!</v>
      </c>
      <c r="P128" t="e">
        <f t="shared" si="70"/>
        <v>#NUM!</v>
      </c>
      <c r="Q128" t="e">
        <f t="shared" si="71"/>
        <v>#NUM!</v>
      </c>
      <c r="R128" t="e">
        <f t="shared" si="72"/>
        <v>#NUM!</v>
      </c>
      <c r="S128" t="e">
        <f t="shared" si="73"/>
        <v>#NUM!</v>
      </c>
      <c r="W128" t="e">
        <f t="shared" si="50"/>
        <v>#NUM!</v>
      </c>
      <c r="X128">
        <f t="shared" si="51"/>
        <v>61.570799515387513</v>
      </c>
      <c r="Y128">
        <f t="shared" si="52"/>
        <v>12</v>
      </c>
      <c r="Z128">
        <f t="shared" si="53"/>
        <v>-1.5707963267948966</v>
      </c>
      <c r="AA128" t="e">
        <f t="shared" si="54"/>
        <v>#NUM!</v>
      </c>
      <c r="AB128" t="e">
        <f t="shared" si="55"/>
        <v>#NUM!</v>
      </c>
      <c r="AC128" t="e">
        <f t="shared" si="56"/>
        <v>#NUM!</v>
      </c>
      <c r="AE128">
        <v>3.2153875902064446E-6</v>
      </c>
      <c r="AF128">
        <v>-59.999999999999922</v>
      </c>
      <c r="AH128" s="1">
        <v>122</v>
      </c>
      <c r="AI128" s="1">
        <f t="shared" si="74"/>
        <v>0</v>
      </c>
      <c r="AJ128" s="1">
        <f t="shared" si="74"/>
        <v>0</v>
      </c>
      <c r="AK128" s="2" t="e">
        <f t="shared" si="75"/>
        <v>#NUM!</v>
      </c>
      <c r="AL128" s="2" t="e">
        <f t="shared" si="75"/>
        <v>#NUM!</v>
      </c>
      <c r="AY128">
        <v>57.77356468405749</v>
      </c>
      <c r="BQ128">
        <v>17.766532336943133</v>
      </c>
    </row>
    <row r="129" spans="1:69" x14ac:dyDescent="0.25">
      <c r="A129">
        <v>123</v>
      </c>
      <c r="B129" t="e">
        <f t="shared" si="57"/>
        <v>#NUM!</v>
      </c>
      <c r="C129" t="e">
        <f t="shared" si="58"/>
        <v>#NUM!</v>
      </c>
      <c r="D129" t="e">
        <f t="shared" si="59"/>
        <v>#NUM!</v>
      </c>
      <c r="E129" t="e">
        <f t="shared" si="60"/>
        <v>#NUM!</v>
      </c>
      <c r="F129" t="e">
        <f t="shared" si="61"/>
        <v>#NUM!</v>
      </c>
      <c r="G129" t="e">
        <f t="shared" si="62"/>
        <v>#NUM!</v>
      </c>
      <c r="H129" t="e">
        <f t="shared" si="63"/>
        <v>#NUM!</v>
      </c>
      <c r="J129" t="e">
        <f t="shared" si="64"/>
        <v>#NUM!</v>
      </c>
      <c r="K129" t="e">
        <f t="shared" si="65"/>
        <v>#NUM!</v>
      </c>
      <c r="L129" t="e">
        <f t="shared" si="66"/>
        <v>#NUM!</v>
      </c>
      <c r="M129" t="e">
        <f t="shared" si="67"/>
        <v>#NUM!</v>
      </c>
      <c r="N129" t="e">
        <f t="shared" si="68"/>
        <v>#NUM!</v>
      </c>
      <c r="O129" t="e">
        <f t="shared" si="69"/>
        <v>#NUM!</v>
      </c>
      <c r="P129" t="e">
        <f t="shared" si="70"/>
        <v>#NUM!</v>
      </c>
      <c r="Q129" t="e">
        <f t="shared" si="71"/>
        <v>#NUM!</v>
      </c>
      <c r="R129" t="e">
        <f t="shared" si="72"/>
        <v>#NUM!</v>
      </c>
      <c r="S129" t="e">
        <f t="shared" si="73"/>
        <v>#NUM!</v>
      </c>
      <c r="W129" t="e">
        <f t="shared" si="50"/>
        <v>#NUM!</v>
      </c>
      <c r="X129">
        <f t="shared" si="51"/>
        <v>61.570799515387513</v>
      </c>
      <c r="Y129">
        <f t="shared" si="52"/>
        <v>12</v>
      </c>
      <c r="Z129">
        <f t="shared" si="53"/>
        <v>-1.5707963267948966</v>
      </c>
      <c r="AA129" t="e">
        <f t="shared" si="54"/>
        <v>#NUM!</v>
      </c>
      <c r="AB129" t="e">
        <f t="shared" si="55"/>
        <v>#NUM!</v>
      </c>
      <c r="AC129" t="e">
        <f t="shared" si="56"/>
        <v>#NUM!</v>
      </c>
      <c r="AE129">
        <v>3.2153875902064446E-6</v>
      </c>
      <c r="AF129">
        <v>-59.999999999999922</v>
      </c>
      <c r="AH129" s="1">
        <v>123</v>
      </c>
      <c r="AI129" s="1">
        <f t="shared" si="74"/>
        <v>0</v>
      </c>
      <c r="AJ129" s="1">
        <f t="shared" si="74"/>
        <v>0</v>
      </c>
      <c r="AK129" s="2" t="e">
        <f t="shared" si="75"/>
        <v>#NUM!</v>
      </c>
      <c r="AL129" s="2" t="e">
        <f t="shared" si="75"/>
        <v>#NUM!</v>
      </c>
      <c r="AY129">
        <v>57.308945871633512</v>
      </c>
      <c r="BQ129">
        <v>19.500513382036267</v>
      </c>
    </row>
    <row r="130" spans="1:69" x14ac:dyDescent="0.25">
      <c r="A130">
        <v>124</v>
      </c>
      <c r="B130" t="e">
        <f t="shared" si="57"/>
        <v>#NUM!</v>
      </c>
      <c r="C130" t="e">
        <f t="shared" si="58"/>
        <v>#NUM!</v>
      </c>
      <c r="D130" t="e">
        <f t="shared" si="59"/>
        <v>#NUM!</v>
      </c>
      <c r="E130" t="e">
        <f t="shared" si="60"/>
        <v>#NUM!</v>
      </c>
      <c r="F130" t="e">
        <f t="shared" si="61"/>
        <v>#NUM!</v>
      </c>
      <c r="G130" t="e">
        <f t="shared" si="62"/>
        <v>#NUM!</v>
      </c>
      <c r="H130" t="e">
        <f t="shared" si="63"/>
        <v>#NUM!</v>
      </c>
      <c r="J130" t="e">
        <f t="shared" si="64"/>
        <v>#NUM!</v>
      </c>
      <c r="K130" t="e">
        <f t="shared" si="65"/>
        <v>#NUM!</v>
      </c>
      <c r="L130" t="e">
        <f t="shared" si="66"/>
        <v>#NUM!</v>
      </c>
      <c r="M130" t="e">
        <f t="shared" si="67"/>
        <v>#NUM!</v>
      </c>
      <c r="N130" t="e">
        <f t="shared" si="68"/>
        <v>#NUM!</v>
      </c>
      <c r="O130" t="e">
        <f t="shared" si="69"/>
        <v>#NUM!</v>
      </c>
      <c r="P130" t="e">
        <f t="shared" si="70"/>
        <v>#NUM!</v>
      </c>
      <c r="Q130" t="e">
        <f t="shared" si="71"/>
        <v>#NUM!</v>
      </c>
      <c r="R130" t="e">
        <f t="shared" si="72"/>
        <v>#NUM!</v>
      </c>
      <c r="S130" t="e">
        <f t="shared" si="73"/>
        <v>#NUM!</v>
      </c>
      <c r="W130" t="e">
        <f t="shared" si="50"/>
        <v>#NUM!</v>
      </c>
      <c r="X130">
        <f t="shared" si="51"/>
        <v>61.570799515387513</v>
      </c>
      <c r="Y130">
        <f t="shared" si="52"/>
        <v>12</v>
      </c>
      <c r="Z130">
        <f t="shared" si="53"/>
        <v>-1.5707963267948966</v>
      </c>
      <c r="AA130" t="e">
        <f t="shared" si="54"/>
        <v>#NUM!</v>
      </c>
      <c r="AB130" t="e">
        <f t="shared" si="55"/>
        <v>#NUM!</v>
      </c>
      <c r="AC130" t="e">
        <f t="shared" si="56"/>
        <v>#NUM!</v>
      </c>
      <c r="AE130">
        <v>3.2153875902064446E-6</v>
      </c>
      <c r="AF130">
        <v>-59.999999999999922</v>
      </c>
      <c r="AH130" s="1">
        <v>124</v>
      </c>
      <c r="AI130" s="1">
        <f t="shared" si="74"/>
        <v>0</v>
      </c>
      <c r="AJ130" s="1">
        <f t="shared" si="74"/>
        <v>0</v>
      </c>
      <c r="AK130" s="2" t="e">
        <f t="shared" si="75"/>
        <v>#NUM!</v>
      </c>
      <c r="AL130" s="2" t="e">
        <f t="shared" si="75"/>
        <v>#NUM!</v>
      </c>
      <c r="AY130">
        <v>56.801242124916655</v>
      </c>
      <c r="BQ130">
        <v>21.222372206438028</v>
      </c>
    </row>
    <row r="131" spans="1:69" x14ac:dyDescent="0.25">
      <c r="A131">
        <v>125</v>
      </c>
      <c r="B131" t="e">
        <f t="shared" si="57"/>
        <v>#NUM!</v>
      </c>
      <c r="C131" t="e">
        <f t="shared" si="58"/>
        <v>#NUM!</v>
      </c>
      <c r="D131" t="e">
        <f t="shared" si="59"/>
        <v>#NUM!</v>
      </c>
      <c r="E131" t="e">
        <f t="shared" si="60"/>
        <v>#NUM!</v>
      </c>
      <c r="F131" t="e">
        <f t="shared" si="61"/>
        <v>#NUM!</v>
      </c>
      <c r="G131" t="e">
        <f t="shared" si="62"/>
        <v>#NUM!</v>
      </c>
      <c r="H131" t="e">
        <f t="shared" si="63"/>
        <v>#NUM!</v>
      </c>
      <c r="J131" t="e">
        <f t="shared" si="64"/>
        <v>#NUM!</v>
      </c>
      <c r="K131" t="e">
        <f t="shared" si="65"/>
        <v>#NUM!</v>
      </c>
      <c r="L131" t="e">
        <f t="shared" si="66"/>
        <v>#NUM!</v>
      </c>
      <c r="M131" t="e">
        <f t="shared" si="67"/>
        <v>#NUM!</v>
      </c>
      <c r="N131" t="e">
        <f t="shared" si="68"/>
        <v>#NUM!</v>
      </c>
      <c r="O131" t="e">
        <f t="shared" si="69"/>
        <v>#NUM!</v>
      </c>
      <c r="P131" t="e">
        <f t="shared" si="70"/>
        <v>#NUM!</v>
      </c>
      <c r="Q131" t="e">
        <f t="shared" si="71"/>
        <v>#NUM!</v>
      </c>
      <c r="R131" t="e">
        <f t="shared" si="72"/>
        <v>#NUM!</v>
      </c>
      <c r="S131" t="e">
        <f t="shared" si="73"/>
        <v>#NUM!</v>
      </c>
      <c r="W131" t="e">
        <f t="shared" si="50"/>
        <v>#NUM!</v>
      </c>
      <c r="X131">
        <f t="shared" si="51"/>
        <v>61.570799515387513</v>
      </c>
      <c r="Y131">
        <f t="shared" si="52"/>
        <v>12</v>
      </c>
      <c r="Z131">
        <f t="shared" si="53"/>
        <v>-1.5707963267948966</v>
      </c>
      <c r="AA131" t="e">
        <f t="shared" si="54"/>
        <v>#NUM!</v>
      </c>
      <c r="AB131" t="e">
        <f t="shared" si="55"/>
        <v>#NUM!</v>
      </c>
      <c r="AC131" t="e">
        <f t="shared" si="56"/>
        <v>#NUM!</v>
      </c>
      <c r="AE131">
        <v>3.2153875902064446E-6</v>
      </c>
      <c r="AF131">
        <v>-59.999999999999922</v>
      </c>
      <c r="AH131" s="1">
        <v>125</v>
      </c>
      <c r="AI131" s="1">
        <f t="shared" si="74"/>
        <v>0</v>
      </c>
      <c r="AJ131" s="1">
        <f t="shared" si="74"/>
        <v>0</v>
      </c>
      <c r="AK131" s="2" t="e">
        <f t="shared" si="75"/>
        <v>#NUM!</v>
      </c>
      <c r="AL131" s="2" t="e">
        <f t="shared" si="75"/>
        <v>#NUM!</v>
      </c>
      <c r="AY131">
        <v>56.250769050821617</v>
      </c>
      <c r="BQ131">
        <v>22.931038440755568</v>
      </c>
    </row>
    <row r="132" spans="1:69" x14ac:dyDescent="0.25">
      <c r="A132">
        <v>126</v>
      </c>
      <c r="B132" t="e">
        <f t="shared" si="57"/>
        <v>#NUM!</v>
      </c>
      <c r="C132" t="e">
        <f t="shared" si="58"/>
        <v>#NUM!</v>
      </c>
      <c r="D132" t="e">
        <f t="shared" si="59"/>
        <v>#NUM!</v>
      </c>
      <c r="E132" t="e">
        <f t="shared" si="60"/>
        <v>#NUM!</v>
      </c>
      <c r="F132" t="e">
        <f t="shared" si="61"/>
        <v>#NUM!</v>
      </c>
      <c r="G132" t="e">
        <f t="shared" si="62"/>
        <v>#NUM!</v>
      </c>
      <c r="H132" t="e">
        <f t="shared" si="63"/>
        <v>#NUM!</v>
      </c>
      <c r="J132" t="e">
        <f t="shared" si="64"/>
        <v>#NUM!</v>
      </c>
      <c r="K132" t="e">
        <f t="shared" si="65"/>
        <v>#NUM!</v>
      </c>
      <c r="L132" t="e">
        <f t="shared" si="66"/>
        <v>#NUM!</v>
      </c>
      <c r="M132" t="e">
        <f t="shared" si="67"/>
        <v>#NUM!</v>
      </c>
      <c r="N132" t="e">
        <f t="shared" si="68"/>
        <v>#NUM!</v>
      </c>
      <c r="O132" t="e">
        <f t="shared" si="69"/>
        <v>#NUM!</v>
      </c>
      <c r="P132" t="e">
        <f t="shared" si="70"/>
        <v>#NUM!</v>
      </c>
      <c r="Q132" t="e">
        <f t="shared" si="71"/>
        <v>#NUM!</v>
      </c>
      <c r="R132" t="e">
        <f t="shared" si="72"/>
        <v>#NUM!</v>
      </c>
      <c r="S132" t="e">
        <f t="shared" si="73"/>
        <v>#NUM!</v>
      </c>
      <c r="W132" t="e">
        <f t="shared" si="50"/>
        <v>#NUM!</v>
      </c>
      <c r="X132">
        <f t="shared" si="51"/>
        <v>61.570799515387513</v>
      </c>
      <c r="Y132">
        <f t="shared" si="52"/>
        <v>12</v>
      </c>
      <c r="Z132">
        <f t="shared" si="53"/>
        <v>-1.5707963267948966</v>
      </c>
      <c r="AA132" t="e">
        <f t="shared" si="54"/>
        <v>#NUM!</v>
      </c>
      <c r="AB132" t="e">
        <f t="shared" si="55"/>
        <v>#NUM!</v>
      </c>
      <c r="AC132" t="e">
        <f t="shared" si="56"/>
        <v>#NUM!</v>
      </c>
      <c r="AE132">
        <v>3.2153875902064446E-6</v>
      </c>
      <c r="AF132">
        <v>-59.999999999999922</v>
      </c>
      <c r="AH132" s="1">
        <v>126</v>
      </c>
      <c r="AI132" s="1">
        <f t="shared" si="74"/>
        <v>0</v>
      </c>
      <c r="AJ132" s="1">
        <f t="shared" si="74"/>
        <v>0</v>
      </c>
      <c r="AK132" s="2" t="e">
        <f t="shared" si="75"/>
        <v>#NUM!</v>
      </c>
      <c r="AL132" s="2" t="e">
        <f t="shared" si="75"/>
        <v>#NUM!</v>
      </c>
      <c r="AY132">
        <v>55.657868843215709</v>
      </c>
      <c r="BQ132">
        <v>24.625449916584682</v>
      </c>
    </row>
    <row r="133" spans="1:69" x14ac:dyDescent="0.25">
      <c r="A133">
        <v>127</v>
      </c>
      <c r="B133" t="e">
        <f t="shared" si="57"/>
        <v>#NUM!</v>
      </c>
      <c r="C133" t="e">
        <f t="shared" si="58"/>
        <v>#NUM!</v>
      </c>
      <c r="D133" t="e">
        <f t="shared" si="59"/>
        <v>#NUM!</v>
      </c>
      <c r="E133" t="e">
        <f t="shared" si="60"/>
        <v>#NUM!</v>
      </c>
      <c r="F133" t="e">
        <f t="shared" si="61"/>
        <v>#NUM!</v>
      </c>
      <c r="G133" t="e">
        <f t="shared" si="62"/>
        <v>#NUM!</v>
      </c>
      <c r="H133" t="e">
        <f t="shared" si="63"/>
        <v>#NUM!</v>
      </c>
      <c r="J133" t="e">
        <f t="shared" si="64"/>
        <v>#NUM!</v>
      </c>
      <c r="K133" t="e">
        <f t="shared" si="65"/>
        <v>#NUM!</v>
      </c>
      <c r="L133" t="e">
        <f t="shared" si="66"/>
        <v>#NUM!</v>
      </c>
      <c r="M133" t="e">
        <f t="shared" si="67"/>
        <v>#NUM!</v>
      </c>
      <c r="N133" t="e">
        <f t="shared" si="68"/>
        <v>#NUM!</v>
      </c>
      <c r="O133" t="e">
        <f t="shared" si="69"/>
        <v>#NUM!</v>
      </c>
      <c r="P133" t="e">
        <f t="shared" si="70"/>
        <v>#NUM!</v>
      </c>
      <c r="Q133" t="e">
        <f t="shared" si="71"/>
        <v>#NUM!</v>
      </c>
      <c r="R133" t="e">
        <f t="shared" si="72"/>
        <v>#NUM!</v>
      </c>
      <c r="S133" t="e">
        <f t="shared" si="73"/>
        <v>#NUM!</v>
      </c>
      <c r="W133" t="e">
        <f t="shared" si="50"/>
        <v>#NUM!</v>
      </c>
      <c r="X133">
        <f t="shared" si="51"/>
        <v>61.570799515387513</v>
      </c>
      <c r="Y133">
        <f t="shared" si="52"/>
        <v>12</v>
      </c>
      <c r="Z133">
        <f t="shared" si="53"/>
        <v>-1.5707963267948966</v>
      </c>
      <c r="AA133" t="e">
        <f t="shared" si="54"/>
        <v>#NUM!</v>
      </c>
      <c r="AB133" t="e">
        <f t="shared" si="55"/>
        <v>#NUM!</v>
      </c>
      <c r="AC133" t="e">
        <f t="shared" si="56"/>
        <v>#NUM!</v>
      </c>
      <c r="AE133">
        <v>3.2153875902064446E-6</v>
      </c>
      <c r="AF133">
        <v>-59.999999999999922</v>
      </c>
      <c r="AH133" s="1">
        <v>127</v>
      </c>
      <c r="AI133" s="1">
        <f t="shared" si="74"/>
        <v>0</v>
      </c>
      <c r="AJ133" s="1">
        <f t="shared" si="74"/>
        <v>0</v>
      </c>
      <c r="AK133" s="2" t="e">
        <f t="shared" si="75"/>
        <v>#NUM!</v>
      </c>
      <c r="AL133" s="2" t="e">
        <f t="shared" si="75"/>
        <v>#NUM!</v>
      </c>
      <c r="AY133">
        <v>55.022910070198847</v>
      </c>
      <c r="BQ133">
        <v>26.304553326791883</v>
      </c>
    </row>
    <row r="134" spans="1:69" x14ac:dyDescent="0.25">
      <c r="A134">
        <v>128</v>
      </c>
      <c r="B134" t="e">
        <f t="shared" si="57"/>
        <v>#NUM!</v>
      </c>
      <c r="C134" t="e">
        <f t="shared" si="58"/>
        <v>#NUM!</v>
      </c>
      <c r="D134" t="e">
        <f t="shared" si="59"/>
        <v>#NUM!</v>
      </c>
      <c r="E134" t="e">
        <f t="shared" si="60"/>
        <v>#NUM!</v>
      </c>
      <c r="F134" t="e">
        <f t="shared" si="61"/>
        <v>#NUM!</v>
      </c>
      <c r="G134" t="e">
        <f t="shared" si="62"/>
        <v>#NUM!</v>
      </c>
      <c r="H134" t="e">
        <f t="shared" si="63"/>
        <v>#NUM!</v>
      </c>
      <c r="J134" t="e">
        <f t="shared" si="64"/>
        <v>#NUM!</v>
      </c>
      <c r="K134" t="e">
        <f t="shared" si="65"/>
        <v>#NUM!</v>
      </c>
      <c r="L134" t="e">
        <f t="shared" si="66"/>
        <v>#NUM!</v>
      </c>
      <c r="M134" t="e">
        <f t="shared" si="67"/>
        <v>#NUM!</v>
      </c>
      <c r="N134" t="e">
        <f t="shared" si="68"/>
        <v>#NUM!</v>
      </c>
      <c r="O134" t="e">
        <f t="shared" si="69"/>
        <v>#NUM!</v>
      </c>
      <c r="P134" t="e">
        <f t="shared" si="70"/>
        <v>#NUM!</v>
      </c>
      <c r="Q134" t="e">
        <f t="shared" si="71"/>
        <v>#NUM!</v>
      </c>
      <c r="R134" t="e">
        <f t="shared" si="72"/>
        <v>#NUM!</v>
      </c>
      <c r="S134" t="e">
        <f t="shared" si="73"/>
        <v>#NUM!</v>
      </c>
      <c r="W134" t="e">
        <f t="shared" ref="W134:W197" si="76">3.14159265358/2-Z134-AA134</f>
        <v>#NUM!</v>
      </c>
      <c r="X134">
        <f t="shared" si="51"/>
        <v>61.570799515387513</v>
      </c>
      <c r="Y134">
        <f t="shared" si="52"/>
        <v>12</v>
      </c>
      <c r="Z134">
        <f t="shared" si="53"/>
        <v>-1.5707963267948966</v>
      </c>
      <c r="AA134" t="e">
        <f t="shared" si="54"/>
        <v>#NUM!</v>
      </c>
      <c r="AB134" t="e">
        <f t="shared" si="55"/>
        <v>#NUM!</v>
      </c>
      <c r="AC134" t="e">
        <f t="shared" si="56"/>
        <v>#NUM!</v>
      </c>
      <c r="AE134">
        <v>3.2153875902064446E-6</v>
      </c>
      <c r="AF134">
        <v>-59.999999999999922</v>
      </c>
      <c r="AH134" s="1">
        <v>128</v>
      </c>
      <c r="AI134" s="1">
        <f t="shared" si="74"/>
        <v>0</v>
      </c>
      <c r="AJ134" s="1">
        <f t="shared" si="74"/>
        <v>0</v>
      </c>
      <c r="AK134" s="2" t="e">
        <f t="shared" si="75"/>
        <v>#NUM!</v>
      </c>
      <c r="AL134" s="2" t="e">
        <f t="shared" si="75"/>
        <v>#NUM!</v>
      </c>
      <c r="AY134">
        <v>54.346287444988349</v>
      </c>
      <c r="BQ134">
        <v>27.967304880288008</v>
      </c>
    </row>
    <row r="135" spans="1:69" x14ac:dyDescent="0.25">
      <c r="A135">
        <v>129</v>
      </c>
      <c r="B135" t="e">
        <f t="shared" si="57"/>
        <v>#NUM!</v>
      </c>
      <c r="C135" t="e">
        <f t="shared" si="58"/>
        <v>#NUM!</v>
      </c>
      <c r="D135" t="e">
        <f t="shared" si="59"/>
        <v>#NUM!</v>
      </c>
      <c r="E135" t="e">
        <f t="shared" si="60"/>
        <v>#NUM!</v>
      </c>
      <c r="F135" t="e">
        <f t="shared" si="61"/>
        <v>#NUM!</v>
      </c>
      <c r="G135" t="e">
        <f t="shared" si="62"/>
        <v>#NUM!</v>
      </c>
      <c r="H135" t="e">
        <f t="shared" si="63"/>
        <v>#NUM!</v>
      </c>
      <c r="J135" t="e">
        <f t="shared" si="64"/>
        <v>#NUM!</v>
      </c>
      <c r="K135" t="e">
        <f t="shared" si="65"/>
        <v>#NUM!</v>
      </c>
      <c r="L135" t="e">
        <f t="shared" si="66"/>
        <v>#NUM!</v>
      </c>
      <c r="M135" t="e">
        <f t="shared" si="67"/>
        <v>#NUM!</v>
      </c>
      <c r="N135" t="e">
        <f t="shared" si="68"/>
        <v>#NUM!</v>
      </c>
      <c r="O135" t="e">
        <f t="shared" si="69"/>
        <v>#NUM!</v>
      </c>
      <c r="P135" t="e">
        <f t="shared" si="70"/>
        <v>#NUM!</v>
      </c>
      <c r="Q135" t="e">
        <f t="shared" si="71"/>
        <v>#NUM!</v>
      </c>
      <c r="R135" t="e">
        <f t="shared" si="72"/>
        <v>#NUM!</v>
      </c>
      <c r="S135" t="e">
        <f t="shared" si="73"/>
        <v>#NUM!</v>
      </c>
      <c r="W135" t="e">
        <f t="shared" si="76"/>
        <v>#NUM!</v>
      </c>
      <c r="X135">
        <f t="shared" ref="X135:X198" si="77">3.1415926/2+AE135-AF135</f>
        <v>61.570799515387513</v>
      </c>
      <c r="Y135">
        <f t="shared" ref="Y135:Y198" si="78">SQRT( V135*V135+(U135+$G$2)*(U135+$G$2)     )</f>
        <v>12</v>
      </c>
      <c r="Z135">
        <f t="shared" ref="Z135:Z198" si="79">ATAN2(  V135, -U135-$G$2)</f>
        <v>-1.5707963267948966</v>
      </c>
      <c r="AA135" t="e">
        <f t="shared" ref="AA135:AA198" si="80" xml:space="preserve"> ACOS((Y135*Y135+$C$2*$C$2-($E$2+$T$2)*($E$2+$T$2))/(2*Y135*$C$2))</f>
        <v>#NUM!</v>
      </c>
      <c r="AB135" t="e">
        <f t="shared" ref="AB135:AB198" si="81">-$G$2-$C$2*COS(W135)+(U135+$G$2+COS(W135)*$C$2)*$E$2/($E$2+$T$2)</f>
        <v>#NUM!</v>
      </c>
      <c r="AC135" t="e">
        <f t="shared" ref="AC135:AC198" si="82">$C$2*SIN(W135)+(V135-$C$2*SIN(W135))*$E$2/($T$2+$E$2)</f>
        <v>#NUM!</v>
      </c>
      <c r="AE135">
        <v>3.2153875902064446E-6</v>
      </c>
      <c r="AF135">
        <v>-59.999999999999922</v>
      </c>
      <c r="AH135" s="1">
        <v>129</v>
      </c>
      <c r="AI135" s="1">
        <f t="shared" si="74"/>
        <v>0</v>
      </c>
      <c r="AJ135" s="1">
        <f t="shared" si="74"/>
        <v>0</v>
      </c>
      <c r="AK135" s="2" t="e">
        <f t="shared" si="75"/>
        <v>#NUM!</v>
      </c>
      <c r="AL135" s="2" t="e">
        <f t="shared" si="75"/>
        <v>#NUM!</v>
      </c>
      <c r="AY135">
        <v>53.628421580551006</v>
      </c>
      <c r="BQ135">
        <v>29.612670950886333</v>
      </c>
    </row>
    <row r="136" spans="1:69" x14ac:dyDescent="0.25">
      <c r="A136">
        <v>130</v>
      </c>
      <c r="B136" t="e">
        <f t="shared" ref="B136:B199" si="83">AB136</f>
        <v>#NUM!</v>
      </c>
      <c r="C136" t="e">
        <f t="shared" ref="C136:C199" si="84">AC136</f>
        <v>#NUM!</v>
      </c>
      <c r="D136" t="e">
        <f t="shared" ref="D136:D199" si="85">3.14159265358/2-G136-H136</f>
        <v>#NUM!</v>
      </c>
      <c r="E136" t="e">
        <f t="shared" ref="E136:E199" si="86">3.1415926/2+L136-M136</f>
        <v>#NUM!</v>
      </c>
      <c r="F136" t="e">
        <f t="shared" ref="F136:F199" si="87">SQRT( C136*C136+(B136+$G$2)*(B136+$G$2)     )</f>
        <v>#NUM!</v>
      </c>
      <c r="G136" t="e">
        <f t="shared" ref="G136:G199" si="88">ATAN2(  C136, -B136-$G$2)</f>
        <v>#NUM!</v>
      </c>
      <c r="H136" t="e">
        <f t="shared" ref="H136:H199" si="89" xml:space="preserve"> ACOS((F136*F136+$C$2*$C$2-$E$2*$E$2)/(2*F136*$C$2))</f>
        <v>#NUM!</v>
      </c>
      <c r="J136" t="e">
        <f t="shared" ref="J136:J199" si="90">G136*180/3.1415926</f>
        <v>#NUM!</v>
      </c>
      <c r="K136" t="e">
        <f t="shared" ref="K136:K199" si="91">H136*180/3.1415926</f>
        <v>#NUM!</v>
      </c>
      <c r="L136" t="e">
        <f t="shared" ref="L136:L199" si="92">ACOS( ($C$2*$C$2+N136*N136-$E$2*$E$2)/(2*$C$2*N136))</f>
        <v>#NUM!</v>
      </c>
      <c r="M136" t="e">
        <f t="shared" ref="M136:M199" si="93">ATAN2(C136,-B136+$G$2)</f>
        <v>#NUM!</v>
      </c>
      <c r="N136" t="e">
        <f t="shared" ref="N136:N199" si="94">SQRT(C136*C136+(-B136+$G$2)*(-B136+$G$2))</f>
        <v>#NUM!</v>
      </c>
      <c r="O136" t="e">
        <f t="shared" ref="O136:O199" si="95">L136*180/3.1415926</f>
        <v>#NUM!</v>
      </c>
      <c r="P136" t="e">
        <f t="shared" ref="P136:P199" si="96">M136*180/3.1415926</f>
        <v>#NUM!</v>
      </c>
      <c r="Q136" t="e">
        <f t="shared" ref="Q136:Q199" si="97">D136*180/3.1415926</f>
        <v>#NUM!</v>
      </c>
      <c r="R136" t="e">
        <f t="shared" ref="R136:R199" si="98">E136*180/3.1415926</f>
        <v>#NUM!</v>
      </c>
      <c r="S136" t="e">
        <f t="shared" ref="S136:S199" si="99" xml:space="preserve"> ((F136*F136+$C$2*$C$2-$E$2*$E$2)/(2*F136*$C$2))</f>
        <v>#NUM!</v>
      </c>
      <c r="W136" t="e">
        <f t="shared" si="76"/>
        <v>#NUM!</v>
      </c>
      <c r="X136">
        <f t="shared" si="77"/>
        <v>61.570799515387513</v>
      </c>
      <c r="Y136">
        <f t="shared" si="78"/>
        <v>12</v>
      </c>
      <c r="Z136">
        <f t="shared" si="79"/>
        <v>-1.5707963267948966</v>
      </c>
      <c r="AA136" t="e">
        <f t="shared" si="80"/>
        <v>#NUM!</v>
      </c>
      <c r="AB136" t="e">
        <f t="shared" si="81"/>
        <v>#NUM!</v>
      </c>
      <c r="AC136" t="e">
        <f t="shared" si="82"/>
        <v>#NUM!</v>
      </c>
      <c r="AE136">
        <v>3.2153875902064446E-6</v>
      </c>
      <c r="AF136">
        <v>-59.999999999999922</v>
      </c>
      <c r="AH136" s="1">
        <v>130</v>
      </c>
      <c r="AI136" s="1">
        <f t="shared" si="74"/>
        <v>0</v>
      </c>
      <c r="AJ136" s="1">
        <f t="shared" si="74"/>
        <v>0</v>
      </c>
      <c r="AK136" s="2" t="e">
        <f t="shared" si="75"/>
        <v>#NUM!</v>
      </c>
      <c r="AL136" s="2" t="e">
        <f t="shared" si="75"/>
        <v>#NUM!</v>
      </c>
      <c r="AY136">
        <v>52.869758728134926</v>
      </c>
      <c r="BQ136">
        <v>31.239628719841761</v>
      </c>
    </row>
    <row r="137" spans="1:69" x14ac:dyDescent="0.25">
      <c r="A137">
        <v>131</v>
      </c>
      <c r="B137" t="e">
        <f t="shared" si="83"/>
        <v>#NUM!</v>
      </c>
      <c r="C137" t="e">
        <f t="shared" si="84"/>
        <v>#NUM!</v>
      </c>
      <c r="D137" t="e">
        <f t="shared" si="85"/>
        <v>#NUM!</v>
      </c>
      <c r="E137" t="e">
        <f t="shared" si="86"/>
        <v>#NUM!</v>
      </c>
      <c r="F137" t="e">
        <f t="shared" si="87"/>
        <v>#NUM!</v>
      </c>
      <c r="G137" t="e">
        <f t="shared" si="88"/>
        <v>#NUM!</v>
      </c>
      <c r="H137" t="e">
        <f t="shared" si="89"/>
        <v>#NUM!</v>
      </c>
      <c r="J137" t="e">
        <f t="shared" si="90"/>
        <v>#NUM!</v>
      </c>
      <c r="K137" t="e">
        <f t="shared" si="91"/>
        <v>#NUM!</v>
      </c>
      <c r="L137" t="e">
        <f t="shared" si="92"/>
        <v>#NUM!</v>
      </c>
      <c r="M137" t="e">
        <f t="shared" si="93"/>
        <v>#NUM!</v>
      </c>
      <c r="N137" t="e">
        <f t="shared" si="94"/>
        <v>#NUM!</v>
      </c>
      <c r="O137" t="e">
        <f t="shared" si="95"/>
        <v>#NUM!</v>
      </c>
      <c r="P137" t="e">
        <f t="shared" si="96"/>
        <v>#NUM!</v>
      </c>
      <c r="Q137" t="e">
        <f t="shared" si="97"/>
        <v>#NUM!</v>
      </c>
      <c r="R137" t="e">
        <f t="shared" si="98"/>
        <v>#NUM!</v>
      </c>
      <c r="S137" t="e">
        <f t="shared" si="99"/>
        <v>#NUM!</v>
      </c>
      <c r="W137" t="e">
        <f t="shared" si="76"/>
        <v>#NUM!</v>
      </c>
      <c r="X137">
        <f t="shared" si="77"/>
        <v>61.570799515387513</v>
      </c>
      <c r="Y137">
        <f t="shared" si="78"/>
        <v>12</v>
      </c>
      <c r="Z137">
        <f t="shared" si="79"/>
        <v>-1.5707963267948966</v>
      </c>
      <c r="AA137" t="e">
        <f t="shared" si="80"/>
        <v>#NUM!</v>
      </c>
      <c r="AB137" t="e">
        <f t="shared" si="81"/>
        <v>#NUM!</v>
      </c>
      <c r="AC137" t="e">
        <f t="shared" si="82"/>
        <v>#NUM!</v>
      </c>
      <c r="AE137">
        <v>3.2153875902064446E-6</v>
      </c>
      <c r="AF137">
        <v>-59.999999999999922</v>
      </c>
      <c r="AH137" s="1">
        <v>131</v>
      </c>
      <c r="AI137" s="1">
        <f t="shared" si="74"/>
        <v>0</v>
      </c>
      <c r="AJ137" s="1">
        <f t="shared" si="74"/>
        <v>0</v>
      </c>
      <c r="AK137" s="2" t="e">
        <f t="shared" si="75"/>
        <v>#NUM!</v>
      </c>
      <c r="AL137" s="2" t="e">
        <f t="shared" si="75"/>
        <v>#NUM!</v>
      </c>
      <c r="AY137">
        <v>52.070770499863713</v>
      </c>
      <c r="BQ137">
        <v>32.847166811671805</v>
      </c>
    </row>
    <row r="138" spans="1:69" x14ac:dyDescent="0.25">
      <c r="A138">
        <v>132</v>
      </c>
      <c r="B138" t="e">
        <f t="shared" si="83"/>
        <v>#NUM!</v>
      </c>
      <c r="C138" t="e">
        <f t="shared" si="84"/>
        <v>#NUM!</v>
      </c>
      <c r="D138" t="e">
        <f t="shared" si="85"/>
        <v>#NUM!</v>
      </c>
      <c r="E138" t="e">
        <f t="shared" si="86"/>
        <v>#NUM!</v>
      </c>
      <c r="F138" t="e">
        <f t="shared" si="87"/>
        <v>#NUM!</v>
      </c>
      <c r="G138" t="e">
        <f t="shared" si="88"/>
        <v>#NUM!</v>
      </c>
      <c r="H138" t="e">
        <f t="shared" si="89"/>
        <v>#NUM!</v>
      </c>
      <c r="J138" t="e">
        <f t="shared" si="90"/>
        <v>#NUM!</v>
      </c>
      <c r="K138" t="e">
        <f t="shared" si="91"/>
        <v>#NUM!</v>
      </c>
      <c r="L138" t="e">
        <f t="shared" si="92"/>
        <v>#NUM!</v>
      </c>
      <c r="M138" t="e">
        <f t="shared" si="93"/>
        <v>#NUM!</v>
      </c>
      <c r="N138" t="e">
        <f t="shared" si="94"/>
        <v>#NUM!</v>
      </c>
      <c r="O138" t="e">
        <f t="shared" si="95"/>
        <v>#NUM!</v>
      </c>
      <c r="P138" t="e">
        <f t="shared" si="96"/>
        <v>#NUM!</v>
      </c>
      <c r="Q138" t="e">
        <f t="shared" si="97"/>
        <v>#NUM!</v>
      </c>
      <c r="R138" t="e">
        <f t="shared" si="98"/>
        <v>#NUM!</v>
      </c>
      <c r="S138" t="e">
        <f t="shared" si="99"/>
        <v>#NUM!</v>
      </c>
      <c r="W138" t="e">
        <f t="shared" si="76"/>
        <v>#NUM!</v>
      </c>
      <c r="X138">
        <f t="shared" si="77"/>
        <v>61.570799515387513</v>
      </c>
      <c r="Y138">
        <f t="shared" si="78"/>
        <v>12</v>
      </c>
      <c r="Z138">
        <f t="shared" si="79"/>
        <v>-1.5707963267948966</v>
      </c>
      <c r="AA138" t="e">
        <f t="shared" si="80"/>
        <v>#NUM!</v>
      </c>
      <c r="AB138" t="e">
        <f t="shared" si="81"/>
        <v>#NUM!</v>
      </c>
      <c r="AC138" t="e">
        <f t="shared" si="82"/>
        <v>#NUM!</v>
      </c>
      <c r="AE138">
        <v>3.2153875902064446E-6</v>
      </c>
      <c r="AF138">
        <v>-59.999999999999922</v>
      </c>
      <c r="AH138" s="1">
        <v>132</v>
      </c>
      <c r="AI138" s="1">
        <f t="shared" si="74"/>
        <v>0</v>
      </c>
      <c r="AJ138" s="1">
        <f t="shared" si="74"/>
        <v>0</v>
      </c>
      <c r="AK138" s="2" t="e">
        <f t="shared" si="75"/>
        <v>#NUM!</v>
      </c>
      <c r="AL138" s="2" t="e">
        <f t="shared" si="75"/>
        <v>#NUM!</v>
      </c>
      <c r="AY138">
        <v>51.231953575565385</v>
      </c>
      <c r="BQ138">
        <v>34.434285922863907</v>
      </c>
    </row>
    <row r="139" spans="1:69" x14ac:dyDescent="0.25">
      <c r="A139">
        <v>133</v>
      </c>
      <c r="B139" t="e">
        <f t="shared" si="83"/>
        <v>#NUM!</v>
      </c>
      <c r="C139" t="e">
        <f t="shared" si="84"/>
        <v>#NUM!</v>
      </c>
      <c r="D139" t="e">
        <f t="shared" si="85"/>
        <v>#NUM!</v>
      </c>
      <c r="E139" t="e">
        <f t="shared" si="86"/>
        <v>#NUM!</v>
      </c>
      <c r="F139" t="e">
        <f t="shared" si="87"/>
        <v>#NUM!</v>
      </c>
      <c r="G139" t="e">
        <f t="shared" si="88"/>
        <v>#NUM!</v>
      </c>
      <c r="H139" t="e">
        <f t="shared" si="89"/>
        <v>#NUM!</v>
      </c>
      <c r="J139" t="e">
        <f t="shared" si="90"/>
        <v>#NUM!</v>
      </c>
      <c r="K139" t="e">
        <f t="shared" si="91"/>
        <v>#NUM!</v>
      </c>
      <c r="L139" t="e">
        <f t="shared" si="92"/>
        <v>#NUM!</v>
      </c>
      <c r="M139" t="e">
        <f t="shared" si="93"/>
        <v>#NUM!</v>
      </c>
      <c r="N139" t="e">
        <f t="shared" si="94"/>
        <v>#NUM!</v>
      </c>
      <c r="O139" t="e">
        <f t="shared" si="95"/>
        <v>#NUM!</v>
      </c>
      <c r="P139" t="e">
        <f t="shared" si="96"/>
        <v>#NUM!</v>
      </c>
      <c r="Q139" t="e">
        <f t="shared" si="97"/>
        <v>#NUM!</v>
      </c>
      <c r="R139" t="e">
        <f t="shared" si="98"/>
        <v>#NUM!</v>
      </c>
      <c r="S139" t="e">
        <f t="shared" si="99"/>
        <v>#NUM!</v>
      </c>
      <c r="W139" t="e">
        <f t="shared" si="76"/>
        <v>#NUM!</v>
      </c>
      <c r="X139">
        <f t="shared" si="77"/>
        <v>61.570799515387513</v>
      </c>
      <c r="Y139">
        <f t="shared" si="78"/>
        <v>12</v>
      </c>
      <c r="Z139">
        <f t="shared" si="79"/>
        <v>-1.5707963267948966</v>
      </c>
      <c r="AA139" t="e">
        <f t="shared" si="80"/>
        <v>#NUM!</v>
      </c>
      <c r="AB139" t="e">
        <f t="shared" si="81"/>
        <v>#NUM!</v>
      </c>
      <c r="AC139" t="e">
        <f t="shared" si="82"/>
        <v>#NUM!</v>
      </c>
      <c r="AE139">
        <v>3.2153875902064446E-6</v>
      </c>
      <c r="AF139">
        <v>-59.999999999999922</v>
      </c>
      <c r="AH139" s="1">
        <v>133</v>
      </c>
      <c r="AI139" s="1">
        <f t="shared" si="74"/>
        <v>0</v>
      </c>
      <c r="AJ139" s="1">
        <f t="shared" si="74"/>
        <v>0</v>
      </c>
      <c r="AK139" s="2" t="e">
        <f t="shared" si="75"/>
        <v>#NUM!</v>
      </c>
      <c r="AL139" s="2" t="e">
        <f t="shared" si="75"/>
        <v>#NUM!</v>
      </c>
      <c r="AY139">
        <v>50.353829394018334</v>
      </c>
      <c r="BQ139">
        <v>35.999999443078536</v>
      </c>
    </row>
    <row r="140" spans="1:69" x14ac:dyDescent="0.25">
      <c r="A140">
        <v>134</v>
      </c>
      <c r="B140" t="e">
        <f t="shared" si="83"/>
        <v>#NUM!</v>
      </c>
      <c r="C140" t="e">
        <f t="shared" si="84"/>
        <v>#NUM!</v>
      </c>
      <c r="D140" t="e">
        <f t="shared" si="85"/>
        <v>#NUM!</v>
      </c>
      <c r="E140" t="e">
        <f t="shared" si="86"/>
        <v>#NUM!</v>
      </c>
      <c r="F140" t="e">
        <f t="shared" si="87"/>
        <v>#NUM!</v>
      </c>
      <c r="G140" t="e">
        <f t="shared" si="88"/>
        <v>#NUM!</v>
      </c>
      <c r="H140" t="e">
        <f t="shared" si="89"/>
        <v>#NUM!</v>
      </c>
      <c r="J140" t="e">
        <f t="shared" si="90"/>
        <v>#NUM!</v>
      </c>
      <c r="K140" t="e">
        <f t="shared" si="91"/>
        <v>#NUM!</v>
      </c>
      <c r="L140" t="e">
        <f t="shared" si="92"/>
        <v>#NUM!</v>
      </c>
      <c r="M140" t="e">
        <f t="shared" si="93"/>
        <v>#NUM!</v>
      </c>
      <c r="N140" t="e">
        <f t="shared" si="94"/>
        <v>#NUM!</v>
      </c>
      <c r="O140" t="e">
        <f t="shared" si="95"/>
        <v>#NUM!</v>
      </c>
      <c r="P140" t="e">
        <f t="shared" si="96"/>
        <v>#NUM!</v>
      </c>
      <c r="Q140" t="e">
        <f t="shared" si="97"/>
        <v>#NUM!</v>
      </c>
      <c r="R140" t="e">
        <f t="shared" si="98"/>
        <v>#NUM!</v>
      </c>
      <c r="S140" t="e">
        <f t="shared" si="99"/>
        <v>#NUM!</v>
      </c>
      <c r="W140" t="e">
        <f t="shared" si="76"/>
        <v>#NUM!</v>
      </c>
      <c r="X140">
        <f t="shared" si="77"/>
        <v>61.570799515387513</v>
      </c>
      <c r="Y140">
        <f t="shared" si="78"/>
        <v>12</v>
      </c>
      <c r="Z140">
        <f t="shared" si="79"/>
        <v>-1.5707963267948966</v>
      </c>
      <c r="AA140" t="e">
        <f t="shared" si="80"/>
        <v>#NUM!</v>
      </c>
      <c r="AB140" t="e">
        <f t="shared" si="81"/>
        <v>#NUM!</v>
      </c>
      <c r="AC140" t="e">
        <f t="shared" si="82"/>
        <v>#NUM!</v>
      </c>
      <c r="AE140">
        <v>3.2153875902064446E-6</v>
      </c>
      <c r="AF140">
        <v>-59.999999999999922</v>
      </c>
      <c r="AH140" s="1">
        <v>134</v>
      </c>
      <c r="AI140" s="1">
        <f t="shared" si="74"/>
        <v>0</v>
      </c>
      <c r="AJ140" s="1">
        <f t="shared" si="74"/>
        <v>0</v>
      </c>
      <c r="AK140" s="2" t="e">
        <f t="shared" si="75"/>
        <v>#NUM!</v>
      </c>
      <c r="AL140" s="2" t="e">
        <f t="shared" si="75"/>
        <v>#NUM!</v>
      </c>
      <c r="AY140">
        <v>49.436943828806236</v>
      </c>
      <c r="BQ140">
        <v>37.543334068461576</v>
      </c>
    </row>
    <row r="141" spans="1:69" x14ac:dyDescent="0.25">
      <c r="A141">
        <v>135</v>
      </c>
      <c r="B141" t="e">
        <f t="shared" si="83"/>
        <v>#NUM!</v>
      </c>
      <c r="C141" t="e">
        <f t="shared" si="84"/>
        <v>#NUM!</v>
      </c>
      <c r="D141" t="e">
        <f t="shared" si="85"/>
        <v>#NUM!</v>
      </c>
      <c r="E141" t="e">
        <f t="shared" si="86"/>
        <v>#NUM!</v>
      </c>
      <c r="F141" t="e">
        <f t="shared" si="87"/>
        <v>#NUM!</v>
      </c>
      <c r="G141" t="e">
        <f t="shared" si="88"/>
        <v>#NUM!</v>
      </c>
      <c r="H141" t="e">
        <f t="shared" si="89"/>
        <v>#NUM!</v>
      </c>
      <c r="J141" t="e">
        <f t="shared" si="90"/>
        <v>#NUM!</v>
      </c>
      <c r="K141" t="e">
        <f t="shared" si="91"/>
        <v>#NUM!</v>
      </c>
      <c r="L141" t="e">
        <f t="shared" si="92"/>
        <v>#NUM!</v>
      </c>
      <c r="M141" t="e">
        <f t="shared" si="93"/>
        <v>#NUM!</v>
      </c>
      <c r="N141" t="e">
        <f t="shared" si="94"/>
        <v>#NUM!</v>
      </c>
      <c r="O141" t="e">
        <f t="shared" si="95"/>
        <v>#NUM!</v>
      </c>
      <c r="P141" t="e">
        <f t="shared" si="96"/>
        <v>#NUM!</v>
      </c>
      <c r="Q141" t="e">
        <f t="shared" si="97"/>
        <v>#NUM!</v>
      </c>
      <c r="R141" t="e">
        <f t="shared" si="98"/>
        <v>#NUM!</v>
      </c>
      <c r="S141" t="e">
        <f t="shared" si="99"/>
        <v>#NUM!</v>
      </c>
      <c r="W141" t="e">
        <f t="shared" si="76"/>
        <v>#NUM!</v>
      </c>
      <c r="X141">
        <f t="shared" si="77"/>
        <v>61.570799515387513</v>
      </c>
      <c r="Y141">
        <f t="shared" si="78"/>
        <v>12</v>
      </c>
      <c r="Z141">
        <f t="shared" si="79"/>
        <v>-1.5707963267948966</v>
      </c>
      <c r="AA141" t="e">
        <f t="shared" si="80"/>
        <v>#NUM!</v>
      </c>
      <c r="AB141" t="e">
        <f t="shared" si="81"/>
        <v>#NUM!</v>
      </c>
      <c r="AC141" t="e">
        <f t="shared" si="82"/>
        <v>#NUM!</v>
      </c>
      <c r="AE141">
        <v>3.2153875902064446E-6</v>
      </c>
      <c r="AF141">
        <v>-59.999999999999922</v>
      </c>
      <c r="AH141" s="1">
        <v>135</v>
      </c>
      <c r="AI141" s="1">
        <f t="shared" si="74"/>
        <v>0</v>
      </c>
      <c r="AJ141" s="1">
        <f t="shared" si="74"/>
        <v>0</v>
      </c>
      <c r="AK141" s="2" t="e">
        <f t="shared" si="75"/>
        <v>#NUM!</v>
      </c>
      <c r="AL141" s="2" t="e">
        <f t="shared" si="75"/>
        <v>#NUM!</v>
      </c>
      <c r="AY141">
        <v>48.481866848983351</v>
      </c>
      <c r="BQ141">
        <v>39.063330406685104</v>
      </c>
    </row>
    <row r="142" spans="1:69" x14ac:dyDescent="0.25">
      <c r="A142">
        <v>136</v>
      </c>
      <c r="B142" t="e">
        <f t="shared" si="83"/>
        <v>#NUM!</v>
      </c>
      <c r="C142" t="e">
        <f t="shared" si="84"/>
        <v>#NUM!</v>
      </c>
      <c r="D142" t="e">
        <f t="shared" si="85"/>
        <v>#NUM!</v>
      </c>
      <c r="E142" t="e">
        <f t="shared" si="86"/>
        <v>#NUM!</v>
      </c>
      <c r="F142" t="e">
        <f t="shared" si="87"/>
        <v>#NUM!</v>
      </c>
      <c r="G142" t="e">
        <f t="shared" si="88"/>
        <v>#NUM!</v>
      </c>
      <c r="H142" t="e">
        <f t="shared" si="89"/>
        <v>#NUM!</v>
      </c>
      <c r="J142" t="e">
        <f t="shared" si="90"/>
        <v>#NUM!</v>
      </c>
      <c r="K142" t="e">
        <f t="shared" si="91"/>
        <v>#NUM!</v>
      </c>
      <c r="L142" t="e">
        <f t="shared" si="92"/>
        <v>#NUM!</v>
      </c>
      <c r="M142" t="e">
        <f t="shared" si="93"/>
        <v>#NUM!</v>
      </c>
      <c r="N142" t="e">
        <f t="shared" si="94"/>
        <v>#NUM!</v>
      </c>
      <c r="O142" t="e">
        <f t="shared" si="95"/>
        <v>#NUM!</v>
      </c>
      <c r="P142" t="e">
        <f t="shared" si="96"/>
        <v>#NUM!</v>
      </c>
      <c r="Q142" t="e">
        <f t="shared" si="97"/>
        <v>#NUM!</v>
      </c>
      <c r="R142" t="e">
        <f t="shared" si="98"/>
        <v>#NUM!</v>
      </c>
      <c r="S142" t="e">
        <f t="shared" si="99"/>
        <v>#NUM!</v>
      </c>
      <c r="W142" t="e">
        <f t="shared" si="76"/>
        <v>#NUM!</v>
      </c>
      <c r="X142">
        <f t="shared" si="77"/>
        <v>61.570799515387513</v>
      </c>
      <c r="Y142">
        <f t="shared" si="78"/>
        <v>12</v>
      </c>
      <c r="Z142">
        <f t="shared" si="79"/>
        <v>-1.5707963267948966</v>
      </c>
      <c r="AA142" t="e">
        <f t="shared" si="80"/>
        <v>#NUM!</v>
      </c>
      <c r="AB142" t="e">
        <f t="shared" si="81"/>
        <v>#NUM!</v>
      </c>
      <c r="AC142" t="e">
        <f t="shared" si="82"/>
        <v>#NUM!</v>
      </c>
      <c r="AE142">
        <v>3.2153875902064446E-6</v>
      </c>
      <c r="AF142">
        <v>-59.999999999999922</v>
      </c>
      <c r="AH142" s="1">
        <v>136</v>
      </c>
      <c r="AI142" s="1">
        <f t="shared" si="74"/>
        <v>0</v>
      </c>
      <c r="AJ142" s="1">
        <f t="shared" si="74"/>
        <v>0</v>
      </c>
      <c r="AK142" s="2" t="e">
        <f t="shared" si="75"/>
        <v>#NUM!</v>
      </c>
      <c r="AL142" s="2" t="e">
        <f t="shared" si="75"/>
        <v>#NUM!</v>
      </c>
      <c r="AY142">
        <v>47.489192164761299</v>
      </c>
      <c r="BQ142">
        <v>40.559043573340134</v>
      </c>
    </row>
    <row r="143" spans="1:69" x14ac:dyDescent="0.25">
      <c r="A143">
        <v>137</v>
      </c>
      <c r="B143" t="e">
        <f t="shared" si="83"/>
        <v>#NUM!</v>
      </c>
      <c r="C143" t="e">
        <f t="shared" si="84"/>
        <v>#NUM!</v>
      </c>
      <c r="D143" t="e">
        <f t="shared" si="85"/>
        <v>#NUM!</v>
      </c>
      <c r="E143" t="e">
        <f t="shared" si="86"/>
        <v>#NUM!</v>
      </c>
      <c r="F143" t="e">
        <f t="shared" si="87"/>
        <v>#NUM!</v>
      </c>
      <c r="G143" t="e">
        <f t="shared" si="88"/>
        <v>#NUM!</v>
      </c>
      <c r="H143" t="e">
        <f t="shared" si="89"/>
        <v>#NUM!</v>
      </c>
      <c r="J143" t="e">
        <f t="shared" si="90"/>
        <v>#NUM!</v>
      </c>
      <c r="K143" t="e">
        <f t="shared" si="91"/>
        <v>#NUM!</v>
      </c>
      <c r="L143" t="e">
        <f t="shared" si="92"/>
        <v>#NUM!</v>
      </c>
      <c r="M143" t="e">
        <f t="shared" si="93"/>
        <v>#NUM!</v>
      </c>
      <c r="N143" t="e">
        <f t="shared" si="94"/>
        <v>#NUM!</v>
      </c>
      <c r="O143" t="e">
        <f t="shared" si="95"/>
        <v>#NUM!</v>
      </c>
      <c r="P143" t="e">
        <f t="shared" si="96"/>
        <v>#NUM!</v>
      </c>
      <c r="Q143" t="e">
        <f t="shared" si="97"/>
        <v>#NUM!</v>
      </c>
      <c r="R143" t="e">
        <f t="shared" si="98"/>
        <v>#NUM!</v>
      </c>
      <c r="S143" t="e">
        <f t="shared" si="99"/>
        <v>#NUM!</v>
      </c>
      <c r="W143" t="e">
        <f t="shared" si="76"/>
        <v>#NUM!</v>
      </c>
      <c r="X143">
        <f t="shared" si="77"/>
        <v>61.570799515387513</v>
      </c>
      <c r="Y143">
        <f t="shared" si="78"/>
        <v>12</v>
      </c>
      <c r="Z143">
        <f t="shared" si="79"/>
        <v>-1.5707963267948966</v>
      </c>
      <c r="AA143" t="e">
        <f t="shared" si="80"/>
        <v>#NUM!</v>
      </c>
      <c r="AB143" t="e">
        <f t="shared" si="81"/>
        <v>#NUM!</v>
      </c>
      <c r="AC143" t="e">
        <f t="shared" si="82"/>
        <v>#NUM!</v>
      </c>
      <c r="AE143">
        <v>3.2153875902064446E-6</v>
      </c>
      <c r="AF143">
        <v>-59.999999999999922</v>
      </c>
      <c r="AH143" s="1">
        <v>137</v>
      </c>
      <c r="AI143" s="1">
        <f t="shared" si="74"/>
        <v>0</v>
      </c>
      <c r="AJ143" s="1">
        <f t="shared" si="74"/>
        <v>0</v>
      </c>
      <c r="AK143" s="2" t="e">
        <f t="shared" si="75"/>
        <v>#NUM!</v>
      </c>
      <c r="AL143" s="2" t="e">
        <f t="shared" si="75"/>
        <v>#NUM!</v>
      </c>
      <c r="AY143">
        <v>46.45953685843741</v>
      </c>
      <c r="BQ143">
        <v>42.029543779310735</v>
      </c>
    </row>
    <row r="144" spans="1:69" x14ac:dyDescent="0.25">
      <c r="A144">
        <v>138</v>
      </c>
      <c r="B144" t="e">
        <f t="shared" si="83"/>
        <v>#NUM!</v>
      </c>
      <c r="C144" t="e">
        <f t="shared" si="84"/>
        <v>#NUM!</v>
      </c>
      <c r="D144" t="e">
        <f t="shared" si="85"/>
        <v>#NUM!</v>
      </c>
      <c r="E144" t="e">
        <f t="shared" si="86"/>
        <v>#NUM!</v>
      </c>
      <c r="F144" t="e">
        <f t="shared" si="87"/>
        <v>#NUM!</v>
      </c>
      <c r="G144" t="e">
        <f t="shared" si="88"/>
        <v>#NUM!</v>
      </c>
      <c r="H144" t="e">
        <f t="shared" si="89"/>
        <v>#NUM!</v>
      </c>
      <c r="J144" t="e">
        <f t="shared" si="90"/>
        <v>#NUM!</v>
      </c>
      <c r="K144" t="e">
        <f t="shared" si="91"/>
        <v>#NUM!</v>
      </c>
      <c r="L144" t="e">
        <f t="shared" si="92"/>
        <v>#NUM!</v>
      </c>
      <c r="M144" t="e">
        <f t="shared" si="93"/>
        <v>#NUM!</v>
      </c>
      <c r="N144" t="e">
        <f t="shared" si="94"/>
        <v>#NUM!</v>
      </c>
      <c r="O144" t="e">
        <f t="shared" si="95"/>
        <v>#NUM!</v>
      </c>
      <c r="P144" t="e">
        <f t="shared" si="96"/>
        <v>#NUM!</v>
      </c>
      <c r="Q144" t="e">
        <f t="shared" si="97"/>
        <v>#NUM!</v>
      </c>
      <c r="R144" t="e">
        <f t="shared" si="98"/>
        <v>#NUM!</v>
      </c>
      <c r="S144" t="e">
        <f t="shared" si="99"/>
        <v>#NUM!</v>
      </c>
      <c r="W144" t="e">
        <f t="shared" si="76"/>
        <v>#NUM!</v>
      </c>
      <c r="X144">
        <f t="shared" si="77"/>
        <v>61.570799515387513</v>
      </c>
      <c r="Y144">
        <f t="shared" si="78"/>
        <v>12</v>
      </c>
      <c r="Z144">
        <f t="shared" si="79"/>
        <v>-1.5707963267948966</v>
      </c>
      <c r="AA144" t="e">
        <f t="shared" si="80"/>
        <v>#NUM!</v>
      </c>
      <c r="AB144" t="e">
        <f t="shared" si="81"/>
        <v>#NUM!</v>
      </c>
      <c r="AC144" t="e">
        <f t="shared" si="82"/>
        <v>#NUM!</v>
      </c>
      <c r="AE144">
        <v>3.2153875902064446E-6</v>
      </c>
      <c r="AF144">
        <v>-59.999999999999922</v>
      </c>
      <c r="AH144" s="1">
        <v>138</v>
      </c>
      <c r="AI144" s="1">
        <f t="shared" si="74"/>
        <v>0</v>
      </c>
      <c r="AJ144" s="1">
        <f t="shared" si="74"/>
        <v>0</v>
      </c>
      <c r="AK144" s="2" t="e">
        <f t="shared" si="75"/>
        <v>#NUM!</v>
      </c>
      <c r="AL144" s="2" t="e">
        <f t="shared" si="75"/>
        <v>#NUM!</v>
      </c>
      <c r="AY144">
        <v>45.39354100079418</v>
      </c>
      <c r="BQ144">
        <v>43.473916908764473</v>
      </c>
    </row>
    <row r="145" spans="1:69" x14ac:dyDescent="0.25">
      <c r="A145">
        <v>139</v>
      </c>
      <c r="B145" t="e">
        <f t="shared" si="83"/>
        <v>#NUM!</v>
      </c>
      <c r="C145" t="e">
        <f t="shared" si="84"/>
        <v>#NUM!</v>
      </c>
      <c r="D145" t="e">
        <f t="shared" si="85"/>
        <v>#NUM!</v>
      </c>
      <c r="E145" t="e">
        <f t="shared" si="86"/>
        <v>#NUM!</v>
      </c>
      <c r="F145" t="e">
        <f t="shared" si="87"/>
        <v>#NUM!</v>
      </c>
      <c r="G145" t="e">
        <f t="shared" si="88"/>
        <v>#NUM!</v>
      </c>
      <c r="H145" t="e">
        <f t="shared" si="89"/>
        <v>#NUM!</v>
      </c>
      <c r="J145" t="e">
        <f t="shared" si="90"/>
        <v>#NUM!</v>
      </c>
      <c r="K145" t="e">
        <f t="shared" si="91"/>
        <v>#NUM!</v>
      </c>
      <c r="L145" t="e">
        <f t="shared" si="92"/>
        <v>#NUM!</v>
      </c>
      <c r="M145" t="e">
        <f t="shared" si="93"/>
        <v>#NUM!</v>
      </c>
      <c r="N145" t="e">
        <f t="shared" si="94"/>
        <v>#NUM!</v>
      </c>
      <c r="O145" t="e">
        <f t="shared" si="95"/>
        <v>#NUM!</v>
      </c>
      <c r="P145" t="e">
        <f t="shared" si="96"/>
        <v>#NUM!</v>
      </c>
      <c r="Q145" t="e">
        <f t="shared" si="97"/>
        <v>#NUM!</v>
      </c>
      <c r="R145" t="e">
        <f t="shared" si="98"/>
        <v>#NUM!</v>
      </c>
      <c r="S145" t="e">
        <f t="shared" si="99"/>
        <v>#NUM!</v>
      </c>
      <c r="W145" t="e">
        <f t="shared" si="76"/>
        <v>#NUM!</v>
      </c>
      <c r="X145">
        <f t="shared" si="77"/>
        <v>61.570799515387513</v>
      </c>
      <c r="Y145">
        <f t="shared" si="78"/>
        <v>12</v>
      </c>
      <c r="Z145">
        <f t="shared" si="79"/>
        <v>-1.5707963267948966</v>
      </c>
      <c r="AA145" t="e">
        <f t="shared" si="80"/>
        <v>#NUM!</v>
      </c>
      <c r="AB145" t="e">
        <f t="shared" si="81"/>
        <v>#NUM!</v>
      </c>
      <c r="AC145" t="e">
        <f t="shared" si="82"/>
        <v>#NUM!</v>
      </c>
      <c r="AE145">
        <v>3.2153875902064446E-6</v>
      </c>
      <c r="AF145">
        <v>-59.999999999999922</v>
      </c>
      <c r="AH145" s="1">
        <v>139</v>
      </c>
      <c r="AI145" s="1">
        <f t="shared" si="74"/>
        <v>0</v>
      </c>
      <c r="AJ145" s="1">
        <f t="shared" si="74"/>
        <v>0</v>
      </c>
      <c r="AK145" s="2" t="e">
        <f t="shared" si="75"/>
        <v>#NUM!</v>
      </c>
      <c r="AL145" s="2" t="e">
        <f t="shared" si="75"/>
        <v>#NUM!</v>
      </c>
      <c r="AY145">
        <v>44.29186725320821</v>
      </c>
      <c r="BQ145">
        <v>44.891265087399631</v>
      </c>
    </row>
    <row r="146" spans="1:69" x14ac:dyDescent="0.25">
      <c r="A146">
        <v>140</v>
      </c>
      <c r="B146" t="e">
        <f t="shared" si="83"/>
        <v>#NUM!</v>
      </c>
      <c r="C146" t="e">
        <f t="shared" si="84"/>
        <v>#NUM!</v>
      </c>
      <c r="D146" t="e">
        <f t="shared" si="85"/>
        <v>#NUM!</v>
      </c>
      <c r="E146" t="e">
        <f t="shared" si="86"/>
        <v>#NUM!</v>
      </c>
      <c r="F146" t="e">
        <f t="shared" si="87"/>
        <v>#NUM!</v>
      </c>
      <c r="G146" t="e">
        <f t="shared" si="88"/>
        <v>#NUM!</v>
      </c>
      <c r="H146" t="e">
        <f t="shared" si="89"/>
        <v>#NUM!</v>
      </c>
      <c r="J146" t="e">
        <f t="shared" si="90"/>
        <v>#NUM!</v>
      </c>
      <c r="K146" t="e">
        <f t="shared" si="91"/>
        <v>#NUM!</v>
      </c>
      <c r="L146" t="e">
        <f t="shared" si="92"/>
        <v>#NUM!</v>
      </c>
      <c r="M146" t="e">
        <f t="shared" si="93"/>
        <v>#NUM!</v>
      </c>
      <c r="N146" t="e">
        <f t="shared" si="94"/>
        <v>#NUM!</v>
      </c>
      <c r="O146" t="e">
        <f t="shared" si="95"/>
        <v>#NUM!</v>
      </c>
      <c r="P146" t="e">
        <f t="shared" si="96"/>
        <v>#NUM!</v>
      </c>
      <c r="Q146" t="e">
        <f t="shared" si="97"/>
        <v>#NUM!</v>
      </c>
      <c r="R146" t="e">
        <f t="shared" si="98"/>
        <v>#NUM!</v>
      </c>
      <c r="S146" t="e">
        <f t="shared" si="99"/>
        <v>#NUM!</v>
      </c>
      <c r="W146" t="e">
        <f t="shared" si="76"/>
        <v>#NUM!</v>
      </c>
      <c r="X146">
        <f t="shared" si="77"/>
        <v>61.570799515387513</v>
      </c>
      <c r="Y146">
        <f t="shared" si="78"/>
        <v>12</v>
      </c>
      <c r="Z146">
        <f t="shared" si="79"/>
        <v>-1.5707963267948966</v>
      </c>
      <c r="AA146" t="e">
        <f t="shared" si="80"/>
        <v>#NUM!</v>
      </c>
      <c r="AB146" t="e">
        <f t="shared" si="81"/>
        <v>#NUM!</v>
      </c>
      <c r="AC146" t="e">
        <f t="shared" si="82"/>
        <v>#NUM!</v>
      </c>
      <c r="AE146">
        <v>3.2153875902064446E-6</v>
      </c>
      <c r="AF146">
        <v>-59.999999999999922</v>
      </c>
      <c r="AH146" s="1">
        <v>140</v>
      </c>
      <c r="AI146" s="1">
        <f t="shared" si="74"/>
        <v>0</v>
      </c>
      <c r="AJ146" s="1">
        <f t="shared" si="74"/>
        <v>0</v>
      </c>
      <c r="AK146" s="2" t="e">
        <f t="shared" si="75"/>
        <v>#NUM!</v>
      </c>
      <c r="AL146" s="2" t="e">
        <f t="shared" si="75"/>
        <v>#NUM!</v>
      </c>
      <c r="AY146">
        <v>43.155200455716098</v>
      </c>
      <c r="BQ146">
        <v>46.280707240596215</v>
      </c>
    </row>
    <row r="147" spans="1:69" x14ac:dyDescent="0.25">
      <c r="A147">
        <v>141</v>
      </c>
      <c r="B147" t="e">
        <f t="shared" si="83"/>
        <v>#NUM!</v>
      </c>
      <c r="C147" t="e">
        <f t="shared" si="84"/>
        <v>#NUM!</v>
      </c>
      <c r="D147" t="e">
        <f t="shared" si="85"/>
        <v>#NUM!</v>
      </c>
      <c r="E147" t="e">
        <f t="shared" si="86"/>
        <v>#NUM!</v>
      </c>
      <c r="F147" t="e">
        <f t="shared" si="87"/>
        <v>#NUM!</v>
      </c>
      <c r="G147" t="e">
        <f t="shared" si="88"/>
        <v>#NUM!</v>
      </c>
      <c r="H147" t="e">
        <f t="shared" si="89"/>
        <v>#NUM!</v>
      </c>
      <c r="J147" t="e">
        <f t="shared" si="90"/>
        <v>#NUM!</v>
      </c>
      <c r="K147" t="e">
        <f t="shared" si="91"/>
        <v>#NUM!</v>
      </c>
      <c r="L147" t="e">
        <f t="shared" si="92"/>
        <v>#NUM!</v>
      </c>
      <c r="M147" t="e">
        <f t="shared" si="93"/>
        <v>#NUM!</v>
      </c>
      <c r="N147" t="e">
        <f t="shared" si="94"/>
        <v>#NUM!</v>
      </c>
      <c r="O147" t="e">
        <f t="shared" si="95"/>
        <v>#NUM!</v>
      </c>
      <c r="P147" t="e">
        <f t="shared" si="96"/>
        <v>#NUM!</v>
      </c>
      <c r="Q147" t="e">
        <f t="shared" si="97"/>
        <v>#NUM!</v>
      </c>
      <c r="R147" t="e">
        <f t="shared" si="98"/>
        <v>#NUM!</v>
      </c>
      <c r="S147" t="e">
        <f t="shared" si="99"/>
        <v>#NUM!</v>
      </c>
      <c r="W147" t="e">
        <f t="shared" si="76"/>
        <v>#NUM!</v>
      </c>
      <c r="X147">
        <f t="shared" si="77"/>
        <v>61.570799515387513</v>
      </c>
      <c r="Y147">
        <f t="shared" si="78"/>
        <v>12</v>
      </c>
      <c r="Z147">
        <f t="shared" si="79"/>
        <v>-1.5707963267948966</v>
      </c>
      <c r="AA147" t="e">
        <f t="shared" si="80"/>
        <v>#NUM!</v>
      </c>
      <c r="AB147" t="e">
        <f t="shared" si="81"/>
        <v>#NUM!</v>
      </c>
      <c r="AC147" t="e">
        <f t="shared" si="82"/>
        <v>#NUM!</v>
      </c>
      <c r="AE147">
        <v>3.2153875902064446E-6</v>
      </c>
      <c r="AF147">
        <v>-59.999999999999922</v>
      </c>
      <c r="AH147" s="1">
        <v>141</v>
      </c>
      <c r="AI147" s="1">
        <f t="shared" si="74"/>
        <v>0</v>
      </c>
      <c r="AJ147" s="1">
        <f t="shared" si="74"/>
        <v>0</v>
      </c>
      <c r="AK147" s="2" t="e">
        <f t="shared" si="75"/>
        <v>#NUM!</v>
      </c>
      <c r="AL147" s="2" t="e">
        <f t="shared" si="75"/>
        <v>#NUM!</v>
      </c>
      <c r="AY147">
        <v>41.984247201293201</v>
      </c>
      <c r="BQ147">
        <v>47.641379641123606</v>
      </c>
    </row>
    <row r="148" spans="1:69" x14ac:dyDescent="0.25">
      <c r="A148">
        <v>142</v>
      </c>
      <c r="B148" t="e">
        <f t="shared" si="83"/>
        <v>#NUM!</v>
      </c>
      <c r="C148" t="e">
        <f t="shared" si="84"/>
        <v>#NUM!</v>
      </c>
      <c r="D148" t="e">
        <f t="shared" si="85"/>
        <v>#NUM!</v>
      </c>
      <c r="E148" t="e">
        <f t="shared" si="86"/>
        <v>#NUM!</v>
      </c>
      <c r="F148" t="e">
        <f t="shared" si="87"/>
        <v>#NUM!</v>
      </c>
      <c r="G148" t="e">
        <f t="shared" si="88"/>
        <v>#NUM!</v>
      </c>
      <c r="H148" t="e">
        <f t="shared" si="89"/>
        <v>#NUM!</v>
      </c>
      <c r="J148" t="e">
        <f t="shared" si="90"/>
        <v>#NUM!</v>
      </c>
      <c r="K148" t="e">
        <f t="shared" si="91"/>
        <v>#NUM!</v>
      </c>
      <c r="L148" t="e">
        <f t="shared" si="92"/>
        <v>#NUM!</v>
      </c>
      <c r="M148" t="e">
        <f t="shared" si="93"/>
        <v>#NUM!</v>
      </c>
      <c r="N148" t="e">
        <f t="shared" si="94"/>
        <v>#NUM!</v>
      </c>
      <c r="O148" t="e">
        <f t="shared" si="95"/>
        <v>#NUM!</v>
      </c>
      <c r="P148" t="e">
        <f t="shared" si="96"/>
        <v>#NUM!</v>
      </c>
      <c r="Q148" t="e">
        <f t="shared" si="97"/>
        <v>#NUM!</v>
      </c>
      <c r="R148" t="e">
        <f t="shared" si="98"/>
        <v>#NUM!</v>
      </c>
      <c r="S148" t="e">
        <f t="shared" si="99"/>
        <v>#NUM!</v>
      </c>
      <c r="W148" t="e">
        <f t="shared" si="76"/>
        <v>#NUM!</v>
      </c>
      <c r="X148">
        <f t="shared" si="77"/>
        <v>61.570799515387513</v>
      </c>
      <c r="Y148">
        <f t="shared" si="78"/>
        <v>12</v>
      </c>
      <c r="Z148">
        <f t="shared" si="79"/>
        <v>-1.5707963267948966</v>
      </c>
      <c r="AA148" t="e">
        <f t="shared" si="80"/>
        <v>#NUM!</v>
      </c>
      <c r="AB148" t="e">
        <f t="shared" si="81"/>
        <v>#NUM!</v>
      </c>
      <c r="AC148" t="e">
        <f t="shared" si="82"/>
        <v>#NUM!</v>
      </c>
      <c r="AE148">
        <v>3.2153875902064446E-6</v>
      </c>
      <c r="AF148">
        <v>-59.999999999999922</v>
      </c>
      <c r="AH148" s="1">
        <v>142</v>
      </c>
      <c r="AI148" s="1">
        <f t="shared" si="74"/>
        <v>0</v>
      </c>
      <c r="AJ148" s="1">
        <f t="shared" si="74"/>
        <v>0</v>
      </c>
      <c r="AK148" s="2" t="e">
        <f t="shared" si="75"/>
        <v>#NUM!</v>
      </c>
      <c r="AL148" s="2" t="e">
        <f t="shared" si="75"/>
        <v>#NUM!</v>
      </c>
      <c r="AY148">
        <v>40.779735396610057</v>
      </c>
      <c r="BQ148">
        <v>48.972436446064506</v>
      </c>
    </row>
    <row r="149" spans="1:69" x14ac:dyDescent="0.25">
      <c r="A149">
        <v>143</v>
      </c>
      <c r="B149" t="e">
        <f t="shared" si="83"/>
        <v>#NUM!</v>
      </c>
      <c r="C149" t="e">
        <f t="shared" si="84"/>
        <v>#NUM!</v>
      </c>
      <c r="D149" t="e">
        <f t="shared" si="85"/>
        <v>#NUM!</v>
      </c>
      <c r="E149" t="e">
        <f t="shared" si="86"/>
        <v>#NUM!</v>
      </c>
      <c r="F149" t="e">
        <f t="shared" si="87"/>
        <v>#NUM!</v>
      </c>
      <c r="G149" t="e">
        <f t="shared" si="88"/>
        <v>#NUM!</v>
      </c>
      <c r="H149" t="e">
        <f t="shared" si="89"/>
        <v>#NUM!</v>
      </c>
      <c r="J149" t="e">
        <f t="shared" si="90"/>
        <v>#NUM!</v>
      </c>
      <c r="K149" t="e">
        <f t="shared" si="91"/>
        <v>#NUM!</v>
      </c>
      <c r="L149" t="e">
        <f t="shared" si="92"/>
        <v>#NUM!</v>
      </c>
      <c r="M149" t="e">
        <f t="shared" si="93"/>
        <v>#NUM!</v>
      </c>
      <c r="N149" t="e">
        <f t="shared" si="94"/>
        <v>#NUM!</v>
      </c>
      <c r="O149" t="e">
        <f t="shared" si="95"/>
        <v>#NUM!</v>
      </c>
      <c r="P149" t="e">
        <f t="shared" si="96"/>
        <v>#NUM!</v>
      </c>
      <c r="Q149" t="e">
        <f t="shared" si="97"/>
        <v>#NUM!</v>
      </c>
      <c r="R149" t="e">
        <f t="shared" si="98"/>
        <v>#NUM!</v>
      </c>
      <c r="S149" t="e">
        <f t="shared" si="99"/>
        <v>#NUM!</v>
      </c>
      <c r="W149" t="e">
        <f t="shared" si="76"/>
        <v>#NUM!</v>
      </c>
      <c r="X149">
        <f t="shared" si="77"/>
        <v>61.570799515387513</v>
      </c>
      <c r="Y149">
        <f t="shared" si="78"/>
        <v>12</v>
      </c>
      <c r="Z149">
        <f t="shared" si="79"/>
        <v>-1.5707963267948966</v>
      </c>
      <c r="AA149" t="e">
        <f t="shared" si="80"/>
        <v>#NUM!</v>
      </c>
      <c r="AB149" t="e">
        <f t="shared" si="81"/>
        <v>#NUM!</v>
      </c>
      <c r="AC149" t="e">
        <f t="shared" si="82"/>
        <v>#NUM!</v>
      </c>
      <c r="AE149">
        <v>3.2153875902064446E-6</v>
      </c>
      <c r="AF149">
        <v>-59.999999999999922</v>
      </c>
      <c r="AH149" s="1">
        <v>143</v>
      </c>
      <c r="AI149" s="1">
        <f t="shared" si="74"/>
        <v>0</v>
      </c>
      <c r="AJ149" s="1">
        <f t="shared" si="74"/>
        <v>0</v>
      </c>
      <c r="AK149" s="2" t="e">
        <f t="shared" si="75"/>
        <v>#NUM!</v>
      </c>
      <c r="AL149" s="2" t="e">
        <f t="shared" si="75"/>
        <v>#NUM!</v>
      </c>
      <c r="AY149">
        <v>39.542413809539362</v>
      </c>
      <c r="BQ149">
        <v>50.273050222621329</v>
      </c>
    </row>
    <row r="150" spans="1:69" x14ac:dyDescent="0.25">
      <c r="A150">
        <v>144</v>
      </c>
      <c r="B150" t="e">
        <f t="shared" si="83"/>
        <v>#NUM!</v>
      </c>
      <c r="C150" t="e">
        <f t="shared" si="84"/>
        <v>#NUM!</v>
      </c>
      <c r="D150" t="e">
        <f t="shared" si="85"/>
        <v>#NUM!</v>
      </c>
      <c r="E150" t="e">
        <f t="shared" si="86"/>
        <v>#NUM!</v>
      </c>
      <c r="F150" t="e">
        <f t="shared" si="87"/>
        <v>#NUM!</v>
      </c>
      <c r="G150" t="e">
        <f t="shared" si="88"/>
        <v>#NUM!</v>
      </c>
      <c r="H150" t="e">
        <f t="shared" si="89"/>
        <v>#NUM!</v>
      </c>
      <c r="J150" t="e">
        <f t="shared" si="90"/>
        <v>#NUM!</v>
      </c>
      <c r="K150" t="e">
        <f t="shared" si="91"/>
        <v>#NUM!</v>
      </c>
      <c r="L150" t="e">
        <f t="shared" si="92"/>
        <v>#NUM!</v>
      </c>
      <c r="M150" t="e">
        <f t="shared" si="93"/>
        <v>#NUM!</v>
      </c>
      <c r="N150" t="e">
        <f t="shared" si="94"/>
        <v>#NUM!</v>
      </c>
      <c r="O150" t="e">
        <f t="shared" si="95"/>
        <v>#NUM!</v>
      </c>
      <c r="P150" t="e">
        <f t="shared" si="96"/>
        <v>#NUM!</v>
      </c>
      <c r="Q150" t="e">
        <f t="shared" si="97"/>
        <v>#NUM!</v>
      </c>
      <c r="R150" t="e">
        <f t="shared" si="98"/>
        <v>#NUM!</v>
      </c>
      <c r="S150" t="e">
        <f t="shared" si="99"/>
        <v>#NUM!</v>
      </c>
      <c r="W150" t="e">
        <f t="shared" si="76"/>
        <v>#NUM!</v>
      </c>
      <c r="X150">
        <f t="shared" si="77"/>
        <v>61.570799515387513</v>
      </c>
      <c r="Y150">
        <f t="shared" si="78"/>
        <v>12</v>
      </c>
      <c r="Z150">
        <f t="shared" si="79"/>
        <v>-1.5707963267948966</v>
      </c>
      <c r="AA150" t="e">
        <f t="shared" si="80"/>
        <v>#NUM!</v>
      </c>
      <c r="AB150" t="e">
        <f t="shared" si="81"/>
        <v>#NUM!</v>
      </c>
      <c r="AC150" t="e">
        <f t="shared" si="82"/>
        <v>#NUM!</v>
      </c>
      <c r="AE150">
        <v>3.2153875902064446E-6</v>
      </c>
      <c r="AF150">
        <v>-59.999999999999922</v>
      </c>
      <c r="AH150" s="1">
        <v>144</v>
      </c>
      <c r="AI150" s="1">
        <f t="shared" si="74"/>
        <v>0</v>
      </c>
      <c r="AJ150" s="1">
        <f t="shared" si="74"/>
        <v>0</v>
      </c>
      <c r="AK150" s="2" t="e">
        <f t="shared" si="75"/>
        <v>#NUM!</v>
      </c>
      <c r="AL150" s="2" t="e">
        <f t="shared" si="75"/>
        <v>#NUM!</v>
      </c>
      <c r="AY150">
        <v>38.27305160369496</v>
      </c>
      <c r="BQ150">
        <v>51.542412462478161</v>
      </c>
    </row>
    <row r="151" spans="1:69" x14ac:dyDescent="0.25">
      <c r="A151">
        <v>145</v>
      </c>
      <c r="B151" t="e">
        <f t="shared" si="83"/>
        <v>#NUM!</v>
      </c>
      <c r="C151" t="e">
        <f t="shared" si="84"/>
        <v>#NUM!</v>
      </c>
      <c r="D151" t="e">
        <f t="shared" si="85"/>
        <v>#NUM!</v>
      </c>
      <c r="E151" t="e">
        <f t="shared" si="86"/>
        <v>#NUM!</v>
      </c>
      <c r="F151" t="e">
        <f t="shared" si="87"/>
        <v>#NUM!</v>
      </c>
      <c r="G151" t="e">
        <f t="shared" si="88"/>
        <v>#NUM!</v>
      </c>
      <c r="H151" t="e">
        <f t="shared" si="89"/>
        <v>#NUM!</v>
      </c>
      <c r="J151" t="e">
        <f t="shared" si="90"/>
        <v>#NUM!</v>
      </c>
      <c r="K151" t="e">
        <f t="shared" si="91"/>
        <v>#NUM!</v>
      </c>
      <c r="L151" t="e">
        <f t="shared" si="92"/>
        <v>#NUM!</v>
      </c>
      <c r="M151" t="e">
        <f t="shared" si="93"/>
        <v>#NUM!</v>
      </c>
      <c r="N151" t="e">
        <f t="shared" si="94"/>
        <v>#NUM!</v>
      </c>
      <c r="O151" t="e">
        <f t="shared" si="95"/>
        <v>#NUM!</v>
      </c>
      <c r="P151" t="e">
        <f t="shared" si="96"/>
        <v>#NUM!</v>
      </c>
      <c r="Q151" t="e">
        <f t="shared" si="97"/>
        <v>#NUM!</v>
      </c>
      <c r="R151" t="e">
        <f t="shared" si="98"/>
        <v>#NUM!</v>
      </c>
      <c r="S151" t="e">
        <f t="shared" si="99"/>
        <v>#NUM!</v>
      </c>
      <c r="W151" t="e">
        <f t="shared" si="76"/>
        <v>#NUM!</v>
      </c>
      <c r="X151">
        <f t="shared" si="77"/>
        <v>61.570799515387513</v>
      </c>
      <c r="Y151">
        <f t="shared" si="78"/>
        <v>12</v>
      </c>
      <c r="Z151">
        <f t="shared" si="79"/>
        <v>-1.5707963267948966</v>
      </c>
      <c r="AA151" t="e">
        <f t="shared" si="80"/>
        <v>#NUM!</v>
      </c>
      <c r="AB151" t="e">
        <f t="shared" si="81"/>
        <v>#NUM!</v>
      </c>
      <c r="AC151" t="e">
        <f t="shared" si="82"/>
        <v>#NUM!</v>
      </c>
      <c r="AE151">
        <v>3.2153875902064446E-6</v>
      </c>
      <c r="AF151">
        <v>-59.999999999999922</v>
      </c>
      <c r="AH151" s="1">
        <v>145</v>
      </c>
      <c r="AI151" s="1">
        <f t="shared" si="74"/>
        <v>0</v>
      </c>
      <c r="AJ151" s="1">
        <f t="shared" si="74"/>
        <v>0</v>
      </c>
      <c r="AK151" s="2" t="e">
        <f t="shared" si="75"/>
        <v>#NUM!</v>
      </c>
      <c r="AL151" s="2" t="e">
        <f t="shared" si="75"/>
        <v>#NUM!</v>
      </c>
      <c r="AY151">
        <v>36.97243786029204</v>
      </c>
      <c r="BQ151">
        <v>52.779734084398669</v>
      </c>
    </row>
    <row r="152" spans="1:69" x14ac:dyDescent="0.25">
      <c r="A152">
        <v>146</v>
      </c>
      <c r="B152" t="e">
        <f t="shared" si="83"/>
        <v>#NUM!</v>
      </c>
      <c r="C152" t="e">
        <f t="shared" si="84"/>
        <v>#NUM!</v>
      </c>
      <c r="D152" t="e">
        <f t="shared" si="85"/>
        <v>#NUM!</v>
      </c>
      <c r="E152" t="e">
        <f t="shared" si="86"/>
        <v>#NUM!</v>
      </c>
      <c r="F152" t="e">
        <f t="shared" si="87"/>
        <v>#NUM!</v>
      </c>
      <c r="G152" t="e">
        <f t="shared" si="88"/>
        <v>#NUM!</v>
      </c>
      <c r="H152" t="e">
        <f t="shared" si="89"/>
        <v>#NUM!</v>
      </c>
      <c r="J152" t="e">
        <f t="shared" si="90"/>
        <v>#NUM!</v>
      </c>
      <c r="K152" t="e">
        <f t="shared" si="91"/>
        <v>#NUM!</v>
      </c>
      <c r="L152" t="e">
        <f t="shared" si="92"/>
        <v>#NUM!</v>
      </c>
      <c r="M152" t="e">
        <f t="shared" si="93"/>
        <v>#NUM!</v>
      </c>
      <c r="N152" t="e">
        <f t="shared" si="94"/>
        <v>#NUM!</v>
      </c>
      <c r="O152" t="e">
        <f t="shared" si="95"/>
        <v>#NUM!</v>
      </c>
      <c r="P152" t="e">
        <f t="shared" si="96"/>
        <v>#NUM!</v>
      </c>
      <c r="Q152" t="e">
        <f t="shared" si="97"/>
        <v>#NUM!</v>
      </c>
      <c r="R152" t="e">
        <f t="shared" si="98"/>
        <v>#NUM!</v>
      </c>
      <c r="S152" t="e">
        <f t="shared" si="99"/>
        <v>#NUM!</v>
      </c>
      <c r="W152" t="e">
        <f t="shared" si="76"/>
        <v>#NUM!</v>
      </c>
      <c r="X152">
        <f t="shared" si="77"/>
        <v>61.570799515387513</v>
      </c>
      <c r="Y152">
        <f t="shared" si="78"/>
        <v>12</v>
      </c>
      <c r="Z152">
        <f t="shared" si="79"/>
        <v>-1.5707963267948966</v>
      </c>
      <c r="AA152" t="e">
        <f t="shared" si="80"/>
        <v>#NUM!</v>
      </c>
      <c r="AB152" t="e">
        <f t="shared" si="81"/>
        <v>#NUM!</v>
      </c>
      <c r="AC152" t="e">
        <f t="shared" si="82"/>
        <v>#NUM!</v>
      </c>
      <c r="AE152">
        <v>3.2153875902064446E-6</v>
      </c>
      <c r="AF152">
        <v>-59.999999999999922</v>
      </c>
      <c r="AH152" s="1">
        <v>146</v>
      </c>
      <c r="AI152" s="1">
        <f t="shared" si="74"/>
        <v>0</v>
      </c>
      <c r="AJ152" s="1">
        <f t="shared" si="74"/>
        <v>0</v>
      </c>
      <c r="AK152" s="2" t="e">
        <f t="shared" si="75"/>
        <v>#NUM!</v>
      </c>
      <c r="AL152" s="2" t="e">
        <f t="shared" si="75"/>
        <v>#NUM!</v>
      </c>
      <c r="AY152">
        <v>35.641381087625909</v>
      </c>
      <c r="BQ152">
        <v>53.984245924747341</v>
      </c>
    </row>
    <row r="153" spans="1:69" x14ac:dyDescent="0.25">
      <c r="A153">
        <v>147</v>
      </c>
      <c r="B153" t="e">
        <f t="shared" si="83"/>
        <v>#NUM!</v>
      </c>
      <c r="C153" t="e">
        <f t="shared" si="84"/>
        <v>#NUM!</v>
      </c>
      <c r="D153" t="e">
        <f t="shared" si="85"/>
        <v>#NUM!</v>
      </c>
      <c r="E153" t="e">
        <f t="shared" si="86"/>
        <v>#NUM!</v>
      </c>
      <c r="F153" t="e">
        <f t="shared" si="87"/>
        <v>#NUM!</v>
      </c>
      <c r="G153" t="e">
        <f t="shared" si="88"/>
        <v>#NUM!</v>
      </c>
      <c r="H153" t="e">
        <f t="shared" si="89"/>
        <v>#NUM!</v>
      </c>
      <c r="J153" t="e">
        <f t="shared" si="90"/>
        <v>#NUM!</v>
      </c>
      <c r="K153" t="e">
        <f t="shared" si="91"/>
        <v>#NUM!</v>
      </c>
      <c r="L153" t="e">
        <f t="shared" si="92"/>
        <v>#NUM!</v>
      </c>
      <c r="M153" t="e">
        <f t="shared" si="93"/>
        <v>#NUM!</v>
      </c>
      <c r="N153" t="e">
        <f t="shared" si="94"/>
        <v>#NUM!</v>
      </c>
      <c r="O153" t="e">
        <f t="shared" si="95"/>
        <v>#NUM!</v>
      </c>
      <c r="P153" t="e">
        <f t="shared" si="96"/>
        <v>#NUM!</v>
      </c>
      <c r="Q153" t="e">
        <f t="shared" si="97"/>
        <v>#NUM!</v>
      </c>
      <c r="R153" t="e">
        <f t="shared" si="98"/>
        <v>#NUM!</v>
      </c>
      <c r="S153" t="e">
        <f t="shared" si="99"/>
        <v>#NUM!</v>
      </c>
      <c r="W153" t="e">
        <f t="shared" si="76"/>
        <v>#NUM!</v>
      </c>
      <c r="X153">
        <f t="shared" si="77"/>
        <v>61.570799515387513</v>
      </c>
      <c r="Y153">
        <f t="shared" si="78"/>
        <v>12</v>
      </c>
      <c r="Z153">
        <f t="shared" si="79"/>
        <v>-1.5707963267948966</v>
      </c>
      <c r="AA153" t="e">
        <f t="shared" si="80"/>
        <v>#NUM!</v>
      </c>
      <c r="AB153" t="e">
        <f t="shared" si="81"/>
        <v>#NUM!</v>
      </c>
      <c r="AC153" t="e">
        <f t="shared" si="82"/>
        <v>#NUM!</v>
      </c>
      <c r="AE153">
        <v>3.2153875902064446E-6</v>
      </c>
      <c r="AF153">
        <v>-59.999999999999922</v>
      </c>
      <c r="AH153" s="1">
        <v>147</v>
      </c>
      <c r="AI153" s="1">
        <f t="shared" si="74"/>
        <v>0</v>
      </c>
      <c r="AJ153" s="1">
        <f t="shared" si="74"/>
        <v>0</v>
      </c>
      <c r="AK153" s="2" t="e">
        <f t="shared" si="75"/>
        <v>#NUM!</v>
      </c>
      <c r="AL153" s="2" t="e">
        <f t="shared" si="75"/>
        <v>#NUM!</v>
      </c>
      <c r="AY153">
        <v>34.280708718474088</v>
      </c>
      <c r="BQ153">
        <v>55.15519921562931</v>
      </c>
    </row>
    <row r="154" spans="1:69" x14ac:dyDescent="0.25">
      <c r="A154">
        <v>148</v>
      </c>
      <c r="B154" t="e">
        <f t="shared" si="83"/>
        <v>#NUM!</v>
      </c>
      <c r="C154" t="e">
        <f t="shared" si="84"/>
        <v>#NUM!</v>
      </c>
      <c r="D154" t="e">
        <f t="shared" si="85"/>
        <v>#NUM!</v>
      </c>
      <c r="E154" t="e">
        <f t="shared" si="86"/>
        <v>#NUM!</v>
      </c>
      <c r="F154" t="e">
        <f t="shared" si="87"/>
        <v>#NUM!</v>
      </c>
      <c r="G154" t="e">
        <f t="shared" si="88"/>
        <v>#NUM!</v>
      </c>
      <c r="H154" t="e">
        <f t="shared" si="89"/>
        <v>#NUM!</v>
      </c>
      <c r="J154" t="e">
        <f t="shared" si="90"/>
        <v>#NUM!</v>
      </c>
      <c r="K154" t="e">
        <f t="shared" si="91"/>
        <v>#NUM!</v>
      </c>
      <c r="L154" t="e">
        <f t="shared" si="92"/>
        <v>#NUM!</v>
      </c>
      <c r="M154" t="e">
        <f t="shared" si="93"/>
        <v>#NUM!</v>
      </c>
      <c r="N154" t="e">
        <f t="shared" si="94"/>
        <v>#NUM!</v>
      </c>
      <c r="O154" t="e">
        <f t="shared" si="95"/>
        <v>#NUM!</v>
      </c>
      <c r="P154" t="e">
        <f t="shared" si="96"/>
        <v>#NUM!</v>
      </c>
      <c r="Q154" t="e">
        <f t="shared" si="97"/>
        <v>#NUM!</v>
      </c>
      <c r="R154" t="e">
        <f t="shared" si="98"/>
        <v>#NUM!</v>
      </c>
      <c r="S154" t="e">
        <f t="shared" si="99"/>
        <v>#NUM!</v>
      </c>
      <c r="W154" t="e">
        <f t="shared" si="76"/>
        <v>#NUM!</v>
      </c>
      <c r="X154">
        <f t="shared" si="77"/>
        <v>61.570799515387513</v>
      </c>
      <c r="Y154">
        <f t="shared" si="78"/>
        <v>12</v>
      </c>
      <c r="Z154">
        <f t="shared" si="79"/>
        <v>-1.5707963267948966</v>
      </c>
      <c r="AA154" t="e">
        <f t="shared" si="80"/>
        <v>#NUM!</v>
      </c>
      <c r="AB154" t="e">
        <f t="shared" si="81"/>
        <v>#NUM!</v>
      </c>
      <c r="AC154" t="e">
        <f t="shared" si="82"/>
        <v>#NUM!</v>
      </c>
      <c r="AE154">
        <v>3.2153875902064446E-6</v>
      </c>
      <c r="AF154">
        <v>-59.999999999999922</v>
      </c>
      <c r="AH154" s="1">
        <v>148</v>
      </c>
      <c r="AI154" s="1">
        <f t="shared" si="74"/>
        <v>0</v>
      </c>
      <c r="AJ154" s="1">
        <f t="shared" si="74"/>
        <v>0</v>
      </c>
      <c r="AK154" s="2" t="e">
        <f t="shared" si="75"/>
        <v>#NUM!</v>
      </c>
      <c r="AL154" s="2" t="e">
        <f t="shared" si="75"/>
        <v>#NUM!</v>
      </c>
      <c r="AY154">
        <v>32.891266595734379</v>
      </c>
      <c r="BQ154">
        <v>56.291866050351381</v>
      </c>
    </row>
    <row r="155" spans="1:69" x14ac:dyDescent="0.25">
      <c r="A155">
        <v>149</v>
      </c>
      <c r="B155" t="e">
        <f t="shared" si="83"/>
        <v>#NUM!</v>
      </c>
      <c r="C155" t="e">
        <f t="shared" si="84"/>
        <v>#NUM!</v>
      </c>
      <c r="D155" t="e">
        <f t="shared" si="85"/>
        <v>#NUM!</v>
      </c>
      <c r="E155" t="e">
        <f t="shared" si="86"/>
        <v>#NUM!</v>
      </c>
      <c r="F155" t="e">
        <f t="shared" si="87"/>
        <v>#NUM!</v>
      </c>
      <c r="G155" t="e">
        <f t="shared" si="88"/>
        <v>#NUM!</v>
      </c>
      <c r="H155" t="e">
        <f t="shared" si="89"/>
        <v>#NUM!</v>
      </c>
      <c r="J155" t="e">
        <f t="shared" si="90"/>
        <v>#NUM!</v>
      </c>
      <c r="K155" t="e">
        <f t="shared" si="91"/>
        <v>#NUM!</v>
      </c>
      <c r="L155" t="e">
        <f t="shared" si="92"/>
        <v>#NUM!</v>
      </c>
      <c r="M155" t="e">
        <f t="shared" si="93"/>
        <v>#NUM!</v>
      </c>
      <c r="N155" t="e">
        <f t="shared" si="94"/>
        <v>#NUM!</v>
      </c>
      <c r="O155" t="e">
        <f t="shared" si="95"/>
        <v>#NUM!</v>
      </c>
      <c r="P155" t="e">
        <f t="shared" si="96"/>
        <v>#NUM!</v>
      </c>
      <c r="Q155" t="e">
        <f t="shared" si="97"/>
        <v>#NUM!</v>
      </c>
      <c r="R155" t="e">
        <f t="shared" si="98"/>
        <v>#NUM!</v>
      </c>
      <c r="S155" t="e">
        <f t="shared" si="99"/>
        <v>#NUM!</v>
      </c>
      <c r="W155" t="e">
        <f t="shared" si="76"/>
        <v>#NUM!</v>
      </c>
      <c r="X155">
        <f t="shared" si="77"/>
        <v>61.570799515387513</v>
      </c>
      <c r="Y155">
        <f t="shared" si="78"/>
        <v>12</v>
      </c>
      <c r="Z155">
        <f t="shared" si="79"/>
        <v>-1.5707963267948966</v>
      </c>
      <c r="AA155" t="e">
        <f t="shared" si="80"/>
        <v>#NUM!</v>
      </c>
      <c r="AB155" t="e">
        <f t="shared" si="81"/>
        <v>#NUM!</v>
      </c>
      <c r="AC155" t="e">
        <f t="shared" si="82"/>
        <v>#NUM!</v>
      </c>
      <c r="AE155">
        <v>3.2153875902064446E-6</v>
      </c>
      <c r="AF155">
        <v>-59.999999999999922</v>
      </c>
      <c r="AH155" s="1">
        <v>149</v>
      </c>
      <c r="AI155" s="1">
        <f t="shared" si="74"/>
        <v>0</v>
      </c>
      <c r="AJ155" s="1">
        <f t="shared" si="74"/>
        <v>0</v>
      </c>
      <c r="AK155" s="2" t="e">
        <f t="shared" si="75"/>
        <v>#NUM!</v>
      </c>
      <c r="AL155" s="2" t="e">
        <f t="shared" si="75"/>
        <v>#NUM!</v>
      </c>
      <c r="AY155">
        <v>31.473918446618441</v>
      </c>
      <c r="BQ155">
        <v>57.393539835915057</v>
      </c>
    </row>
    <row r="156" spans="1:69" x14ac:dyDescent="0.25">
      <c r="A156">
        <v>150</v>
      </c>
      <c r="B156" t="e">
        <f t="shared" si="83"/>
        <v>#NUM!</v>
      </c>
      <c r="C156" t="e">
        <f t="shared" si="84"/>
        <v>#NUM!</v>
      </c>
      <c r="D156" t="e">
        <f t="shared" si="85"/>
        <v>#NUM!</v>
      </c>
      <c r="E156" t="e">
        <f t="shared" si="86"/>
        <v>#NUM!</v>
      </c>
      <c r="F156" t="e">
        <f t="shared" si="87"/>
        <v>#NUM!</v>
      </c>
      <c r="G156" t="e">
        <f t="shared" si="88"/>
        <v>#NUM!</v>
      </c>
      <c r="H156" t="e">
        <f t="shared" si="89"/>
        <v>#NUM!</v>
      </c>
      <c r="J156" t="e">
        <f t="shared" si="90"/>
        <v>#NUM!</v>
      </c>
      <c r="K156" t="e">
        <f t="shared" si="91"/>
        <v>#NUM!</v>
      </c>
      <c r="L156" t="e">
        <f t="shared" si="92"/>
        <v>#NUM!</v>
      </c>
      <c r="M156" t="e">
        <f t="shared" si="93"/>
        <v>#NUM!</v>
      </c>
      <c r="N156" t="e">
        <f t="shared" si="94"/>
        <v>#NUM!</v>
      </c>
      <c r="O156" t="e">
        <f t="shared" si="95"/>
        <v>#NUM!</v>
      </c>
      <c r="P156" t="e">
        <f t="shared" si="96"/>
        <v>#NUM!</v>
      </c>
      <c r="Q156" t="e">
        <f t="shared" si="97"/>
        <v>#NUM!</v>
      </c>
      <c r="R156" t="e">
        <f t="shared" si="98"/>
        <v>#NUM!</v>
      </c>
      <c r="S156" t="e">
        <f t="shared" si="99"/>
        <v>#NUM!</v>
      </c>
      <c r="W156" t="e">
        <f t="shared" si="76"/>
        <v>#NUM!</v>
      </c>
      <c r="X156">
        <f t="shared" si="77"/>
        <v>61.570799515387513</v>
      </c>
      <c r="Y156">
        <f t="shared" si="78"/>
        <v>12</v>
      </c>
      <c r="Z156">
        <f t="shared" si="79"/>
        <v>-1.5707963267948966</v>
      </c>
      <c r="AA156" t="e">
        <f t="shared" si="80"/>
        <v>#NUM!</v>
      </c>
      <c r="AB156" t="e">
        <f t="shared" si="81"/>
        <v>#NUM!</v>
      </c>
      <c r="AC156" t="e">
        <f t="shared" si="82"/>
        <v>#NUM!</v>
      </c>
      <c r="AE156">
        <v>3.2153875902064446E-6</v>
      </c>
      <c r="AF156">
        <v>-59.999999999999922</v>
      </c>
      <c r="AH156" s="1">
        <v>150</v>
      </c>
      <c r="AI156" s="1">
        <f t="shared" si="74"/>
        <v>0</v>
      </c>
      <c r="AJ156" s="1">
        <f t="shared" si="74"/>
        <v>0</v>
      </c>
      <c r="AK156" s="2" t="e">
        <f t="shared" si="75"/>
        <v>#NUM!</v>
      </c>
      <c r="AL156" s="2" t="e">
        <f t="shared" si="75"/>
        <v>#NUM!</v>
      </c>
      <c r="AY156">
        <v>30.029545345727961</v>
      </c>
      <c r="BQ156">
        <v>58.459535732260115</v>
      </c>
    </row>
    <row r="157" spans="1:69" x14ac:dyDescent="0.25">
      <c r="A157">
        <v>151</v>
      </c>
      <c r="B157" t="e">
        <f t="shared" si="83"/>
        <v>#NUM!</v>
      </c>
      <c r="C157" t="e">
        <f t="shared" si="84"/>
        <v>#NUM!</v>
      </c>
      <c r="D157" t="e">
        <f t="shared" si="85"/>
        <v>#NUM!</v>
      </c>
      <c r="E157" t="e">
        <f t="shared" si="86"/>
        <v>#NUM!</v>
      </c>
      <c r="F157" t="e">
        <f t="shared" si="87"/>
        <v>#NUM!</v>
      </c>
      <c r="G157" t="e">
        <f t="shared" si="88"/>
        <v>#NUM!</v>
      </c>
      <c r="H157" t="e">
        <f t="shared" si="89"/>
        <v>#NUM!</v>
      </c>
      <c r="J157" t="e">
        <f t="shared" si="90"/>
        <v>#NUM!</v>
      </c>
      <c r="K157" t="e">
        <f t="shared" si="91"/>
        <v>#NUM!</v>
      </c>
      <c r="L157" t="e">
        <f t="shared" si="92"/>
        <v>#NUM!</v>
      </c>
      <c r="M157" t="e">
        <f t="shared" si="93"/>
        <v>#NUM!</v>
      </c>
      <c r="N157" t="e">
        <f t="shared" si="94"/>
        <v>#NUM!</v>
      </c>
      <c r="O157" t="e">
        <f t="shared" si="95"/>
        <v>#NUM!</v>
      </c>
      <c r="P157" t="e">
        <f t="shared" si="96"/>
        <v>#NUM!</v>
      </c>
      <c r="Q157" t="e">
        <f t="shared" si="97"/>
        <v>#NUM!</v>
      </c>
      <c r="R157" t="e">
        <f t="shared" si="98"/>
        <v>#NUM!</v>
      </c>
      <c r="S157" t="e">
        <f t="shared" si="99"/>
        <v>#NUM!</v>
      </c>
      <c r="W157" t="e">
        <f t="shared" si="76"/>
        <v>#NUM!</v>
      </c>
      <c r="X157">
        <f t="shared" si="77"/>
        <v>61.570799515387513</v>
      </c>
      <c r="Y157">
        <f t="shared" si="78"/>
        <v>12</v>
      </c>
      <c r="Z157">
        <f t="shared" si="79"/>
        <v>-1.5707963267948966</v>
      </c>
      <c r="AA157" t="e">
        <f t="shared" si="80"/>
        <v>#NUM!</v>
      </c>
      <c r="AB157" t="e">
        <f t="shared" si="81"/>
        <v>#NUM!</v>
      </c>
      <c r="AC157" t="e">
        <f t="shared" si="82"/>
        <v>#NUM!</v>
      </c>
      <c r="AE157">
        <v>3.2153875902064446E-6</v>
      </c>
      <c r="AF157">
        <v>-59.999999999999922</v>
      </c>
      <c r="AH157" s="1">
        <v>151</v>
      </c>
      <c r="AI157" s="1">
        <f t="shared" si="74"/>
        <v>0</v>
      </c>
      <c r="AJ157" s="1">
        <f t="shared" si="74"/>
        <v>0</v>
      </c>
      <c r="AK157" s="2" t="e">
        <f t="shared" si="75"/>
        <v>#NUM!</v>
      </c>
      <c r="AL157" s="2" t="e">
        <f t="shared" si="75"/>
        <v>#NUM!</v>
      </c>
      <c r="AY157">
        <v>28.559045167346859</v>
      </c>
      <c r="BQ157">
        <v>59.4891910779859</v>
      </c>
    </row>
    <row r="158" spans="1:69" x14ac:dyDescent="0.25">
      <c r="A158">
        <v>152</v>
      </c>
      <c r="B158" t="e">
        <f t="shared" si="83"/>
        <v>#NUM!</v>
      </c>
      <c r="C158" t="e">
        <f t="shared" si="84"/>
        <v>#NUM!</v>
      </c>
      <c r="D158" t="e">
        <f t="shared" si="85"/>
        <v>#NUM!</v>
      </c>
      <c r="E158" t="e">
        <f t="shared" si="86"/>
        <v>#NUM!</v>
      </c>
      <c r="F158" t="e">
        <f t="shared" si="87"/>
        <v>#NUM!</v>
      </c>
      <c r="G158" t="e">
        <f t="shared" si="88"/>
        <v>#NUM!</v>
      </c>
      <c r="H158" t="e">
        <f t="shared" si="89"/>
        <v>#NUM!</v>
      </c>
      <c r="J158" t="e">
        <f t="shared" si="90"/>
        <v>#NUM!</v>
      </c>
      <c r="K158" t="e">
        <f t="shared" si="91"/>
        <v>#NUM!</v>
      </c>
      <c r="L158" t="e">
        <f t="shared" si="92"/>
        <v>#NUM!</v>
      </c>
      <c r="M158" t="e">
        <f t="shared" si="93"/>
        <v>#NUM!</v>
      </c>
      <c r="N158" t="e">
        <f t="shared" si="94"/>
        <v>#NUM!</v>
      </c>
      <c r="O158" t="e">
        <f t="shared" si="95"/>
        <v>#NUM!</v>
      </c>
      <c r="P158" t="e">
        <f t="shared" si="96"/>
        <v>#NUM!</v>
      </c>
      <c r="Q158" t="e">
        <f t="shared" si="97"/>
        <v>#NUM!</v>
      </c>
      <c r="R158" t="e">
        <f t="shared" si="98"/>
        <v>#NUM!</v>
      </c>
      <c r="S158" t="e">
        <f t="shared" si="99"/>
        <v>#NUM!</v>
      </c>
      <c r="W158" t="e">
        <f t="shared" si="76"/>
        <v>#NUM!</v>
      </c>
      <c r="X158">
        <f t="shared" si="77"/>
        <v>61.570799515387513</v>
      </c>
      <c r="Y158">
        <f t="shared" si="78"/>
        <v>12</v>
      </c>
      <c r="Z158">
        <f t="shared" si="79"/>
        <v>-1.5707963267948966</v>
      </c>
      <c r="AA158" t="e">
        <f t="shared" si="80"/>
        <v>#NUM!</v>
      </c>
      <c r="AB158" t="e">
        <f t="shared" si="81"/>
        <v>#NUM!</v>
      </c>
      <c r="AC158" t="e">
        <f t="shared" si="82"/>
        <v>#NUM!</v>
      </c>
      <c r="AE158">
        <v>3.2153875902064446E-6</v>
      </c>
      <c r="AF158">
        <v>-59.999999999999922</v>
      </c>
      <c r="AH158" s="1">
        <v>152</v>
      </c>
      <c r="AI158" s="1">
        <f t="shared" si="74"/>
        <v>0</v>
      </c>
      <c r="AJ158" s="1">
        <f t="shared" si="74"/>
        <v>0</v>
      </c>
      <c r="AK158" s="2" t="e">
        <f t="shared" si="75"/>
        <v>#NUM!</v>
      </c>
      <c r="AL158" s="2" t="e">
        <f t="shared" si="75"/>
        <v>#NUM!</v>
      </c>
      <c r="AY158">
        <v>27.063332027290457</v>
      </c>
      <c r="BQ158">
        <v>60.481865802285427</v>
      </c>
    </row>
    <row r="159" spans="1:69" x14ac:dyDescent="0.25">
      <c r="A159">
        <v>153</v>
      </c>
      <c r="B159" t="e">
        <f t="shared" si="83"/>
        <v>#NUM!</v>
      </c>
      <c r="C159" t="e">
        <f t="shared" si="84"/>
        <v>#NUM!</v>
      </c>
      <c r="D159" t="e">
        <f t="shared" si="85"/>
        <v>#NUM!</v>
      </c>
      <c r="E159" t="e">
        <f t="shared" si="86"/>
        <v>#NUM!</v>
      </c>
      <c r="F159" t="e">
        <f t="shared" si="87"/>
        <v>#NUM!</v>
      </c>
      <c r="G159" t="e">
        <f t="shared" si="88"/>
        <v>#NUM!</v>
      </c>
      <c r="H159" t="e">
        <f t="shared" si="89"/>
        <v>#NUM!</v>
      </c>
      <c r="J159" t="e">
        <f t="shared" si="90"/>
        <v>#NUM!</v>
      </c>
      <c r="K159" t="e">
        <f t="shared" si="91"/>
        <v>#NUM!</v>
      </c>
      <c r="L159" t="e">
        <f t="shared" si="92"/>
        <v>#NUM!</v>
      </c>
      <c r="M159" t="e">
        <f t="shared" si="93"/>
        <v>#NUM!</v>
      </c>
      <c r="N159" t="e">
        <f t="shared" si="94"/>
        <v>#NUM!</v>
      </c>
      <c r="O159" t="e">
        <f t="shared" si="95"/>
        <v>#NUM!</v>
      </c>
      <c r="P159" t="e">
        <f t="shared" si="96"/>
        <v>#NUM!</v>
      </c>
      <c r="Q159" t="e">
        <f t="shared" si="97"/>
        <v>#NUM!</v>
      </c>
      <c r="R159" t="e">
        <f t="shared" si="98"/>
        <v>#NUM!</v>
      </c>
      <c r="S159" t="e">
        <f t="shared" si="99"/>
        <v>#NUM!</v>
      </c>
      <c r="W159" t="e">
        <f t="shared" si="76"/>
        <v>#NUM!</v>
      </c>
      <c r="X159">
        <f t="shared" si="77"/>
        <v>61.570799515387513</v>
      </c>
      <c r="Y159">
        <f t="shared" si="78"/>
        <v>12</v>
      </c>
      <c r="Z159">
        <f t="shared" si="79"/>
        <v>-1.5707963267948966</v>
      </c>
      <c r="AA159" t="e">
        <f t="shared" si="80"/>
        <v>#NUM!</v>
      </c>
      <c r="AB159" t="e">
        <f t="shared" si="81"/>
        <v>#NUM!</v>
      </c>
      <c r="AC159" t="e">
        <f t="shared" si="82"/>
        <v>#NUM!</v>
      </c>
      <c r="AE159">
        <v>3.2153875902064446E-6</v>
      </c>
      <c r="AF159">
        <v>-59.999999999999922</v>
      </c>
      <c r="AH159" s="1">
        <v>153</v>
      </c>
      <c r="AI159" s="1">
        <f t="shared" si="74"/>
        <v>0</v>
      </c>
      <c r="AJ159" s="1">
        <f t="shared" si="74"/>
        <v>0</v>
      </c>
      <c r="AK159" s="2" t="e">
        <f t="shared" si="75"/>
        <v>#NUM!</v>
      </c>
      <c r="AL159" s="2" t="e">
        <f t="shared" si="75"/>
        <v>#NUM!</v>
      </c>
      <c r="AY159">
        <v>25.54333571465812</v>
      </c>
      <c r="BQ159">
        <v>61.436942822836457</v>
      </c>
    </row>
    <row r="160" spans="1:69" x14ac:dyDescent="0.25">
      <c r="A160">
        <v>154</v>
      </c>
      <c r="B160" t="e">
        <f t="shared" si="83"/>
        <v>#NUM!</v>
      </c>
      <c r="C160" t="e">
        <f t="shared" si="84"/>
        <v>#NUM!</v>
      </c>
      <c r="D160" t="e">
        <f t="shared" si="85"/>
        <v>#NUM!</v>
      </c>
      <c r="E160" t="e">
        <f t="shared" si="86"/>
        <v>#NUM!</v>
      </c>
      <c r="F160" t="e">
        <f t="shared" si="87"/>
        <v>#NUM!</v>
      </c>
      <c r="G160" t="e">
        <f t="shared" si="88"/>
        <v>#NUM!</v>
      </c>
      <c r="H160" t="e">
        <f t="shared" si="89"/>
        <v>#NUM!</v>
      </c>
      <c r="J160" t="e">
        <f t="shared" si="90"/>
        <v>#NUM!</v>
      </c>
      <c r="K160" t="e">
        <f t="shared" si="91"/>
        <v>#NUM!</v>
      </c>
      <c r="L160" t="e">
        <f t="shared" si="92"/>
        <v>#NUM!</v>
      </c>
      <c r="M160" t="e">
        <f t="shared" si="93"/>
        <v>#NUM!</v>
      </c>
      <c r="N160" t="e">
        <f t="shared" si="94"/>
        <v>#NUM!</v>
      </c>
      <c r="O160" t="e">
        <f t="shared" si="95"/>
        <v>#NUM!</v>
      </c>
      <c r="P160" t="e">
        <f t="shared" si="96"/>
        <v>#NUM!</v>
      </c>
      <c r="Q160" t="e">
        <f t="shared" si="97"/>
        <v>#NUM!</v>
      </c>
      <c r="R160" t="e">
        <f t="shared" si="98"/>
        <v>#NUM!</v>
      </c>
      <c r="S160" t="e">
        <f t="shared" si="99"/>
        <v>#NUM!</v>
      </c>
      <c r="W160" t="e">
        <f t="shared" si="76"/>
        <v>#NUM!</v>
      </c>
      <c r="X160">
        <f t="shared" si="77"/>
        <v>61.570799515387513</v>
      </c>
      <c r="Y160">
        <f t="shared" si="78"/>
        <v>12</v>
      </c>
      <c r="Z160">
        <f t="shared" si="79"/>
        <v>-1.5707963267948966</v>
      </c>
      <c r="AA160" t="e">
        <f t="shared" si="80"/>
        <v>#NUM!</v>
      </c>
      <c r="AB160" t="e">
        <f t="shared" si="81"/>
        <v>#NUM!</v>
      </c>
      <c r="AC160" t="e">
        <f t="shared" si="82"/>
        <v>#NUM!</v>
      </c>
      <c r="AE160">
        <v>3.2153875902064446E-6</v>
      </c>
      <c r="AF160">
        <v>-59.999999999999922</v>
      </c>
      <c r="AH160" s="1">
        <v>154</v>
      </c>
      <c r="AI160" s="1">
        <f t="shared" si="74"/>
        <v>0</v>
      </c>
      <c r="AJ160" s="1">
        <f t="shared" si="74"/>
        <v>0</v>
      </c>
      <c r="AK160" s="2" t="e">
        <f t="shared" si="75"/>
        <v>#NUM!</v>
      </c>
      <c r="AL160" s="2" t="e">
        <f t="shared" si="75"/>
        <v>#NUM!</v>
      </c>
      <c r="AY160">
        <v>24.00000111384292</v>
      </c>
      <c r="BQ160">
        <v>62.353828429402057</v>
      </c>
    </row>
    <row r="161" spans="1:69" x14ac:dyDescent="0.25">
      <c r="A161">
        <v>155</v>
      </c>
      <c r="B161" t="e">
        <f t="shared" si="83"/>
        <v>#NUM!</v>
      </c>
      <c r="C161" t="e">
        <f t="shared" si="84"/>
        <v>#NUM!</v>
      </c>
      <c r="D161" t="e">
        <f t="shared" si="85"/>
        <v>#NUM!</v>
      </c>
      <c r="E161" t="e">
        <f t="shared" si="86"/>
        <v>#NUM!</v>
      </c>
      <c r="F161" t="e">
        <f t="shared" si="87"/>
        <v>#NUM!</v>
      </c>
      <c r="G161" t="e">
        <f t="shared" si="88"/>
        <v>#NUM!</v>
      </c>
      <c r="H161" t="e">
        <f t="shared" si="89"/>
        <v>#NUM!</v>
      </c>
      <c r="J161" t="e">
        <f t="shared" si="90"/>
        <v>#NUM!</v>
      </c>
      <c r="K161" t="e">
        <f t="shared" si="91"/>
        <v>#NUM!</v>
      </c>
      <c r="L161" t="e">
        <f t="shared" si="92"/>
        <v>#NUM!</v>
      </c>
      <c r="M161" t="e">
        <f t="shared" si="93"/>
        <v>#NUM!</v>
      </c>
      <c r="N161" t="e">
        <f t="shared" si="94"/>
        <v>#NUM!</v>
      </c>
      <c r="O161" t="e">
        <f t="shared" si="95"/>
        <v>#NUM!</v>
      </c>
      <c r="P161" t="e">
        <f t="shared" si="96"/>
        <v>#NUM!</v>
      </c>
      <c r="Q161" t="e">
        <f t="shared" si="97"/>
        <v>#NUM!</v>
      </c>
      <c r="R161" t="e">
        <f t="shared" si="98"/>
        <v>#NUM!</v>
      </c>
      <c r="S161" t="e">
        <f t="shared" si="99"/>
        <v>#NUM!</v>
      </c>
      <c r="W161" t="e">
        <f t="shared" si="76"/>
        <v>#NUM!</v>
      </c>
      <c r="X161">
        <f t="shared" si="77"/>
        <v>61.570799515387513</v>
      </c>
      <c r="Y161">
        <f t="shared" si="78"/>
        <v>12</v>
      </c>
      <c r="Z161">
        <f t="shared" si="79"/>
        <v>-1.5707963267948966</v>
      </c>
      <c r="AA161" t="e">
        <f t="shared" si="80"/>
        <v>#NUM!</v>
      </c>
      <c r="AB161" t="e">
        <f t="shared" si="81"/>
        <v>#NUM!</v>
      </c>
      <c r="AC161" t="e">
        <f t="shared" si="82"/>
        <v>#NUM!</v>
      </c>
      <c r="AE161">
        <v>3.2153875902064446E-6</v>
      </c>
      <c r="AF161">
        <v>-59.999999999999922</v>
      </c>
      <c r="AH161" s="1">
        <v>155</v>
      </c>
      <c r="AI161" s="1">
        <f t="shared" si="74"/>
        <v>0</v>
      </c>
      <c r="AJ161" s="1">
        <f t="shared" si="74"/>
        <v>0</v>
      </c>
      <c r="AK161" s="2" t="e">
        <f t="shared" si="75"/>
        <v>#NUM!</v>
      </c>
      <c r="AL161" s="2" t="e">
        <f t="shared" si="75"/>
        <v>#NUM!</v>
      </c>
      <c r="AY161">
        <v>22.434287617157558</v>
      </c>
      <c r="BQ161">
        <v>63.23195265290223</v>
      </c>
    </row>
    <row r="162" spans="1:69" x14ac:dyDescent="0.25">
      <c r="A162">
        <v>156</v>
      </c>
      <c r="B162" t="e">
        <f t="shared" si="83"/>
        <v>#NUM!</v>
      </c>
      <c r="C162" t="e">
        <f t="shared" si="84"/>
        <v>#NUM!</v>
      </c>
      <c r="D162" t="e">
        <f t="shared" si="85"/>
        <v>#NUM!</v>
      </c>
      <c r="E162" t="e">
        <f t="shared" si="86"/>
        <v>#NUM!</v>
      </c>
      <c r="F162" t="e">
        <f t="shared" si="87"/>
        <v>#NUM!</v>
      </c>
      <c r="G162" t="e">
        <f t="shared" si="88"/>
        <v>#NUM!</v>
      </c>
      <c r="H162" t="e">
        <f t="shared" si="89"/>
        <v>#NUM!</v>
      </c>
      <c r="J162" t="e">
        <f t="shared" si="90"/>
        <v>#NUM!</v>
      </c>
      <c r="K162" t="e">
        <f t="shared" si="91"/>
        <v>#NUM!</v>
      </c>
      <c r="L162" t="e">
        <f t="shared" si="92"/>
        <v>#NUM!</v>
      </c>
      <c r="M162" t="e">
        <f t="shared" si="93"/>
        <v>#NUM!</v>
      </c>
      <c r="N162" t="e">
        <f t="shared" si="94"/>
        <v>#NUM!</v>
      </c>
      <c r="O162" t="e">
        <f t="shared" si="95"/>
        <v>#NUM!</v>
      </c>
      <c r="P162" t="e">
        <f t="shared" si="96"/>
        <v>#NUM!</v>
      </c>
      <c r="Q162" t="e">
        <f t="shared" si="97"/>
        <v>#NUM!</v>
      </c>
      <c r="R162" t="e">
        <f t="shared" si="98"/>
        <v>#NUM!</v>
      </c>
      <c r="S162" t="e">
        <f t="shared" si="99"/>
        <v>#NUM!</v>
      </c>
      <c r="W162" t="e">
        <f t="shared" si="76"/>
        <v>#NUM!</v>
      </c>
      <c r="X162">
        <f t="shared" si="77"/>
        <v>61.570799515387513</v>
      </c>
      <c r="Y162">
        <f t="shared" si="78"/>
        <v>12</v>
      </c>
      <c r="Z162">
        <f t="shared" si="79"/>
        <v>-1.5707963267948966</v>
      </c>
      <c r="AA162" t="e">
        <f t="shared" si="80"/>
        <v>#NUM!</v>
      </c>
      <c r="AB162" t="e">
        <f t="shared" si="81"/>
        <v>#NUM!</v>
      </c>
      <c r="AC162" t="e">
        <f t="shared" si="82"/>
        <v>#NUM!</v>
      </c>
      <c r="AE162">
        <v>3.2153875902064446E-6</v>
      </c>
      <c r="AF162">
        <v>-59.999999999999922</v>
      </c>
      <c r="AH162" s="1">
        <v>156</v>
      </c>
      <c r="AI162" s="1">
        <f t="shared" si="74"/>
        <v>0</v>
      </c>
      <c r="AJ162" s="1">
        <f t="shared" si="74"/>
        <v>0</v>
      </c>
      <c r="AK162" s="2" t="e">
        <f t="shared" si="75"/>
        <v>#NUM!</v>
      </c>
      <c r="AL162" s="2" t="e">
        <f t="shared" si="75"/>
        <v>#NUM!</v>
      </c>
      <c r="AY162">
        <v>20.847168528441451</v>
      </c>
      <c r="BQ162">
        <v>64.070769619727258</v>
      </c>
    </row>
    <row r="163" spans="1:69" x14ac:dyDescent="0.25">
      <c r="A163">
        <v>157</v>
      </c>
      <c r="B163" t="e">
        <f t="shared" si="83"/>
        <v>#NUM!</v>
      </c>
      <c r="C163" t="e">
        <f t="shared" si="84"/>
        <v>#NUM!</v>
      </c>
      <c r="D163" t="e">
        <f t="shared" si="85"/>
        <v>#NUM!</v>
      </c>
      <c r="E163" t="e">
        <f t="shared" si="86"/>
        <v>#NUM!</v>
      </c>
      <c r="F163" t="e">
        <f t="shared" si="87"/>
        <v>#NUM!</v>
      </c>
      <c r="G163" t="e">
        <f t="shared" si="88"/>
        <v>#NUM!</v>
      </c>
      <c r="H163" t="e">
        <f t="shared" si="89"/>
        <v>#NUM!</v>
      </c>
      <c r="J163" t="e">
        <f t="shared" si="90"/>
        <v>#NUM!</v>
      </c>
      <c r="K163" t="e">
        <f t="shared" si="91"/>
        <v>#NUM!</v>
      </c>
      <c r="L163" t="e">
        <f t="shared" si="92"/>
        <v>#NUM!</v>
      </c>
      <c r="M163" t="e">
        <f t="shared" si="93"/>
        <v>#NUM!</v>
      </c>
      <c r="N163" t="e">
        <f t="shared" si="94"/>
        <v>#NUM!</v>
      </c>
      <c r="O163" t="e">
        <f t="shared" si="95"/>
        <v>#NUM!</v>
      </c>
      <c r="P163" t="e">
        <f t="shared" si="96"/>
        <v>#NUM!</v>
      </c>
      <c r="Q163" t="e">
        <f t="shared" si="97"/>
        <v>#NUM!</v>
      </c>
      <c r="R163" t="e">
        <f t="shared" si="98"/>
        <v>#NUM!</v>
      </c>
      <c r="S163" t="e">
        <f t="shared" si="99"/>
        <v>#NUM!</v>
      </c>
      <c r="W163" t="e">
        <f t="shared" si="76"/>
        <v>#NUM!</v>
      </c>
      <c r="X163">
        <f t="shared" si="77"/>
        <v>61.570799515387513</v>
      </c>
      <c r="Y163">
        <f t="shared" si="78"/>
        <v>12</v>
      </c>
      <c r="Z163">
        <f t="shared" si="79"/>
        <v>-1.5707963267948966</v>
      </c>
      <c r="AA163" t="e">
        <f t="shared" si="80"/>
        <v>#NUM!</v>
      </c>
      <c r="AB163" t="e">
        <f t="shared" si="81"/>
        <v>#NUM!</v>
      </c>
      <c r="AC163" t="e">
        <f t="shared" si="82"/>
        <v>#NUM!</v>
      </c>
      <c r="AE163">
        <v>3.2153875902064446E-6</v>
      </c>
      <c r="AF163">
        <v>-59.999999999999922</v>
      </c>
      <c r="AH163" s="1">
        <v>157</v>
      </c>
      <c r="AI163" s="1">
        <f t="shared" si="74"/>
        <v>0</v>
      </c>
      <c r="AJ163" s="1">
        <f t="shared" si="74"/>
        <v>0</v>
      </c>
      <c r="AK163" s="2" t="e">
        <f t="shared" si="75"/>
        <v>#NUM!</v>
      </c>
      <c r="AL163" s="2" t="e">
        <f t="shared" si="75"/>
        <v>#NUM!</v>
      </c>
      <c r="AY163">
        <v>19.239630458020226</v>
      </c>
      <c r="BQ163">
        <v>64.869757891072283</v>
      </c>
    </row>
    <row r="164" spans="1:69" x14ac:dyDescent="0.25">
      <c r="A164">
        <v>158</v>
      </c>
      <c r="B164" t="e">
        <f t="shared" si="83"/>
        <v>#NUM!</v>
      </c>
      <c r="C164" t="e">
        <f t="shared" si="84"/>
        <v>#NUM!</v>
      </c>
      <c r="D164" t="e">
        <f t="shared" si="85"/>
        <v>#NUM!</v>
      </c>
      <c r="E164" t="e">
        <f t="shared" si="86"/>
        <v>#NUM!</v>
      </c>
      <c r="F164" t="e">
        <f t="shared" si="87"/>
        <v>#NUM!</v>
      </c>
      <c r="G164" t="e">
        <f t="shared" si="88"/>
        <v>#NUM!</v>
      </c>
      <c r="H164" t="e">
        <f t="shared" si="89"/>
        <v>#NUM!</v>
      </c>
      <c r="J164" t="e">
        <f t="shared" si="90"/>
        <v>#NUM!</v>
      </c>
      <c r="K164" t="e">
        <f t="shared" si="91"/>
        <v>#NUM!</v>
      </c>
      <c r="L164" t="e">
        <f t="shared" si="92"/>
        <v>#NUM!</v>
      </c>
      <c r="M164" t="e">
        <f t="shared" si="93"/>
        <v>#NUM!</v>
      </c>
      <c r="N164" t="e">
        <f t="shared" si="94"/>
        <v>#NUM!</v>
      </c>
      <c r="O164" t="e">
        <f t="shared" si="95"/>
        <v>#NUM!</v>
      </c>
      <c r="P164" t="e">
        <f t="shared" si="96"/>
        <v>#NUM!</v>
      </c>
      <c r="Q164" t="e">
        <f t="shared" si="97"/>
        <v>#NUM!</v>
      </c>
      <c r="R164" t="e">
        <f t="shared" si="98"/>
        <v>#NUM!</v>
      </c>
      <c r="S164" t="e">
        <f t="shared" si="99"/>
        <v>#NUM!</v>
      </c>
      <c r="W164" t="e">
        <f t="shared" si="76"/>
        <v>#NUM!</v>
      </c>
      <c r="X164">
        <f t="shared" si="77"/>
        <v>61.570799515387513</v>
      </c>
      <c r="Y164">
        <f t="shared" si="78"/>
        <v>12</v>
      </c>
      <c r="Z164">
        <f t="shared" si="79"/>
        <v>-1.5707963267948966</v>
      </c>
      <c r="AA164" t="e">
        <f t="shared" si="80"/>
        <v>#NUM!</v>
      </c>
      <c r="AB164" t="e">
        <f t="shared" si="81"/>
        <v>#NUM!</v>
      </c>
      <c r="AC164" t="e">
        <f t="shared" si="82"/>
        <v>#NUM!</v>
      </c>
      <c r="AE164">
        <v>3.2153875902064446E-6</v>
      </c>
      <c r="AF164">
        <v>-59.999999999999922</v>
      </c>
      <c r="AH164" s="1">
        <v>158</v>
      </c>
      <c r="AI164" s="1">
        <f t="shared" si="74"/>
        <v>0</v>
      </c>
      <c r="AJ164" s="1">
        <f t="shared" si="74"/>
        <v>0</v>
      </c>
      <c r="AK164" s="2" t="e">
        <f t="shared" si="75"/>
        <v>#NUM!</v>
      </c>
      <c r="AL164" s="2" t="e">
        <f t="shared" si="75"/>
        <v>#NUM!</v>
      </c>
      <c r="AY164">
        <v>17.612672709393095</v>
      </c>
      <c r="BQ164">
        <v>65.628420787082518</v>
      </c>
    </row>
    <row r="165" spans="1:69" x14ac:dyDescent="0.25">
      <c r="A165">
        <v>159</v>
      </c>
      <c r="B165" t="e">
        <f t="shared" si="83"/>
        <v>#NUM!</v>
      </c>
      <c r="C165" t="e">
        <f t="shared" si="84"/>
        <v>#NUM!</v>
      </c>
      <c r="D165" t="e">
        <f t="shared" si="85"/>
        <v>#NUM!</v>
      </c>
      <c r="E165" t="e">
        <f t="shared" si="86"/>
        <v>#NUM!</v>
      </c>
      <c r="F165" t="e">
        <f t="shared" si="87"/>
        <v>#NUM!</v>
      </c>
      <c r="G165" t="e">
        <f t="shared" si="88"/>
        <v>#NUM!</v>
      </c>
      <c r="H165" t="e">
        <f t="shared" si="89"/>
        <v>#NUM!</v>
      </c>
      <c r="J165" t="e">
        <f t="shared" si="90"/>
        <v>#NUM!</v>
      </c>
      <c r="K165" t="e">
        <f t="shared" si="91"/>
        <v>#NUM!</v>
      </c>
      <c r="L165" t="e">
        <f t="shared" si="92"/>
        <v>#NUM!</v>
      </c>
      <c r="M165" t="e">
        <f t="shared" si="93"/>
        <v>#NUM!</v>
      </c>
      <c r="N165" t="e">
        <f t="shared" si="94"/>
        <v>#NUM!</v>
      </c>
      <c r="O165" t="e">
        <f t="shared" si="95"/>
        <v>#NUM!</v>
      </c>
      <c r="P165" t="e">
        <f t="shared" si="96"/>
        <v>#NUM!</v>
      </c>
      <c r="Q165" t="e">
        <f t="shared" si="97"/>
        <v>#NUM!</v>
      </c>
      <c r="R165" t="e">
        <f t="shared" si="98"/>
        <v>#NUM!</v>
      </c>
      <c r="S165" t="e">
        <f t="shared" si="99"/>
        <v>#NUM!</v>
      </c>
      <c r="W165" t="e">
        <f t="shared" si="76"/>
        <v>#NUM!</v>
      </c>
      <c r="X165">
        <f t="shared" si="77"/>
        <v>61.570799515387513</v>
      </c>
      <c r="Y165">
        <f t="shared" si="78"/>
        <v>12</v>
      </c>
      <c r="Z165">
        <f t="shared" si="79"/>
        <v>-1.5707963267948966</v>
      </c>
      <c r="AA165" t="e">
        <f t="shared" si="80"/>
        <v>#NUM!</v>
      </c>
      <c r="AB165" t="e">
        <f t="shared" si="81"/>
        <v>#NUM!</v>
      </c>
      <c r="AC165" t="e">
        <f t="shared" si="82"/>
        <v>#NUM!</v>
      </c>
      <c r="AE165">
        <v>3.2153875902064446E-6</v>
      </c>
      <c r="AF165">
        <v>-59.999999999999922</v>
      </c>
      <c r="AH165" s="1">
        <v>159</v>
      </c>
      <c r="AI165" s="1">
        <f t="shared" si="74"/>
        <v>0</v>
      </c>
      <c r="AJ165" s="1">
        <f t="shared" si="74"/>
        <v>0</v>
      </c>
      <c r="AK165" s="2" t="e">
        <f t="shared" si="75"/>
        <v>#NUM!</v>
      </c>
      <c r="AL165" s="2" t="e">
        <f t="shared" si="75"/>
        <v>#NUM!</v>
      </c>
      <c r="AY165">
        <v>15.967306658029923</v>
      </c>
      <c r="BQ165">
        <v>66.346286695607276</v>
      </c>
    </row>
    <row r="166" spans="1:69" x14ac:dyDescent="0.25">
      <c r="A166">
        <v>160</v>
      </c>
      <c r="B166" t="e">
        <f t="shared" si="83"/>
        <v>#NUM!</v>
      </c>
      <c r="C166" t="e">
        <f t="shared" si="84"/>
        <v>#NUM!</v>
      </c>
      <c r="D166" t="e">
        <f t="shared" si="85"/>
        <v>#NUM!</v>
      </c>
      <c r="E166" t="e">
        <f t="shared" si="86"/>
        <v>#NUM!</v>
      </c>
      <c r="F166" t="e">
        <f t="shared" si="87"/>
        <v>#NUM!</v>
      </c>
      <c r="G166" t="e">
        <f t="shared" si="88"/>
        <v>#NUM!</v>
      </c>
      <c r="H166" t="e">
        <f t="shared" si="89"/>
        <v>#NUM!</v>
      </c>
      <c r="J166" t="e">
        <f t="shared" si="90"/>
        <v>#NUM!</v>
      </c>
      <c r="K166" t="e">
        <f t="shared" si="91"/>
        <v>#NUM!</v>
      </c>
      <c r="L166" t="e">
        <f t="shared" si="92"/>
        <v>#NUM!</v>
      </c>
      <c r="M166" t="e">
        <f t="shared" si="93"/>
        <v>#NUM!</v>
      </c>
      <c r="N166" t="e">
        <f t="shared" si="94"/>
        <v>#NUM!</v>
      </c>
      <c r="O166" t="e">
        <f t="shared" si="95"/>
        <v>#NUM!</v>
      </c>
      <c r="P166" t="e">
        <f t="shared" si="96"/>
        <v>#NUM!</v>
      </c>
      <c r="Q166" t="e">
        <f t="shared" si="97"/>
        <v>#NUM!</v>
      </c>
      <c r="R166" t="e">
        <f t="shared" si="98"/>
        <v>#NUM!</v>
      </c>
      <c r="S166" t="e">
        <f t="shared" si="99"/>
        <v>#NUM!</v>
      </c>
      <c r="W166" t="e">
        <f t="shared" si="76"/>
        <v>#NUM!</v>
      </c>
      <c r="X166">
        <f t="shared" si="77"/>
        <v>61.570799515387513</v>
      </c>
      <c r="Y166">
        <f t="shared" si="78"/>
        <v>12</v>
      </c>
      <c r="Z166">
        <f t="shared" si="79"/>
        <v>-1.5707963267948966</v>
      </c>
      <c r="AA166" t="e">
        <f t="shared" si="80"/>
        <v>#NUM!</v>
      </c>
      <c r="AB166" t="e">
        <f t="shared" si="81"/>
        <v>#NUM!</v>
      </c>
      <c r="AC166" t="e">
        <f t="shared" si="82"/>
        <v>#NUM!</v>
      </c>
      <c r="AE166">
        <v>3.2153875902064446E-6</v>
      </c>
      <c r="AF166">
        <v>-59.999999999999922</v>
      </c>
      <c r="AH166" s="1">
        <v>160</v>
      </c>
      <c r="AI166" s="1">
        <f t="shared" si="74"/>
        <v>0</v>
      </c>
      <c r="AJ166" s="1">
        <f t="shared" si="74"/>
        <v>0</v>
      </c>
      <c r="AK166" s="2" t="e">
        <f t="shared" si="75"/>
        <v>#NUM!</v>
      </c>
      <c r="AL166" s="2" t="e">
        <f t="shared" si="75"/>
        <v>#NUM!</v>
      </c>
      <c r="AY166">
        <v>14.304555122663807</v>
      </c>
      <c r="BQ166">
        <v>67.022909365371049</v>
      </c>
    </row>
    <row r="167" spans="1:69" x14ac:dyDescent="0.25">
      <c r="A167">
        <v>161</v>
      </c>
      <c r="B167" t="e">
        <f t="shared" si="83"/>
        <v>#NUM!</v>
      </c>
      <c r="C167" t="e">
        <f t="shared" si="84"/>
        <v>#NUM!</v>
      </c>
      <c r="D167" t="e">
        <f t="shared" si="85"/>
        <v>#NUM!</v>
      </c>
      <c r="E167" t="e">
        <f t="shared" si="86"/>
        <v>#NUM!</v>
      </c>
      <c r="F167" t="e">
        <f t="shared" si="87"/>
        <v>#NUM!</v>
      </c>
      <c r="G167" t="e">
        <f t="shared" si="88"/>
        <v>#NUM!</v>
      </c>
      <c r="H167" t="e">
        <f t="shared" si="89"/>
        <v>#NUM!</v>
      </c>
      <c r="J167" t="e">
        <f t="shared" si="90"/>
        <v>#NUM!</v>
      </c>
      <c r="K167" t="e">
        <f t="shared" si="91"/>
        <v>#NUM!</v>
      </c>
      <c r="L167" t="e">
        <f t="shared" si="92"/>
        <v>#NUM!</v>
      </c>
      <c r="M167" t="e">
        <f t="shared" si="93"/>
        <v>#NUM!</v>
      </c>
      <c r="N167" t="e">
        <f t="shared" si="94"/>
        <v>#NUM!</v>
      </c>
      <c r="O167" t="e">
        <f t="shared" si="95"/>
        <v>#NUM!</v>
      </c>
      <c r="P167" t="e">
        <f t="shared" si="96"/>
        <v>#NUM!</v>
      </c>
      <c r="Q167" t="e">
        <f t="shared" si="97"/>
        <v>#NUM!</v>
      </c>
      <c r="R167" t="e">
        <f t="shared" si="98"/>
        <v>#NUM!</v>
      </c>
      <c r="S167" t="e">
        <f t="shared" si="99"/>
        <v>#NUM!</v>
      </c>
      <c r="W167" t="e">
        <f t="shared" si="76"/>
        <v>#NUM!</v>
      </c>
      <c r="X167">
        <f t="shared" si="77"/>
        <v>61.570799515387513</v>
      </c>
      <c r="Y167">
        <f t="shared" si="78"/>
        <v>12</v>
      </c>
      <c r="Z167">
        <f t="shared" si="79"/>
        <v>-1.5707963267948966</v>
      </c>
      <c r="AA167" t="e">
        <f t="shared" si="80"/>
        <v>#NUM!</v>
      </c>
      <c r="AB167" t="e">
        <f t="shared" si="81"/>
        <v>#NUM!</v>
      </c>
      <c r="AC167" t="e">
        <f t="shared" si="82"/>
        <v>#NUM!</v>
      </c>
      <c r="AE167">
        <v>3.2153875902064446E-6</v>
      </c>
      <c r="AF167">
        <v>-59.999999999999922</v>
      </c>
      <c r="AH167" s="1">
        <v>161</v>
      </c>
      <c r="AI167" s="1">
        <f t="shared" ref="AI167:AJ209" si="100">U167</f>
        <v>0</v>
      </c>
      <c r="AJ167" s="1">
        <f t="shared" si="100"/>
        <v>0</v>
      </c>
      <c r="AK167" s="2" t="e">
        <f t="shared" ref="AK167:AL209" si="101">D167*180/3.1415926</f>
        <v>#NUM!</v>
      </c>
      <c r="AL167" s="2" t="e">
        <f t="shared" si="101"/>
        <v>#NUM!</v>
      </c>
      <c r="AY167">
        <v>12.625451729470267</v>
      </c>
      <c r="BQ167">
        <v>67.657868183379307</v>
      </c>
    </row>
    <row r="168" spans="1:69" x14ac:dyDescent="0.25">
      <c r="A168">
        <v>162</v>
      </c>
      <c r="B168" t="e">
        <f t="shared" si="83"/>
        <v>#NUM!</v>
      </c>
      <c r="C168" t="e">
        <f t="shared" si="84"/>
        <v>#NUM!</v>
      </c>
      <c r="D168" t="e">
        <f t="shared" si="85"/>
        <v>#NUM!</v>
      </c>
      <c r="E168" t="e">
        <f t="shared" si="86"/>
        <v>#NUM!</v>
      </c>
      <c r="F168" t="e">
        <f t="shared" si="87"/>
        <v>#NUM!</v>
      </c>
      <c r="G168" t="e">
        <f t="shared" si="88"/>
        <v>#NUM!</v>
      </c>
      <c r="H168" t="e">
        <f t="shared" si="89"/>
        <v>#NUM!</v>
      </c>
      <c r="J168" t="e">
        <f t="shared" si="90"/>
        <v>#NUM!</v>
      </c>
      <c r="K168" t="e">
        <f t="shared" si="91"/>
        <v>#NUM!</v>
      </c>
      <c r="L168" t="e">
        <f t="shared" si="92"/>
        <v>#NUM!</v>
      </c>
      <c r="M168" t="e">
        <f t="shared" si="93"/>
        <v>#NUM!</v>
      </c>
      <c r="N168" t="e">
        <f t="shared" si="94"/>
        <v>#NUM!</v>
      </c>
      <c r="O168" t="e">
        <f t="shared" si="95"/>
        <v>#NUM!</v>
      </c>
      <c r="P168" t="e">
        <f t="shared" si="96"/>
        <v>#NUM!</v>
      </c>
      <c r="Q168" t="e">
        <f t="shared" si="97"/>
        <v>#NUM!</v>
      </c>
      <c r="R168" t="e">
        <f t="shared" si="98"/>
        <v>#NUM!</v>
      </c>
      <c r="S168" t="e">
        <f t="shared" si="99"/>
        <v>#NUM!</v>
      </c>
      <c r="W168" t="e">
        <f t="shared" si="76"/>
        <v>#NUM!</v>
      </c>
      <c r="X168">
        <f t="shared" si="77"/>
        <v>61.570799515387513</v>
      </c>
      <c r="Y168">
        <f t="shared" si="78"/>
        <v>12</v>
      </c>
      <c r="Z168">
        <f t="shared" si="79"/>
        <v>-1.5707963267948966</v>
      </c>
      <c r="AA168" t="e">
        <f t="shared" si="80"/>
        <v>#NUM!</v>
      </c>
      <c r="AB168" t="e">
        <f t="shared" si="81"/>
        <v>#NUM!</v>
      </c>
      <c r="AC168" t="e">
        <f t="shared" si="82"/>
        <v>#NUM!</v>
      </c>
      <c r="AE168">
        <v>3.2153875902064446E-6</v>
      </c>
      <c r="AF168">
        <v>-59.999999999999922</v>
      </c>
      <c r="AH168" s="1">
        <v>162</v>
      </c>
      <c r="AI168" s="1">
        <f t="shared" si="100"/>
        <v>0</v>
      </c>
      <c r="AJ168" s="1">
        <f t="shared" si="100"/>
        <v>0</v>
      </c>
      <c r="AK168" s="2" t="e">
        <f t="shared" si="101"/>
        <v>#NUM!</v>
      </c>
      <c r="AL168" s="2" t="e">
        <f t="shared" si="101"/>
        <v>#NUM!</v>
      </c>
      <c r="AY168">
        <v>10.931040269527855</v>
      </c>
      <c r="BQ168">
        <v>68.250768436386792</v>
      </c>
    </row>
    <row r="169" spans="1:69" x14ac:dyDescent="0.25">
      <c r="A169">
        <v>163</v>
      </c>
      <c r="B169" t="e">
        <f t="shared" si="83"/>
        <v>#NUM!</v>
      </c>
      <c r="C169" t="e">
        <f t="shared" si="84"/>
        <v>#NUM!</v>
      </c>
      <c r="D169" t="e">
        <f t="shared" si="85"/>
        <v>#NUM!</v>
      </c>
      <c r="E169" t="e">
        <f t="shared" si="86"/>
        <v>#NUM!</v>
      </c>
      <c r="F169" t="e">
        <f t="shared" si="87"/>
        <v>#NUM!</v>
      </c>
      <c r="G169" t="e">
        <f t="shared" si="88"/>
        <v>#NUM!</v>
      </c>
      <c r="H169" t="e">
        <f t="shared" si="89"/>
        <v>#NUM!</v>
      </c>
      <c r="J169" t="e">
        <f t="shared" si="90"/>
        <v>#NUM!</v>
      </c>
      <c r="K169" t="e">
        <f t="shared" si="91"/>
        <v>#NUM!</v>
      </c>
      <c r="L169" t="e">
        <f t="shared" si="92"/>
        <v>#NUM!</v>
      </c>
      <c r="M169" t="e">
        <f t="shared" si="93"/>
        <v>#NUM!</v>
      </c>
      <c r="N169" t="e">
        <f t="shared" si="94"/>
        <v>#NUM!</v>
      </c>
      <c r="O169" t="e">
        <f t="shared" si="95"/>
        <v>#NUM!</v>
      </c>
      <c r="P169" t="e">
        <f t="shared" si="96"/>
        <v>#NUM!</v>
      </c>
      <c r="Q169" t="e">
        <f t="shared" si="97"/>
        <v>#NUM!</v>
      </c>
      <c r="R169" t="e">
        <f t="shared" si="98"/>
        <v>#NUM!</v>
      </c>
      <c r="S169" t="e">
        <f t="shared" si="99"/>
        <v>#NUM!</v>
      </c>
      <c r="W169" t="e">
        <f t="shared" si="76"/>
        <v>#NUM!</v>
      </c>
      <c r="X169">
        <f t="shared" si="77"/>
        <v>61.570799515387513</v>
      </c>
      <c r="Y169">
        <f t="shared" si="78"/>
        <v>12</v>
      </c>
      <c r="Z169">
        <f t="shared" si="79"/>
        <v>-1.5707963267948966</v>
      </c>
      <c r="AA169" t="e">
        <f t="shared" si="80"/>
        <v>#NUM!</v>
      </c>
      <c r="AB169" t="e">
        <f t="shared" si="81"/>
        <v>#NUM!</v>
      </c>
      <c r="AC169" t="e">
        <f t="shared" si="82"/>
        <v>#NUM!</v>
      </c>
      <c r="AE169">
        <v>3.2153875902064446E-6</v>
      </c>
      <c r="AF169">
        <v>-59.999999999999922</v>
      </c>
      <c r="AH169" s="1">
        <v>163</v>
      </c>
      <c r="AI169" s="1">
        <f t="shared" si="100"/>
        <v>0</v>
      </c>
      <c r="AJ169" s="1">
        <f t="shared" si="100"/>
        <v>0</v>
      </c>
      <c r="AK169" s="2" t="e">
        <f t="shared" si="101"/>
        <v>#NUM!</v>
      </c>
      <c r="AL169" s="2" t="e">
        <f t="shared" si="101"/>
        <v>#NUM!</v>
      </c>
      <c r="AY169">
        <v>9.2223740499601874</v>
      </c>
      <c r="BQ169">
        <v>68.801241556265367</v>
      </c>
    </row>
    <row r="170" spans="1:69" x14ac:dyDescent="0.25">
      <c r="A170">
        <v>164</v>
      </c>
      <c r="B170" t="e">
        <f t="shared" si="83"/>
        <v>#NUM!</v>
      </c>
      <c r="C170" t="e">
        <f t="shared" si="84"/>
        <v>#NUM!</v>
      </c>
      <c r="D170" t="e">
        <f t="shared" si="85"/>
        <v>#NUM!</v>
      </c>
      <c r="E170" t="e">
        <f t="shared" si="86"/>
        <v>#NUM!</v>
      </c>
      <c r="F170" t="e">
        <f t="shared" si="87"/>
        <v>#NUM!</v>
      </c>
      <c r="G170" t="e">
        <f t="shared" si="88"/>
        <v>#NUM!</v>
      </c>
      <c r="H170" t="e">
        <f t="shared" si="89"/>
        <v>#NUM!</v>
      </c>
      <c r="J170" t="e">
        <f t="shared" si="90"/>
        <v>#NUM!</v>
      </c>
      <c r="K170" t="e">
        <f t="shared" si="91"/>
        <v>#NUM!</v>
      </c>
      <c r="L170" t="e">
        <f t="shared" si="92"/>
        <v>#NUM!</v>
      </c>
      <c r="M170" t="e">
        <f t="shared" si="93"/>
        <v>#NUM!</v>
      </c>
      <c r="N170" t="e">
        <f t="shared" si="94"/>
        <v>#NUM!</v>
      </c>
      <c r="O170" t="e">
        <f t="shared" si="95"/>
        <v>#NUM!</v>
      </c>
      <c r="P170" t="e">
        <f t="shared" si="96"/>
        <v>#NUM!</v>
      </c>
      <c r="Q170" t="e">
        <f t="shared" si="97"/>
        <v>#NUM!</v>
      </c>
      <c r="R170" t="e">
        <f t="shared" si="98"/>
        <v>#NUM!</v>
      </c>
      <c r="S170" t="e">
        <f t="shared" si="99"/>
        <v>#NUM!</v>
      </c>
      <c r="W170" t="e">
        <f t="shared" si="76"/>
        <v>#NUM!</v>
      </c>
      <c r="X170">
        <f t="shared" si="77"/>
        <v>61.570799515387513</v>
      </c>
      <c r="Y170">
        <f t="shared" si="78"/>
        <v>12</v>
      </c>
      <c r="Z170">
        <f t="shared" si="79"/>
        <v>-1.5707963267948966</v>
      </c>
      <c r="AA170" t="e">
        <f t="shared" si="80"/>
        <v>#NUM!</v>
      </c>
      <c r="AB170" t="e">
        <f t="shared" si="81"/>
        <v>#NUM!</v>
      </c>
      <c r="AC170" t="e">
        <f t="shared" si="82"/>
        <v>#NUM!</v>
      </c>
      <c r="AE170">
        <v>3.2153875902064446E-6</v>
      </c>
      <c r="AF170">
        <v>-59.999999999999922</v>
      </c>
      <c r="AH170" s="1">
        <v>164</v>
      </c>
      <c r="AI170" s="1">
        <f t="shared" si="100"/>
        <v>0</v>
      </c>
      <c r="AJ170" s="1">
        <f t="shared" si="100"/>
        <v>0</v>
      </c>
      <c r="AK170" s="2" t="e">
        <f t="shared" si="101"/>
        <v>#NUM!</v>
      </c>
      <c r="AL170" s="2" t="e">
        <f t="shared" si="101"/>
        <v>#NUM!</v>
      </c>
      <c r="AY170">
        <v>7.50051523916229</v>
      </c>
      <c r="BQ170">
        <v>69.308945349119256</v>
      </c>
    </row>
    <row r="171" spans="1:69" x14ac:dyDescent="0.25">
      <c r="A171">
        <v>165</v>
      </c>
      <c r="B171" t="e">
        <f t="shared" si="83"/>
        <v>#NUM!</v>
      </c>
      <c r="C171" t="e">
        <f t="shared" si="84"/>
        <v>#NUM!</v>
      </c>
      <c r="D171" t="e">
        <f t="shared" si="85"/>
        <v>#NUM!</v>
      </c>
      <c r="E171" t="e">
        <f t="shared" si="86"/>
        <v>#NUM!</v>
      </c>
      <c r="F171" t="e">
        <f t="shared" si="87"/>
        <v>#NUM!</v>
      </c>
      <c r="G171" t="e">
        <f t="shared" si="88"/>
        <v>#NUM!</v>
      </c>
      <c r="H171" t="e">
        <f t="shared" si="89"/>
        <v>#NUM!</v>
      </c>
      <c r="J171" t="e">
        <f t="shared" si="90"/>
        <v>#NUM!</v>
      </c>
      <c r="K171" t="e">
        <f t="shared" si="91"/>
        <v>#NUM!</v>
      </c>
      <c r="L171" t="e">
        <f t="shared" si="92"/>
        <v>#NUM!</v>
      </c>
      <c r="M171" t="e">
        <f t="shared" si="93"/>
        <v>#NUM!</v>
      </c>
      <c r="N171" t="e">
        <f t="shared" si="94"/>
        <v>#NUM!</v>
      </c>
      <c r="O171" t="e">
        <f t="shared" si="95"/>
        <v>#NUM!</v>
      </c>
      <c r="P171" t="e">
        <f t="shared" si="96"/>
        <v>#NUM!</v>
      </c>
      <c r="Q171" t="e">
        <f t="shared" si="97"/>
        <v>#NUM!</v>
      </c>
      <c r="R171" t="e">
        <f t="shared" si="98"/>
        <v>#NUM!</v>
      </c>
      <c r="S171" t="e">
        <f t="shared" si="99"/>
        <v>#NUM!</v>
      </c>
      <c r="W171" t="e">
        <f t="shared" si="76"/>
        <v>#NUM!</v>
      </c>
      <c r="X171">
        <f t="shared" si="77"/>
        <v>61.570799515387513</v>
      </c>
      <c r="Y171">
        <f t="shared" si="78"/>
        <v>12</v>
      </c>
      <c r="Z171">
        <f t="shared" si="79"/>
        <v>-1.5707963267948966</v>
      </c>
      <c r="AA171" t="e">
        <f t="shared" si="80"/>
        <v>#NUM!</v>
      </c>
      <c r="AB171" t="e">
        <f t="shared" si="81"/>
        <v>#NUM!</v>
      </c>
      <c r="AC171" t="e">
        <f t="shared" si="82"/>
        <v>#NUM!</v>
      </c>
      <c r="AE171">
        <v>3.2153875902064446E-6</v>
      </c>
      <c r="AF171">
        <v>-59.999999999999922</v>
      </c>
      <c r="AH171" s="1">
        <v>165</v>
      </c>
      <c r="AI171" s="1">
        <f t="shared" si="100"/>
        <v>0</v>
      </c>
      <c r="AJ171" s="1">
        <f t="shared" si="100"/>
        <v>0</v>
      </c>
      <c r="AK171" s="2" t="e">
        <f t="shared" si="101"/>
        <v>#NUM!</v>
      </c>
      <c r="AL171" s="2" t="e">
        <f t="shared" si="101"/>
        <v>#NUM!</v>
      </c>
      <c r="AY171">
        <v>5.7665342065185783</v>
      </c>
      <c r="BQ171">
        <v>69.77356420800507</v>
      </c>
    </row>
    <row r="172" spans="1:69" x14ac:dyDescent="0.25">
      <c r="A172">
        <v>166</v>
      </c>
      <c r="B172" t="e">
        <f t="shared" si="83"/>
        <v>#NUM!</v>
      </c>
      <c r="C172" t="e">
        <f t="shared" si="84"/>
        <v>#NUM!</v>
      </c>
      <c r="D172" t="e">
        <f t="shared" si="85"/>
        <v>#NUM!</v>
      </c>
      <c r="E172" t="e">
        <f t="shared" si="86"/>
        <v>#NUM!</v>
      </c>
      <c r="F172" t="e">
        <f t="shared" si="87"/>
        <v>#NUM!</v>
      </c>
      <c r="G172" t="e">
        <f t="shared" si="88"/>
        <v>#NUM!</v>
      </c>
      <c r="H172" t="e">
        <f t="shared" si="89"/>
        <v>#NUM!</v>
      </c>
      <c r="J172" t="e">
        <f t="shared" si="90"/>
        <v>#NUM!</v>
      </c>
      <c r="K172" t="e">
        <f t="shared" si="91"/>
        <v>#NUM!</v>
      </c>
      <c r="L172" t="e">
        <f t="shared" si="92"/>
        <v>#NUM!</v>
      </c>
      <c r="M172" t="e">
        <f t="shared" si="93"/>
        <v>#NUM!</v>
      </c>
      <c r="N172" t="e">
        <f t="shared" si="94"/>
        <v>#NUM!</v>
      </c>
      <c r="O172" t="e">
        <f t="shared" si="95"/>
        <v>#NUM!</v>
      </c>
      <c r="P172" t="e">
        <f t="shared" si="96"/>
        <v>#NUM!</v>
      </c>
      <c r="Q172" t="e">
        <f t="shared" si="97"/>
        <v>#NUM!</v>
      </c>
      <c r="R172" t="e">
        <f t="shared" si="98"/>
        <v>#NUM!</v>
      </c>
      <c r="S172" t="e">
        <f t="shared" si="99"/>
        <v>#NUM!</v>
      </c>
      <c r="W172" t="e">
        <f t="shared" si="76"/>
        <v>#NUM!</v>
      </c>
      <c r="X172">
        <f t="shared" si="77"/>
        <v>61.570799515387513</v>
      </c>
      <c r="Y172">
        <f t="shared" si="78"/>
        <v>12</v>
      </c>
      <c r="Z172">
        <f t="shared" si="79"/>
        <v>-1.5707963267948966</v>
      </c>
      <c r="AA172" t="e">
        <f t="shared" si="80"/>
        <v>#NUM!</v>
      </c>
      <c r="AB172" t="e">
        <f t="shared" si="81"/>
        <v>#NUM!</v>
      </c>
      <c r="AC172" t="e">
        <f t="shared" si="82"/>
        <v>#NUM!</v>
      </c>
      <c r="AE172">
        <v>3.2153875902064446E-6</v>
      </c>
      <c r="AF172">
        <v>-59.999999999999922</v>
      </c>
      <c r="AH172" s="1">
        <v>166</v>
      </c>
      <c r="AI172" s="1">
        <f t="shared" si="100"/>
        <v>0</v>
      </c>
      <c r="AJ172" s="1">
        <f t="shared" si="100"/>
        <v>0</v>
      </c>
      <c r="AK172" s="2" t="e">
        <f t="shared" si="101"/>
        <v>#NUM!</v>
      </c>
      <c r="AL172" s="2" t="e">
        <f t="shared" si="101"/>
        <v>#NUM!</v>
      </c>
      <c r="AY172">
        <v>4.0215088570226385</v>
      </c>
      <c r="BQ172">
        <v>70.194809309124452</v>
      </c>
    </row>
    <row r="173" spans="1:69" x14ac:dyDescent="0.25">
      <c r="A173">
        <v>167</v>
      </c>
      <c r="B173" t="e">
        <f t="shared" si="83"/>
        <v>#NUM!</v>
      </c>
      <c r="C173" t="e">
        <f t="shared" si="84"/>
        <v>#NUM!</v>
      </c>
      <c r="D173" t="e">
        <f t="shared" si="85"/>
        <v>#NUM!</v>
      </c>
      <c r="E173" t="e">
        <f t="shared" si="86"/>
        <v>#NUM!</v>
      </c>
      <c r="F173" t="e">
        <f t="shared" si="87"/>
        <v>#NUM!</v>
      </c>
      <c r="G173" t="e">
        <f t="shared" si="88"/>
        <v>#NUM!</v>
      </c>
      <c r="H173" t="e">
        <f t="shared" si="89"/>
        <v>#NUM!</v>
      </c>
      <c r="J173" t="e">
        <f t="shared" si="90"/>
        <v>#NUM!</v>
      </c>
      <c r="K173" t="e">
        <f t="shared" si="91"/>
        <v>#NUM!</v>
      </c>
      <c r="L173" t="e">
        <f t="shared" si="92"/>
        <v>#NUM!</v>
      </c>
      <c r="M173" t="e">
        <f t="shared" si="93"/>
        <v>#NUM!</v>
      </c>
      <c r="N173" t="e">
        <f t="shared" si="94"/>
        <v>#NUM!</v>
      </c>
      <c r="O173" t="e">
        <f t="shared" si="95"/>
        <v>#NUM!</v>
      </c>
      <c r="P173" t="e">
        <f t="shared" si="96"/>
        <v>#NUM!</v>
      </c>
      <c r="Q173" t="e">
        <f t="shared" si="97"/>
        <v>#NUM!</v>
      </c>
      <c r="R173" t="e">
        <f t="shared" si="98"/>
        <v>#NUM!</v>
      </c>
      <c r="S173" t="e">
        <f t="shared" si="99"/>
        <v>#NUM!</v>
      </c>
      <c r="W173" t="e">
        <f t="shared" si="76"/>
        <v>#NUM!</v>
      </c>
      <c r="X173">
        <f t="shared" si="77"/>
        <v>61.570799515387513</v>
      </c>
      <c r="Y173">
        <f t="shared" si="78"/>
        <v>12</v>
      </c>
      <c r="Z173">
        <f t="shared" si="79"/>
        <v>-1.5707963267948966</v>
      </c>
      <c r="AA173" t="e">
        <f t="shared" si="80"/>
        <v>#NUM!</v>
      </c>
      <c r="AB173" t="e">
        <f t="shared" si="81"/>
        <v>#NUM!</v>
      </c>
      <c r="AC173" t="e">
        <f t="shared" si="82"/>
        <v>#NUM!</v>
      </c>
      <c r="AE173">
        <v>3.2153875902064446E-6</v>
      </c>
      <c r="AF173">
        <v>-59.999999999999922</v>
      </c>
      <c r="AH173" s="1">
        <v>167</v>
      </c>
      <c r="AI173" s="1">
        <f t="shared" si="100"/>
        <v>0</v>
      </c>
      <c r="AJ173" s="1">
        <f t="shared" si="100"/>
        <v>0</v>
      </c>
      <c r="AK173" s="2" t="e">
        <f t="shared" si="101"/>
        <v>#NUM!</v>
      </c>
      <c r="AL173" s="2" t="e">
        <f t="shared" si="101"/>
        <v>#NUM!</v>
      </c>
      <c r="AY173">
        <v>2.2665239612127621</v>
      </c>
      <c r="BQ173">
        <v>70.572418791367369</v>
      </c>
    </row>
    <row r="174" spans="1:69" x14ac:dyDescent="0.25">
      <c r="A174">
        <v>168</v>
      </c>
      <c r="B174" t="e">
        <f t="shared" si="83"/>
        <v>#NUM!</v>
      </c>
      <c r="C174" t="e">
        <f t="shared" si="84"/>
        <v>#NUM!</v>
      </c>
      <c r="D174" t="e">
        <f t="shared" si="85"/>
        <v>#NUM!</v>
      </c>
      <c r="E174" t="e">
        <f t="shared" si="86"/>
        <v>#NUM!</v>
      </c>
      <c r="F174" t="e">
        <f t="shared" si="87"/>
        <v>#NUM!</v>
      </c>
      <c r="G174" t="e">
        <f t="shared" si="88"/>
        <v>#NUM!</v>
      </c>
      <c r="H174" t="e">
        <f t="shared" si="89"/>
        <v>#NUM!</v>
      </c>
      <c r="J174" t="e">
        <f t="shared" si="90"/>
        <v>#NUM!</v>
      </c>
      <c r="K174" t="e">
        <f t="shared" si="91"/>
        <v>#NUM!</v>
      </c>
      <c r="L174" t="e">
        <f t="shared" si="92"/>
        <v>#NUM!</v>
      </c>
      <c r="M174" t="e">
        <f t="shared" si="93"/>
        <v>#NUM!</v>
      </c>
      <c r="N174" t="e">
        <f t="shared" si="94"/>
        <v>#NUM!</v>
      </c>
      <c r="O174" t="e">
        <f t="shared" si="95"/>
        <v>#NUM!</v>
      </c>
      <c r="P174" t="e">
        <f t="shared" si="96"/>
        <v>#NUM!</v>
      </c>
      <c r="Q174" t="e">
        <f t="shared" si="97"/>
        <v>#NUM!</v>
      </c>
      <c r="R174" t="e">
        <f t="shared" si="98"/>
        <v>#NUM!</v>
      </c>
      <c r="S174" t="e">
        <f t="shared" si="99"/>
        <v>#NUM!</v>
      </c>
      <c r="W174" t="e">
        <f t="shared" si="76"/>
        <v>#NUM!</v>
      </c>
      <c r="X174">
        <f t="shared" si="77"/>
        <v>61.570799515387513</v>
      </c>
      <c r="Y174">
        <f t="shared" si="78"/>
        <v>12</v>
      </c>
      <c r="Z174">
        <f t="shared" si="79"/>
        <v>-1.5707963267948966</v>
      </c>
      <c r="AA174" t="e">
        <f t="shared" si="80"/>
        <v>#NUM!</v>
      </c>
      <c r="AB174" t="e">
        <f t="shared" si="81"/>
        <v>#NUM!</v>
      </c>
      <c r="AC174" t="e">
        <f t="shared" si="82"/>
        <v>#NUM!</v>
      </c>
      <c r="AE174">
        <v>3.2153875902064446E-6</v>
      </c>
      <c r="AF174">
        <v>-59.999999999999922</v>
      </c>
      <c r="AH174" s="1">
        <v>168</v>
      </c>
      <c r="AI174" s="1">
        <f t="shared" si="100"/>
        <v>0</v>
      </c>
      <c r="AJ174" s="1">
        <f t="shared" si="100"/>
        <v>0</v>
      </c>
      <c r="AK174" s="2" t="e">
        <f t="shared" si="101"/>
        <v>#NUM!</v>
      </c>
      <c r="AL174" s="2" t="e">
        <f t="shared" si="101"/>
        <v>#NUM!</v>
      </c>
      <c r="AY174">
        <v>0.50267048083958699</v>
      </c>
      <c r="BQ174">
        <v>70.906157919094326</v>
      </c>
    </row>
    <row r="175" spans="1:69" x14ac:dyDescent="0.25">
      <c r="A175">
        <v>169</v>
      </c>
      <c r="B175" t="e">
        <f t="shared" si="83"/>
        <v>#NUM!</v>
      </c>
      <c r="C175" t="e">
        <f t="shared" si="84"/>
        <v>#NUM!</v>
      </c>
      <c r="D175" t="e">
        <f t="shared" si="85"/>
        <v>#NUM!</v>
      </c>
      <c r="E175" t="e">
        <f t="shared" si="86"/>
        <v>#NUM!</v>
      </c>
      <c r="F175" t="e">
        <f t="shared" si="87"/>
        <v>#NUM!</v>
      </c>
      <c r="G175" t="e">
        <f t="shared" si="88"/>
        <v>#NUM!</v>
      </c>
      <c r="H175" t="e">
        <f t="shared" si="89"/>
        <v>#NUM!</v>
      </c>
      <c r="J175" t="e">
        <f t="shared" si="90"/>
        <v>#NUM!</v>
      </c>
      <c r="K175" t="e">
        <f t="shared" si="91"/>
        <v>#NUM!</v>
      </c>
      <c r="L175" t="e">
        <f t="shared" si="92"/>
        <v>#NUM!</v>
      </c>
      <c r="M175" t="e">
        <f t="shared" si="93"/>
        <v>#NUM!</v>
      </c>
      <c r="N175" t="e">
        <f t="shared" si="94"/>
        <v>#NUM!</v>
      </c>
      <c r="O175" t="e">
        <f t="shared" si="95"/>
        <v>#NUM!</v>
      </c>
      <c r="P175" t="e">
        <f t="shared" si="96"/>
        <v>#NUM!</v>
      </c>
      <c r="Q175" t="e">
        <f t="shared" si="97"/>
        <v>#NUM!</v>
      </c>
      <c r="R175" t="e">
        <f t="shared" si="98"/>
        <v>#NUM!</v>
      </c>
      <c r="S175" t="e">
        <f t="shared" si="99"/>
        <v>#NUM!</v>
      </c>
      <c r="W175" t="e">
        <f t="shared" si="76"/>
        <v>#NUM!</v>
      </c>
      <c r="X175">
        <f t="shared" si="77"/>
        <v>61.570799515387513</v>
      </c>
      <c r="Y175">
        <f t="shared" si="78"/>
        <v>12</v>
      </c>
      <c r="Z175">
        <f t="shared" si="79"/>
        <v>-1.5707963267948966</v>
      </c>
      <c r="AA175" t="e">
        <f t="shared" si="80"/>
        <v>#NUM!</v>
      </c>
      <c r="AB175" t="e">
        <f t="shared" si="81"/>
        <v>#NUM!</v>
      </c>
      <c r="AC175" t="e">
        <f t="shared" si="82"/>
        <v>#NUM!</v>
      </c>
      <c r="AE175">
        <v>3.2153875902064446E-6</v>
      </c>
      <c r="AF175">
        <v>-59.999999999999922</v>
      </c>
      <c r="AH175" s="1">
        <v>169</v>
      </c>
      <c r="AI175" s="1">
        <f t="shared" si="100"/>
        <v>0</v>
      </c>
      <c r="AJ175" s="1">
        <f t="shared" si="100"/>
        <v>0</v>
      </c>
      <c r="AK175" s="2" t="e">
        <f t="shared" si="101"/>
        <v>#NUM!</v>
      </c>
      <c r="AL175" s="2" t="e">
        <f t="shared" si="101"/>
        <v>#NUM!</v>
      </c>
      <c r="AY175">
        <v>0</v>
      </c>
      <c r="BQ175">
        <v>70.992957397195397</v>
      </c>
    </row>
    <row r="176" spans="1:69" x14ac:dyDescent="0.25">
      <c r="A176">
        <v>170</v>
      </c>
      <c r="B176" t="e">
        <f t="shared" si="83"/>
        <v>#NUM!</v>
      </c>
      <c r="C176" t="e">
        <f t="shared" si="84"/>
        <v>#NUM!</v>
      </c>
      <c r="D176" t="e">
        <f t="shared" si="85"/>
        <v>#NUM!</v>
      </c>
      <c r="E176" t="e">
        <f t="shared" si="86"/>
        <v>#NUM!</v>
      </c>
      <c r="F176" t="e">
        <f t="shared" si="87"/>
        <v>#NUM!</v>
      </c>
      <c r="G176" t="e">
        <f t="shared" si="88"/>
        <v>#NUM!</v>
      </c>
      <c r="H176" t="e">
        <f t="shared" si="89"/>
        <v>#NUM!</v>
      </c>
      <c r="J176" t="e">
        <f t="shared" si="90"/>
        <v>#NUM!</v>
      </c>
      <c r="K176" t="e">
        <f t="shared" si="91"/>
        <v>#NUM!</v>
      </c>
      <c r="L176" t="e">
        <f t="shared" si="92"/>
        <v>#NUM!</v>
      </c>
      <c r="M176" t="e">
        <f t="shared" si="93"/>
        <v>#NUM!</v>
      </c>
      <c r="N176" t="e">
        <f t="shared" si="94"/>
        <v>#NUM!</v>
      </c>
      <c r="O176" t="e">
        <f t="shared" si="95"/>
        <v>#NUM!</v>
      </c>
      <c r="P176" t="e">
        <f t="shared" si="96"/>
        <v>#NUM!</v>
      </c>
      <c r="Q176" t="e">
        <f t="shared" si="97"/>
        <v>#NUM!</v>
      </c>
      <c r="R176" t="e">
        <f t="shared" si="98"/>
        <v>#NUM!</v>
      </c>
      <c r="S176" t="e">
        <f t="shared" si="99"/>
        <v>#NUM!</v>
      </c>
      <c r="W176" t="e">
        <f t="shared" si="76"/>
        <v>#NUM!</v>
      </c>
      <c r="X176">
        <f t="shared" si="77"/>
        <v>61.570799515387513</v>
      </c>
      <c r="Y176">
        <f t="shared" si="78"/>
        <v>12</v>
      </c>
      <c r="Z176">
        <f t="shared" si="79"/>
        <v>-1.5707963267948966</v>
      </c>
      <c r="AA176" t="e">
        <f t="shared" si="80"/>
        <v>#NUM!</v>
      </c>
      <c r="AB176" t="e">
        <f t="shared" si="81"/>
        <v>#NUM!</v>
      </c>
      <c r="AC176" t="e">
        <f t="shared" si="82"/>
        <v>#NUM!</v>
      </c>
      <c r="AE176">
        <v>3.2153875902064446E-6</v>
      </c>
      <c r="AF176">
        <v>-59.999999999999922</v>
      </c>
      <c r="AH176" s="1">
        <v>170</v>
      </c>
      <c r="AI176" s="1">
        <f t="shared" si="100"/>
        <v>0</v>
      </c>
      <c r="AJ176" s="1">
        <f t="shared" si="100"/>
        <v>0</v>
      </c>
      <c r="AK176" s="2" t="e">
        <f t="shared" si="101"/>
        <v>#NUM!</v>
      </c>
      <c r="AL176" s="2" t="e">
        <f t="shared" si="101"/>
        <v>#NUM!</v>
      </c>
      <c r="AY176">
        <v>0</v>
      </c>
      <c r="BQ176">
        <v>70.992957397195397</v>
      </c>
    </row>
    <row r="177" spans="1:70" x14ac:dyDescent="0.25">
      <c r="A177">
        <v>171</v>
      </c>
      <c r="B177" t="e">
        <f t="shared" si="83"/>
        <v>#NUM!</v>
      </c>
      <c r="C177" t="e">
        <f t="shared" si="84"/>
        <v>#NUM!</v>
      </c>
      <c r="D177" t="e">
        <f t="shared" si="85"/>
        <v>#NUM!</v>
      </c>
      <c r="E177" t="e">
        <f t="shared" si="86"/>
        <v>#NUM!</v>
      </c>
      <c r="F177" t="e">
        <f t="shared" si="87"/>
        <v>#NUM!</v>
      </c>
      <c r="G177" t="e">
        <f t="shared" si="88"/>
        <v>#NUM!</v>
      </c>
      <c r="H177" t="e">
        <f t="shared" si="89"/>
        <v>#NUM!</v>
      </c>
      <c r="J177" t="e">
        <f t="shared" si="90"/>
        <v>#NUM!</v>
      </c>
      <c r="K177" t="e">
        <f t="shared" si="91"/>
        <v>#NUM!</v>
      </c>
      <c r="L177" t="e">
        <f t="shared" si="92"/>
        <v>#NUM!</v>
      </c>
      <c r="M177" t="e">
        <f t="shared" si="93"/>
        <v>#NUM!</v>
      </c>
      <c r="N177" t="e">
        <f t="shared" si="94"/>
        <v>#NUM!</v>
      </c>
      <c r="O177" t="e">
        <f t="shared" si="95"/>
        <v>#NUM!</v>
      </c>
      <c r="P177" t="e">
        <f t="shared" si="96"/>
        <v>#NUM!</v>
      </c>
      <c r="Q177" t="e">
        <f t="shared" si="97"/>
        <v>#NUM!</v>
      </c>
      <c r="R177" t="e">
        <f t="shared" si="98"/>
        <v>#NUM!</v>
      </c>
      <c r="S177" t="e">
        <f t="shared" si="99"/>
        <v>#NUM!</v>
      </c>
      <c r="W177" t="e">
        <f t="shared" si="76"/>
        <v>#NUM!</v>
      </c>
      <c r="X177">
        <f t="shared" si="77"/>
        <v>61.570799515387513</v>
      </c>
      <c r="Y177">
        <f t="shared" si="78"/>
        <v>12</v>
      </c>
      <c r="Z177">
        <f t="shared" si="79"/>
        <v>-1.5707963267948966</v>
      </c>
      <c r="AA177" t="e">
        <f t="shared" si="80"/>
        <v>#NUM!</v>
      </c>
      <c r="AB177" t="e">
        <f t="shared" si="81"/>
        <v>#NUM!</v>
      </c>
      <c r="AC177" t="e">
        <f t="shared" si="82"/>
        <v>#NUM!</v>
      </c>
      <c r="AE177">
        <v>3.2153875902064446E-6</v>
      </c>
      <c r="AF177">
        <v>-59.999999999999922</v>
      </c>
      <c r="AH177" s="1">
        <v>171</v>
      </c>
      <c r="AI177" s="1">
        <f t="shared" si="100"/>
        <v>0</v>
      </c>
      <c r="AJ177" s="1">
        <f t="shared" si="100"/>
        <v>0</v>
      </c>
      <c r="AK177" s="2" t="e">
        <f t="shared" si="101"/>
        <v>#NUM!</v>
      </c>
      <c r="AL177" s="2" t="e">
        <f t="shared" si="101"/>
        <v>#NUM!</v>
      </c>
      <c r="AY177">
        <v>0</v>
      </c>
      <c r="BQ177">
        <v>70.992957397195397</v>
      </c>
    </row>
    <row r="178" spans="1:70" x14ac:dyDescent="0.25">
      <c r="A178">
        <v>172</v>
      </c>
      <c r="B178" t="e">
        <f t="shared" si="83"/>
        <v>#NUM!</v>
      </c>
      <c r="C178" t="e">
        <f t="shared" si="84"/>
        <v>#NUM!</v>
      </c>
      <c r="D178" t="e">
        <f t="shared" si="85"/>
        <v>#NUM!</v>
      </c>
      <c r="E178" t="e">
        <f t="shared" si="86"/>
        <v>#NUM!</v>
      </c>
      <c r="F178" t="e">
        <f t="shared" si="87"/>
        <v>#NUM!</v>
      </c>
      <c r="G178" t="e">
        <f t="shared" si="88"/>
        <v>#NUM!</v>
      </c>
      <c r="H178" t="e">
        <f t="shared" si="89"/>
        <v>#NUM!</v>
      </c>
      <c r="J178" t="e">
        <f t="shared" si="90"/>
        <v>#NUM!</v>
      </c>
      <c r="K178" t="e">
        <f t="shared" si="91"/>
        <v>#NUM!</v>
      </c>
      <c r="L178" t="e">
        <f t="shared" si="92"/>
        <v>#NUM!</v>
      </c>
      <c r="M178" t="e">
        <f t="shared" si="93"/>
        <v>#NUM!</v>
      </c>
      <c r="N178" t="e">
        <f t="shared" si="94"/>
        <v>#NUM!</v>
      </c>
      <c r="O178" t="e">
        <f t="shared" si="95"/>
        <v>#NUM!</v>
      </c>
      <c r="P178" t="e">
        <f t="shared" si="96"/>
        <v>#NUM!</v>
      </c>
      <c r="Q178" t="e">
        <f t="shared" si="97"/>
        <v>#NUM!</v>
      </c>
      <c r="R178" t="e">
        <f t="shared" si="98"/>
        <v>#NUM!</v>
      </c>
      <c r="S178" t="e">
        <f t="shared" si="99"/>
        <v>#NUM!</v>
      </c>
      <c r="W178" t="e">
        <f t="shared" si="76"/>
        <v>#NUM!</v>
      </c>
      <c r="X178">
        <f t="shared" si="77"/>
        <v>61.570799515387513</v>
      </c>
      <c r="Y178">
        <f t="shared" si="78"/>
        <v>12</v>
      </c>
      <c r="Z178">
        <f t="shared" si="79"/>
        <v>-1.5707963267948966</v>
      </c>
      <c r="AA178" t="e">
        <f t="shared" si="80"/>
        <v>#NUM!</v>
      </c>
      <c r="AB178" t="e">
        <f t="shared" si="81"/>
        <v>#NUM!</v>
      </c>
      <c r="AC178" t="e">
        <f t="shared" si="82"/>
        <v>#NUM!</v>
      </c>
      <c r="AE178">
        <v>3.2153875902064446E-6</v>
      </c>
      <c r="AF178">
        <v>-59.999999999999922</v>
      </c>
      <c r="AH178" s="1">
        <v>172</v>
      </c>
      <c r="AI178" s="1">
        <f t="shared" si="100"/>
        <v>0</v>
      </c>
      <c r="AJ178" s="1">
        <f t="shared" si="100"/>
        <v>0</v>
      </c>
      <c r="AK178" s="2" t="e">
        <f t="shared" si="101"/>
        <v>#NUM!</v>
      </c>
      <c r="AL178" s="2" t="e">
        <f t="shared" si="101"/>
        <v>#NUM!</v>
      </c>
      <c r="AY178">
        <v>0</v>
      </c>
      <c r="BQ178">
        <v>70.992957397195397</v>
      </c>
    </row>
    <row r="179" spans="1:70" x14ac:dyDescent="0.25">
      <c r="A179">
        <v>173</v>
      </c>
      <c r="B179" t="e">
        <f t="shared" si="83"/>
        <v>#NUM!</v>
      </c>
      <c r="C179" t="e">
        <f t="shared" si="84"/>
        <v>#NUM!</v>
      </c>
      <c r="D179" t="e">
        <f t="shared" si="85"/>
        <v>#NUM!</v>
      </c>
      <c r="E179" t="e">
        <f t="shared" si="86"/>
        <v>#NUM!</v>
      </c>
      <c r="F179" t="e">
        <f t="shared" si="87"/>
        <v>#NUM!</v>
      </c>
      <c r="G179" t="e">
        <f t="shared" si="88"/>
        <v>#NUM!</v>
      </c>
      <c r="H179" t="e">
        <f t="shared" si="89"/>
        <v>#NUM!</v>
      </c>
      <c r="J179" t="e">
        <f t="shared" si="90"/>
        <v>#NUM!</v>
      </c>
      <c r="K179" t="e">
        <f t="shared" si="91"/>
        <v>#NUM!</v>
      </c>
      <c r="L179" t="e">
        <f t="shared" si="92"/>
        <v>#NUM!</v>
      </c>
      <c r="M179" t="e">
        <f t="shared" si="93"/>
        <v>#NUM!</v>
      </c>
      <c r="N179" t="e">
        <f t="shared" si="94"/>
        <v>#NUM!</v>
      </c>
      <c r="O179" t="e">
        <f t="shared" si="95"/>
        <v>#NUM!</v>
      </c>
      <c r="P179" t="e">
        <f t="shared" si="96"/>
        <v>#NUM!</v>
      </c>
      <c r="Q179" t="e">
        <f t="shared" si="97"/>
        <v>#NUM!</v>
      </c>
      <c r="R179" t="e">
        <f t="shared" si="98"/>
        <v>#NUM!</v>
      </c>
      <c r="S179" t="e">
        <f t="shared" si="99"/>
        <v>#NUM!</v>
      </c>
      <c r="W179" t="e">
        <f t="shared" si="76"/>
        <v>#NUM!</v>
      </c>
      <c r="X179">
        <f t="shared" si="77"/>
        <v>61.570799515387513</v>
      </c>
      <c r="Y179">
        <f t="shared" si="78"/>
        <v>12</v>
      </c>
      <c r="Z179">
        <f t="shared" si="79"/>
        <v>-1.5707963267948966</v>
      </c>
      <c r="AA179" t="e">
        <f t="shared" si="80"/>
        <v>#NUM!</v>
      </c>
      <c r="AB179" t="e">
        <f t="shared" si="81"/>
        <v>#NUM!</v>
      </c>
      <c r="AC179" t="e">
        <f t="shared" si="82"/>
        <v>#NUM!</v>
      </c>
      <c r="AE179">
        <v>3.2153875902064446E-6</v>
      </c>
      <c r="AF179">
        <v>-59.999999999999922</v>
      </c>
      <c r="AH179" s="1">
        <v>173</v>
      </c>
      <c r="AI179" s="1">
        <f t="shared" si="100"/>
        <v>0</v>
      </c>
      <c r="AJ179" s="1">
        <f t="shared" si="100"/>
        <v>0</v>
      </c>
      <c r="AK179" s="2" t="e">
        <f t="shared" si="101"/>
        <v>#NUM!</v>
      </c>
      <c r="AL179" s="2" t="e">
        <f t="shared" si="101"/>
        <v>#NUM!</v>
      </c>
      <c r="AY179">
        <v>0</v>
      </c>
      <c r="BQ179">
        <v>70.992957397195397</v>
      </c>
    </row>
    <row r="180" spans="1:70" x14ac:dyDescent="0.25">
      <c r="A180">
        <v>174</v>
      </c>
      <c r="B180" t="e">
        <f t="shared" si="83"/>
        <v>#NUM!</v>
      </c>
      <c r="C180" t="e">
        <f t="shared" si="84"/>
        <v>#NUM!</v>
      </c>
      <c r="D180" t="e">
        <f t="shared" si="85"/>
        <v>#NUM!</v>
      </c>
      <c r="E180" t="e">
        <f t="shared" si="86"/>
        <v>#NUM!</v>
      </c>
      <c r="F180" t="e">
        <f t="shared" si="87"/>
        <v>#NUM!</v>
      </c>
      <c r="G180" t="e">
        <f t="shared" si="88"/>
        <v>#NUM!</v>
      </c>
      <c r="H180" t="e">
        <f t="shared" si="89"/>
        <v>#NUM!</v>
      </c>
      <c r="J180" t="e">
        <f t="shared" si="90"/>
        <v>#NUM!</v>
      </c>
      <c r="K180" t="e">
        <f t="shared" si="91"/>
        <v>#NUM!</v>
      </c>
      <c r="L180" t="e">
        <f t="shared" si="92"/>
        <v>#NUM!</v>
      </c>
      <c r="M180" t="e">
        <f t="shared" si="93"/>
        <v>#NUM!</v>
      </c>
      <c r="N180" t="e">
        <f t="shared" si="94"/>
        <v>#NUM!</v>
      </c>
      <c r="O180" t="e">
        <f t="shared" si="95"/>
        <v>#NUM!</v>
      </c>
      <c r="P180" t="e">
        <f t="shared" si="96"/>
        <v>#NUM!</v>
      </c>
      <c r="Q180" t="e">
        <f t="shared" si="97"/>
        <v>#NUM!</v>
      </c>
      <c r="R180" t="e">
        <f t="shared" si="98"/>
        <v>#NUM!</v>
      </c>
      <c r="S180" t="e">
        <f t="shared" si="99"/>
        <v>#NUM!</v>
      </c>
      <c r="W180" t="e">
        <f t="shared" si="76"/>
        <v>#NUM!</v>
      </c>
      <c r="X180">
        <f t="shared" si="77"/>
        <v>61.570799515387513</v>
      </c>
      <c r="Y180">
        <f t="shared" si="78"/>
        <v>12</v>
      </c>
      <c r="Z180">
        <f t="shared" si="79"/>
        <v>-1.5707963267948966</v>
      </c>
      <c r="AA180" t="e">
        <f t="shared" si="80"/>
        <v>#NUM!</v>
      </c>
      <c r="AB180" t="e">
        <f t="shared" si="81"/>
        <v>#NUM!</v>
      </c>
      <c r="AC180" t="e">
        <f t="shared" si="82"/>
        <v>#NUM!</v>
      </c>
      <c r="AE180">
        <v>3.2153875902064446E-6</v>
      </c>
      <c r="AF180">
        <v>-59.999999999999922</v>
      </c>
      <c r="AH180" s="1">
        <v>174</v>
      </c>
      <c r="AI180" s="1">
        <f t="shared" si="100"/>
        <v>0</v>
      </c>
      <c r="AJ180" s="1">
        <f t="shared" si="100"/>
        <v>0</v>
      </c>
      <c r="AK180" s="2" t="e">
        <f t="shared" si="101"/>
        <v>#NUM!</v>
      </c>
      <c r="AL180" s="2" t="e">
        <f t="shared" si="101"/>
        <v>#NUM!</v>
      </c>
      <c r="AY180">
        <v>0</v>
      </c>
      <c r="BQ180">
        <v>70.992957397195397</v>
      </c>
    </row>
    <row r="181" spans="1:70" x14ac:dyDescent="0.25">
      <c r="A181">
        <v>175</v>
      </c>
      <c r="B181" t="e">
        <f t="shared" si="83"/>
        <v>#NUM!</v>
      </c>
      <c r="C181" t="e">
        <f t="shared" si="84"/>
        <v>#NUM!</v>
      </c>
      <c r="D181" t="e">
        <f t="shared" si="85"/>
        <v>#NUM!</v>
      </c>
      <c r="E181" t="e">
        <f t="shared" si="86"/>
        <v>#NUM!</v>
      </c>
      <c r="F181" t="e">
        <f t="shared" si="87"/>
        <v>#NUM!</v>
      </c>
      <c r="G181" t="e">
        <f t="shared" si="88"/>
        <v>#NUM!</v>
      </c>
      <c r="H181" t="e">
        <f t="shared" si="89"/>
        <v>#NUM!</v>
      </c>
      <c r="J181" t="e">
        <f t="shared" si="90"/>
        <v>#NUM!</v>
      </c>
      <c r="K181" t="e">
        <f t="shared" si="91"/>
        <v>#NUM!</v>
      </c>
      <c r="L181" t="e">
        <f t="shared" si="92"/>
        <v>#NUM!</v>
      </c>
      <c r="M181" t="e">
        <f t="shared" si="93"/>
        <v>#NUM!</v>
      </c>
      <c r="N181" t="e">
        <f t="shared" si="94"/>
        <v>#NUM!</v>
      </c>
      <c r="O181" t="e">
        <f t="shared" si="95"/>
        <v>#NUM!</v>
      </c>
      <c r="P181" t="e">
        <f t="shared" si="96"/>
        <v>#NUM!</v>
      </c>
      <c r="Q181" t="e">
        <f t="shared" si="97"/>
        <v>#NUM!</v>
      </c>
      <c r="R181" t="e">
        <f t="shared" si="98"/>
        <v>#NUM!</v>
      </c>
      <c r="S181" t="e">
        <f t="shared" si="99"/>
        <v>#NUM!</v>
      </c>
      <c r="W181" t="e">
        <f t="shared" si="76"/>
        <v>#NUM!</v>
      </c>
      <c r="X181">
        <f t="shared" si="77"/>
        <v>61.570799515387513</v>
      </c>
      <c r="Y181">
        <f t="shared" si="78"/>
        <v>12</v>
      </c>
      <c r="Z181">
        <f t="shared" si="79"/>
        <v>-1.5707963267948966</v>
      </c>
      <c r="AA181" t="e">
        <f t="shared" si="80"/>
        <v>#NUM!</v>
      </c>
      <c r="AB181" t="e">
        <f t="shared" si="81"/>
        <v>#NUM!</v>
      </c>
      <c r="AC181" t="e">
        <f t="shared" si="82"/>
        <v>#NUM!</v>
      </c>
      <c r="AE181">
        <v>3.2153875902064446E-6</v>
      </c>
      <c r="AF181">
        <v>-59.999999999999922</v>
      </c>
      <c r="AH181" s="1">
        <v>175</v>
      </c>
      <c r="AI181" s="1">
        <f t="shared" si="100"/>
        <v>0</v>
      </c>
      <c r="AJ181" s="1">
        <f t="shared" si="100"/>
        <v>0</v>
      </c>
      <c r="AK181" s="2" t="e">
        <f t="shared" si="101"/>
        <v>#NUM!</v>
      </c>
      <c r="AL181" s="2" t="e">
        <f t="shared" si="101"/>
        <v>#NUM!</v>
      </c>
      <c r="AY181">
        <v>0</v>
      </c>
      <c r="BQ181">
        <v>70.992957397195397</v>
      </c>
    </row>
    <row r="182" spans="1:70" x14ac:dyDescent="0.25">
      <c r="A182">
        <v>176</v>
      </c>
      <c r="B182" t="e">
        <f t="shared" si="83"/>
        <v>#NUM!</v>
      </c>
      <c r="C182" t="e">
        <f t="shared" si="84"/>
        <v>#NUM!</v>
      </c>
      <c r="D182" t="e">
        <f t="shared" si="85"/>
        <v>#NUM!</v>
      </c>
      <c r="E182" t="e">
        <f t="shared" si="86"/>
        <v>#NUM!</v>
      </c>
      <c r="F182" t="e">
        <f t="shared" si="87"/>
        <v>#NUM!</v>
      </c>
      <c r="G182" t="e">
        <f t="shared" si="88"/>
        <v>#NUM!</v>
      </c>
      <c r="H182" t="e">
        <f t="shared" si="89"/>
        <v>#NUM!</v>
      </c>
      <c r="J182" t="e">
        <f t="shared" si="90"/>
        <v>#NUM!</v>
      </c>
      <c r="K182" t="e">
        <f t="shared" si="91"/>
        <v>#NUM!</v>
      </c>
      <c r="L182" t="e">
        <f t="shared" si="92"/>
        <v>#NUM!</v>
      </c>
      <c r="M182" t="e">
        <f t="shared" si="93"/>
        <v>#NUM!</v>
      </c>
      <c r="N182" t="e">
        <f t="shared" si="94"/>
        <v>#NUM!</v>
      </c>
      <c r="O182" t="e">
        <f t="shared" si="95"/>
        <v>#NUM!</v>
      </c>
      <c r="P182" t="e">
        <f t="shared" si="96"/>
        <v>#NUM!</v>
      </c>
      <c r="Q182" t="e">
        <f t="shared" si="97"/>
        <v>#NUM!</v>
      </c>
      <c r="R182" t="e">
        <f t="shared" si="98"/>
        <v>#NUM!</v>
      </c>
      <c r="S182" t="e">
        <f t="shared" si="99"/>
        <v>#NUM!</v>
      </c>
      <c r="W182" t="e">
        <f t="shared" si="76"/>
        <v>#NUM!</v>
      </c>
      <c r="X182">
        <f t="shared" si="77"/>
        <v>61.570799515387513</v>
      </c>
      <c r="Y182">
        <f t="shared" si="78"/>
        <v>12</v>
      </c>
      <c r="Z182">
        <f t="shared" si="79"/>
        <v>-1.5707963267948966</v>
      </c>
      <c r="AA182" t="e">
        <f t="shared" si="80"/>
        <v>#NUM!</v>
      </c>
      <c r="AB182" t="e">
        <f t="shared" si="81"/>
        <v>#NUM!</v>
      </c>
      <c r="AC182" t="e">
        <f t="shared" si="82"/>
        <v>#NUM!</v>
      </c>
      <c r="AE182">
        <v>3.2153875902064446E-6</v>
      </c>
      <c r="AF182">
        <v>-59.999999999999922</v>
      </c>
      <c r="AH182" s="1">
        <v>176</v>
      </c>
      <c r="AI182" s="1">
        <f t="shared" si="100"/>
        <v>0</v>
      </c>
      <c r="AJ182" s="1">
        <f t="shared" si="100"/>
        <v>0</v>
      </c>
      <c r="AK182" s="2" t="e">
        <f t="shared" si="101"/>
        <v>#NUM!</v>
      </c>
      <c r="AL182" s="2" t="e">
        <f t="shared" si="101"/>
        <v>#NUM!</v>
      </c>
      <c r="AY182">
        <v>2.8515696384297637</v>
      </c>
      <c r="BR182">
        <v>69.721272202535971</v>
      </c>
    </row>
    <row r="183" spans="1:70" x14ac:dyDescent="0.25">
      <c r="A183">
        <v>177</v>
      </c>
      <c r="B183" t="e">
        <f t="shared" si="83"/>
        <v>#NUM!</v>
      </c>
      <c r="C183" t="e">
        <f t="shared" si="84"/>
        <v>#NUM!</v>
      </c>
      <c r="D183" t="e">
        <f t="shared" si="85"/>
        <v>#NUM!</v>
      </c>
      <c r="E183" t="e">
        <f t="shared" si="86"/>
        <v>#NUM!</v>
      </c>
      <c r="F183" t="e">
        <f t="shared" si="87"/>
        <v>#NUM!</v>
      </c>
      <c r="G183" t="e">
        <f t="shared" si="88"/>
        <v>#NUM!</v>
      </c>
      <c r="H183" t="e">
        <f t="shared" si="89"/>
        <v>#NUM!</v>
      </c>
      <c r="J183" t="e">
        <f t="shared" si="90"/>
        <v>#NUM!</v>
      </c>
      <c r="K183" t="e">
        <f t="shared" si="91"/>
        <v>#NUM!</v>
      </c>
      <c r="L183" t="e">
        <f t="shared" si="92"/>
        <v>#NUM!</v>
      </c>
      <c r="M183" t="e">
        <f t="shared" si="93"/>
        <v>#NUM!</v>
      </c>
      <c r="N183" t="e">
        <f t="shared" si="94"/>
        <v>#NUM!</v>
      </c>
      <c r="O183" t="e">
        <f t="shared" si="95"/>
        <v>#NUM!</v>
      </c>
      <c r="P183" t="e">
        <f t="shared" si="96"/>
        <v>#NUM!</v>
      </c>
      <c r="Q183" t="e">
        <f t="shared" si="97"/>
        <v>#NUM!</v>
      </c>
      <c r="R183" t="e">
        <f t="shared" si="98"/>
        <v>#NUM!</v>
      </c>
      <c r="S183" t="e">
        <f t="shared" si="99"/>
        <v>#NUM!</v>
      </c>
      <c r="W183" t="e">
        <f t="shared" si="76"/>
        <v>#NUM!</v>
      </c>
      <c r="X183">
        <f t="shared" si="77"/>
        <v>61.570799515387513</v>
      </c>
      <c r="Y183">
        <f t="shared" si="78"/>
        <v>12</v>
      </c>
      <c r="Z183">
        <f t="shared" si="79"/>
        <v>-1.5707963267948966</v>
      </c>
      <c r="AA183" t="e">
        <f t="shared" si="80"/>
        <v>#NUM!</v>
      </c>
      <c r="AB183" t="e">
        <f t="shared" si="81"/>
        <v>#NUM!</v>
      </c>
      <c r="AC183" t="e">
        <f t="shared" si="82"/>
        <v>#NUM!</v>
      </c>
      <c r="AE183">
        <v>3.2153875902064446E-6</v>
      </c>
      <c r="AF183">
        <v>-59.999999999999922</v>
      </c>
      <c r="AH183" s="1">
        <v>177</v>
      </c>
      <c r="AI183" s="1">
        <f t="shared" si="100"/>
        <v>0</v>
      </c>
      <c r="AJ183" s="1">
        <f t="shared" si="100"/>
        <v>0</v>
      </c>
      <c r="AK183" s="2" t="e">
        <f t="shared" si="101"/>
        <v>#NUM!</v>
      </c>
      <c r="AL183" s="2" t="e">
        <f t="shared" si="101"/>
        <v>#NUM!</v>
      </c>
      <c r="AY183">
        <v>1.9753111994832171</v>
      </c>
      <c r="BR183">
        <v>69.285491385081457</v>
      </c>
    </row>
    <row r="184" spans="1:70" x14ac:dyDescent="0.25">
      <c r="A184">
        <v>178</v>
      </c>
      <c r="B184" t="e">
        <f t="shared" si="83"/>
        <v>#NUM!</v>
      </c>
      <c r="C184" t="e">
        <f t="shared" si="84"/>
        <v>#NUM!</v>
      </c>
      <c r="D184" t="e">
        <f t="shared" si="85"/>
        <v>#NUM!</v>
      </c>
      <c r="E184" t="e">
        <f t="shared" si="86"/>
        <v>#NUM!</v>
      </c>
      <c r="F184" t="e">
        <f t="shared" si="87"/>
        <v>#NUM!</v>
      </c>
      <c r="G184" t="e">
        <f t="shared" si="88"/>
        <v>#NUM!</v>
      </c>
      <c r="H184" t="e">
        <f t="shared" si="89"/>
        <v>#NUM!</v>
      </c>
      <c r="J184" t="e">
        <f t="shared" si="90"/>
        <v>#NUM!</v>
      </c>
      <c r="K184" t="e">
        <f t="shared" si="91"/>
        <v>#NUM!</v>
      </c>
      <c r="L184" t="e">
        <f t="shared" si="92"/>
        <v>#NUM!</v>
      </c>
      <c r="M184" t="e">
        <f t="shared" si="93"/>
        <v>#NUM!</v>
      </c>
      <c r="N184" t="e">
        <f t="shared" si="94"/>
        <v>#NUM!</v>
      </c>
      <c r="O184" t="e">
        <f t="shared" si="95"/>
        <v>#NUM!</v>
      </c>
      <c r="P184" t="e">
        <f t="shared" si="96"/>
        <v>#NUM!</v>
      </c>
      <c r="Q184" t="e">
        <f t="shared" si="97"/>
        <v>#NUM!</v>
      </c>
      <c r="R184" t="e">
        <f t="shared" si="98"/>
        <v>#NUM!</v>
      </c>
      <c r="S184" t="e">
        <f t="shared" si="99"/>
        <v>#NUM!</v>
      </c>
      <c r="W184" t="e">
        <f t="shared" si="76"/>
        <v>#NUM!</v>
      </c>
      <c r="X184">
        <f t="shared" si="77"/>
        <v>61.570799515387513</v>
      </c>
      <c r="Y184">
        <f t="shared" si="78"/>
        <v>12</v>
      </c>
      <c r="Z184">
        <f t="shared" si="79"/>
        <v>-1.5707963267948966</v>
      </c>
      <c r="AA184" t="e">
        <f t="shared" si="80"/>
        <v>#NUM!</v>
      </c>
      <c r="AB184" t="e">
        <f t="shared" si="81"/>
        <v>#NUM!</v>
      </c>
      <c r="AC184" t="e">
        <f t="shared" si="82"/>
        <v>#NUM!</v>
      </c>
      <c r="AE184">
        <v>3.2153875902064446E-6</v>
      </c>
      <c r="AF184">
        <v>-59.999999999999922</v>
      </c>
      <c r="AH184" s="1">
        <v>178</v>
      </c>
      <c r="AI184" s="1">
        <f t="shared" si="100"/>
        <v>0</v>
      </c>
      <c r="AJ184" s="1">
        <f t="shared" si="100"/>
        <v>0</v>
      </c>
      <c r="AK184" s="2" t="e">
        <f t="shared" si="101"/>
        <v>#NUM!</v>
      </c>
      <c r="AL184" s="2" t="e">
        <f t="shared" si="101"/>
        <v>#NUM!</v>
      </c>
      <c r="AY184">
        <v>0.92563316887902047</v>
      </c>
      <c r="BR184">
        <v>68.87265673728605</v>
      </c>
    </row>
    <row r="185" spans="1:70" x14ac:dyDescent="0.25">
      <c r="A185">
        <v>179</v>
      </c>
      <c r="B185" t="e">
        <f t="shared" si="83"/>
        <v>#NUM!</v>
      </c>
      <c r="C185" t="e">
        <f t="shared" si="84"/>
        <v>#NUM!</v>
      </c>
      <c r="D185" t="e">
        <f t="shared" si="85"/>
        <v>#NUM!</v>
      </c>
      <c r="E185" t="e">
        <f t="shared" si="86"/>
        <v>#NUM!</v>
      </c>
      <c r="F185" t="e">
        <f t="shared" si="87"/>
        <v>#NUM!</v>
      </c>
      <c r="G185" t="e">
        <f t="shared" si="88"/>
        <v>#NUM!</v>
      </c>
      <c r="H185" t="e">
        <f t="shared" si="89"/>
        <v>#NUM!</v>
      </c>
      <c r="J185" t="e">
        <f t="shared" si="90"/>
        <v>#NUM!</v>
      </c>
      <c r="K185" t="e">
        <f t="shared" si="91"/>
        <v>#NUM!</v>
      </c>
      <c r="L185" t="e">
        <f t="shared" si="92"/>
        <v>#NUM!</v>
      </c>
      <c r="M185" t="e">
        <f t="shared" si="93"/>
        <v>#NUM!</v>
      </c>
      <c r="N185" t="e">
        <f t="shared" si="94"/>
        <v>#NUM!</v>
      </c>
      <c r="O185" t="e">
        <f t="shared" si="95"/>
        <v>#NUM!</v>
      </c>
      <c r="P185" t="e">
        <f t="shared" si="96"/>
        <v>#NUM!</v>
      </c>
      <c r="Q185" t="e">
        <f t="shared" si="97"/>
        <v>#NUM!</v>
      </c>
      <c r="R185" t="e">
        <f t="shared" si="98"/>
        <v>#NUM!</v>
      </c>
      <c r="S185" t="e">
        <f t="shared" si="99"/>
        <v>#NUM!</v>
      </c>
      <c r="W185" t="e">
        <f t="shared" si="76"/>
        <v>#NUM!</v>
      </c>
      <c r="X185">
        <f t="shared" si="77"/>
        <v>61.570799515387513</v>
      </c>
      <c r="Y185">
        <f t="shared" si="78"/>
        <v>12</v>
      </c>
      <c r="Z185">
        <f t="shared" si="79"/>
        <v>-1.5707963267948966</v>
      </c>
      <c r="AA185" t="e">
        <f t="shared" si="80"/>
        <v>#NUM!</v>
      </c>
      <c r="AB185" t="e">
        <f t="shared" si="81"/>
        <v>#NUM!</v>
      </c>
      <c r="AC185" t="e">
        <f t="shared" si="82"/>
        <v>#NUM!</v>
      </c>
      <c r="AE185">
        <v>3.2153875902064446E-6</v>
      </c>
      <c r="AF185">
        <v>-59.999999999999922</v>
      </c>
      <c r="AH185" s="1">
        <v>179</v>
      </c>
      <c r="AI185" s="1">
        <f t="shared" si="100"/>
        <v>0</v>
      </c>
      <c r="AJ185" s="1">
        <f t="shared" si="100"/>
        <v>0</v>
      </c>
      <c r="AK185" s="2" t="e">
        <f t="shared" si="101"/>
        <v>#NUM!</v>
      </c>
      <c r="AL185" s="2" t="e">
        <f t="shared" si="101"/>
        <v>#NUM!</v>
      </c>
      <c r="AY185">
        <v>-0.21601377837397351</v>
      </c>
      <c r="BR185">
        <v>68.461625707172175</v>
      </c>
    </row>
    <row r="186" spans="1:70" x14ac:dyDescent="0.25">
      <c r="A186">
        <v>180</v>
      </c>
      <c r="B186" t="e">
        <f t="shared" si="83"/>
        <v>#NUM!</v>
      </c>
      <c r="C186" t="e">
        <f t="shared" si="84"/>
        <v>#NUM!</v>
      </c>
      <c r="D186" t="e">
        <f t="shared" si="85"/>
        <v>#NUM!</v>
      </c>
      <c r="E186" t="e">
        <f t="shared" si="86"/>
        <v>#NUM!</v>
      </c>
      <c r="F186" t="e">
        <f t="shared" si="87"/>
        <v>#NUM!</v>
      </c>
      <c r="G186" t="e">
        <f t="shared" si="88"/>
        <v>#NUM!</v>
      </c>
      <c r="H186" t="e">
        <f t="shared" si="89"/>
        <v>#NUM!</v>
      </c>
      <c r="J186" t="e">
        <f t="shared" si="90"/>
        <v>#NUM!</v>
      </c>
      <c r="K186" t="e">
        <f t="shared" si="91"/>
        <v>#NUM!</v>
      </c>
      <c r="L186" t="e">
        <f t="shared" si="92"/>
        <v>#NUM!</v>
      </c>
      <c r="M186" t="e">
        <f t="shared" si="93"/>
        <v>#NUM!</v>
      </c>
      <c r="N186" t="e">
        <f t="shared" si="94"/>
        <v>#NUM!</v>
      </c>
      <c r="O186" t="e">
        <f t="shared" si="95"/>
        <v>#NUM!</v>
      </c>
      <c r="P186" t="e">
        <f t="shared" si="96"/>
        <v>#NUM!</v>
      </c>
      <c r="Q186" t="e">
        <f t="shared" si="97"/>
        <v>#NUM!</v>
      </c>
      <c r="R186" t="e">
        <f t="shared" si="98"/>
        <v>#NUM!</v>
      </c>
      <c r="S186" t="e">
        <f t="shared" si="99"/>
        <v>#NUM!</v>
      </c>
      <c r="W186" t="e">
        <f t="shared" si="76"/>
        <v>#NUM!</v>
      </c>
      <c r="X186">
        <f t="shared" si="77"/>
        <v>61.570799515387513</v>
      </c>
      <c r="Y186">
        <f t="shared" si="78"/>
        <v>12</v>
      </c>
      <c r="Z186">
        <f t="shared" si="79"/>
        <v>-1.5707963267948966</v>
      </c>
      <c r="AA186" t="e">
        <f t="shared" si="80"/>
        <v>#NUM!</v>
      </c>
      <c r="AB186" t="e">
        <f t="shared" si="81"/>
        <v>#NUM!</v>
      </c>
      <c r="AC186" t="e">
        <f t="shared" si="82"/>
        <v>#NUM!</v>
      </c>
      <c r="AE186">
        <v>3.2153875902064446E-6</v>
      </c>
      <c r="AF186">
        <v>-59.999999999999922</v>
      </c>
      <c r="AH186" s="1">
        <v>180</v>
      </c>
      <c r="AI186" s="1">
        <f t="shared" si="100"/>
        <v>0</v>
      </c>
      <c r="AJ186" s="1">
        <f t="shared" si="100"/>
        <v>0</v>
      </c>
      <c r="AK186" s="2" t="e">
        <f t="shared" si="101"/>
        <v>#NUM!</v>
      </c>
      <c r="AL186" s="2" t="e">
        <f t="shared" si="101"/>
        <v>#NUM!</v>
      </c>
      <c r="AY186">
        <v>-1.4157664759720063</v>
      </c>
      <c r="BR186">
        <v>68.042930034924922</v>
      </c>
    </row>
    <row r="187" spans="1:70" x14ac:dyDescent="0.25">
      <c r="A187">
        <v>181</v>
      </c>
      <c r="B187" t="e">
        <f t="shared" si="83"/>
        <v>#NUM!</v>
      </c>
      <c r="C187" t="e">
        <f t="shared" si="84"/>
        <v>#NUM!</v>
      </c>
      <c r="D187" t="e">
        <f t="shared" si="85"/>
        <v>#NUM!</v>
      </c>
      <c r="E187" t="e">
        <f t="shared" si="86"/>
        <v>#NUM!</v>
      </c>
      <c r="F187" t="e">
        <f t="shared" si="87"/>
        <v>#NUM!</v>
      </c>
      <c r="G187" t="e">
        <f t="shared" si="88"/>
        <v>#NUM!</v>
      </c>
      <c r="H187" t="e">
        <f t="shared" si="89"/>
        <v>#NUM!</v>
      </c>
      <c r="J187" t="e">
        <f t="shared" si="90"/>
        <v>#NUM!</v>
      </c>
      <c r="K187" t="e">
        <f t="shared" si="91"/>
        <v>#NUM!</v>
      </c>
      <c r="L187" t="e">
        <f t="shared" si="92"/>
        <v>#NUM!</v>
      </c>
      <c r="M187" t="e">
        <f t="shared" si="93"/>
        <v>#NUM!</v>
      </c>
      <c r="N187" t="e">
        <f t="shared" si="94"/>
        <v>#NUM!</v>
      </c>
      <c r="O187" t="e">
        <f t="shared" si="95"/>
        <v>#NUM!</v>
      </c>
      <c r="P187" t="e">
        <f t="shared" si="96"/>
        <v>#NUM!</v>
      </c>
      <c r="Q187" t="e">
        <f t="shared" si="97"/>
        <v>#NUM!</v>
      </c>
      <c r="R187" t="e">
        <f t="shared" si="98"/>
        <v>#NUM!</v>
      </c>
      <c r="S187" t="e">
        <f t="shared" si="99"/>
        <v>#NUM!</v>
      </c>
      <c r="W187" t="e">
        <f t="shared" si="76"/>
        <v>#NUM!</v>
      </c>
      <c r="X187">
        <f t="shared" si="77"/>
        <v>61.570799515387513</v>
      </c>
      <c r="Y187">
        <f t="shared" si="78"/>
        <v>12</v>
      </c>
      <c r="Z187">
        <f t="shared" si="79"/>
        <v>-1.5707963267948966</v>
      </c>
      <c r="AA187" t="e">
        <f t="shared" si="80"/>
        <v>#NUM!</v>
      </c>
      <c r="AB187" t="e">
        <f t="shared" si="81"/>
        <v>#NUM!</v>
      </c>
      <c r="AC187" t="e">
        <f t="shared" si="82"/>
        <v>#NUM!</v>
      </c>
      <c r="AE187">
        <v>3.2153875902064446E-6</v>
      </c>
      <c r="AF187">
        <v>-59.999999999999922</v>
      </c>
      <c r="AH187" s="1">
        <v>181</v>
      </c>
      <c r="AI187" s="1">
        <f t="shared" si="100"/>
        <v>0</v>
      </c>
      <c r="AJ187" s="1">
        <f t="shared" si="100"/>
        <v>0</v>
      </c>
      <c r="AK187" s="2" t="e">
        <f t="shared" si="101"/>
        <v>#NUM!</v>
      </c>
      <c r="AL187" s="2" t="e">
        <f t="shared" si="101"/>
        <v>#NUM!</v>
      </c>
      <c r="AY187">
        <v>-2.6556123420946562</v>
      </c>
      <c r="BR187">
        <v>67.611233337744039</v>
      </c>
    </row>
    <row r="188" spans="1:70" x14ac:dyDescent="0.25">
      <c r="A188">
        <v>182</v>
      </c>
      <c r="B188" t="e">
        <f t="shared" si="83"/>
        <v>#NUM!</v>
      </c>
      <c r="C188" t="e">
        <f t="shared" si="84"/>
        <v>#NUM!</v>
      </c>
      <c r="D188" t="e">
        <f t="shared" si="85"/>
        <v>#NUM!</v>
      </c>
      <c r="E188" t="e">
        <f t="shared" si="86"/>
        <v>#NUM!</v>
      </c>
      <c r="F188" t="e">
        <f t="shared" si="87"/>
        <v>#NUM!</v>
      </c>
      <c r="G188" t="e">
        <f t="shared" si="88"/>
        <v>#NUM!</v>
      </c>
      <c r="H188" t="e">
        <f t="shared" si="89"/>
        <v>#NUM!</v>
      </c>
      <c r="J188" t="e">
        <f t="shared" si="90"/>
        <v>#NUM!</v>
      </c>
      <c r="K188" t="e">
        <f t="shared" si="91"/>
        <v>#NUM!</v>
      </c>
      <c r="L188" t="e">
        <f t="shared" si="92"/>
        <v>#NUM!</v>
      </c>
      <c r="M188" t="e">
        <f t="shared" si="93"/>
        <v>#NUM!</v>
      </c>
      <c r="N188" t="e">
        <f t="shared" si="94"/>
        <v>#NUM!</v>
      </c>
      <c r="O188" t="e">
        <f t="shared" si="95"/>
        <v>#NUM!</v>
      </c>
      <c r="P188" t="e">
        <f t="shared" si="96"/>
        <v>#NUM!</v>
      </c>
      <c r="Q188" t="e">
        <f t="shared" si="97"/>
        <v>#NUM!</v>
      </c>
      <c r="R188" t="e">
        <f t="shared" si="98"/>
        <v>#NUM!</v>
      </c>
      <c r="S188" t="e">
        <f t="shared" si="99"/>
        <v>#NUM!</v>
      </c>
      <c r="W188" t="e">
        <f t="shared" si="76"/>
        <v>#NUM!</v>
      </c>
      <c r="X188">
        <f t="shared" si="77"/>
        <v>61.570799515387513</v>
      </c>
      <c r="Y188">
        <f t="shared" si="78"/>
        <v>12</v>
      </c>
      <c r="Z188">
        <f t="shared" si="79"/>
        <v>-1.5707963267948966</v>
      </c>
      <c r="AA188" t="e">
        <f t="shared" si="80"/>
        <v>#NUM!</v>
      </c>
      <c r="AB188" t="e">
        <f t="shared" si="81"/>
        <v>#NUM!</v>
      </c>
      <c r="AC188" t="e">
        <f t="shared" si="82"/>
        <v>#NUM!</v>
      </c>
      <c r="AE188">
        <v>3.2153875902064446E-6</v>
      </c>
      <c r="AF188">
        <v>-59.999999999999922</v>
      </c>
      <c r="AH188" s="1">
        <v>182</v>
      </c>
      <c r="AI188" s="1">
        <f t="shared" si="100"/>
        <v>0</v>
      </c>
      <c r="AJ188" s="1">
        <f t="shared" si="100"/>
        <v>0</v>
      </c>
      <c r="AK188" s="2" t="e">
        <f t="shared" si="101"/>
        <v>#NUM!</v>
      </c>
      <c r="AL188" s="2" t="e">
        <f t="shared" si="101"/>
        <v>#NUM!</v>
      </c>
      <c r="AY188">
        <v>-3.9245681685754725</v>
      </c>
      <c r="BR188">
        <v>67.163130298176839</v>
      </c>
    </row>
    <row r="189" spans="1:70" x14ac:dyDescent="0.25">
      <c r="A189">
        <v>183</v>
      </c>
      <c r="B189" t="e">
        <f t="shared" si="83"/>
        <v>#NUM!</v>
      </c>
      <c r="C189" t="e">
        <f t="shared" si="84"/>
        <v>#NUM!</v>
      </c>
      <c r="D189" t="e">
        <f t="shared" si="85"/>
        <v>#NUM!</v>
      </c>
      <c r="E189" t="e">
        <f t="shared" si="86"/>
        <v>#NUM!</v>
      </c>
      <c r="F189" t="e">
        <f t="shared" si="87"/>
        <v>#NUM!</v>
      </c>
      <c r="G189" t="e">
        <f t="shared" si="88"/>
        <v>#NUM!</v>
      </c>
      <c r="H189" t="e">
        <f t="shared" si="89"/>
        <v>#NUM!</v>
      </c>
      <c r="J189" t="e">
        <f t="shared" si="90"/>
        <v>#NUM!</v>
      </c>
      <c r="K189" t="e">
        <f t="shared" si="91"/>
        <v>#NUM!</v>
      </c>
      <c r="L189" t="e">
        <f t="shared" si="92"/>
        <v>#NUM!</v>
      </c>
      <c r="M189" t="e">
        <f t="shared" si="93"/>
        <v>#NUM!</v>
      </c>
      <c r="N189" t="e">
        <f t="shared" si="94"/>
        <v>#NUM!</v>
      </c>
      <c r="O189" t="e">
        <f t="shared" si="95"/>
        <v>#NUM!</v>
      </c>
      <c r="P189" t="e">
        <f t="shared" si="96"/>
        <v>#NUM!</v>
      </c>
      <c r="Q189" t="e">
        <f t="shared" si="97"/>
        <v>#NUM!</v>
      </c>
      <c r="R189" t="e">
        <f t="shared" si="98"/>
        <v>#NUM!</v>
      </c>
      <c r="S189" t="e">
        <f t="shared" si="99"/>
        <v>#NUM!</v>
      </c>
      <c r="W189" t="e">
        <f t="shared" si="76"/>
        <v>#NUM!</v>
      </c>
      <c r="X189">
        <f t="shared" si="77"/>
        <v>61.570799515387513</v>
      </c>
      <c r="Y189">
        <f t="shared" si="78"/>
        <v>12</v>
      </c>
      <c r="Z189">
        <f t="shared" si="79"/>
        <v>-1.5707963267948966</v>
      </c>
      <c r="AA189" t="e">
        <f t="shared" si="80"/>
        <v>#NUM!</v>
      </c>
      <c r="AB189" t="e">
        <f t="shared" si="81"/>
        <v>#NUM!</v>
      </c>
      <c r="AC189" t="e">
        <f t="shared" si="82"/>
        <v>#NUM!</v>
      </c>
      <c r="AE189">
        <v>3.2153875902064446E-6</v>
      </c>
      <c r="AF189">
        <v>-59.999999999999922</v>
      </c>
      <c r="AH189" s="1">
        <v>183</v>
      </c>
      <c r="AI189" s="1">
        <f t="shared" si="100"/>
        <v>0</v>
      </c>
      <c r="AJ189" s="1">
        <f t="shared" si="100"/>
        <v>0</v>
      </c>
      <c r="AK189" s="2" t="e">
        <f t="shared" si="101"/>
        <v>#NUM!</v>
      </c>
      <c r="AL189" s="2" t="e">
        <f t="shared" si="101"/>
        <v>#NUM!</v>
      </c>
      <c r="AY189">
        <v>-5.2153144569239593</v>
      </c>
      <c r="BR189">
        <v>66.696269029256513</v>
      </c>
    </row>
    <row r="190" spans="1:70" x14ac:dyDescent="0.25">
      <c r="A190">
        <v>184</v>
      </c>
      <c r="B190" t="e">
        <f t="shared" si="83"/>
        <v>#NUM!</v>
      </c>
      <c r="C190" t="e">
        <f t="shared" si="84"/>
        <v>#NUM!</v>
      </c>
      <c r="D190" t="e">
        <f t="shared" si="85"/>
        <v>#NUM!</v>
      </c>
      <c r="E190" t="e">
        <f t="shared" si="86"/>
        <v>#NUM!</v>
      </c>
      <c r="F190" t="e">
        <f t="shared" si="87"/>
        <v>#NUM!</v>
      </c>
      <c r="G190" t="e">
        <f t="shared" si="88"/>
        <v>#NUM!</v>
      </c>
      <c r="H190" t="e">
        <f t="shared" si="89"/>
        <v>#NUM!</v>
      </c>
      <c r="J190" t="e">
        <f t="shared" si="90"/>
        <v>#NUM!</v>
      </c>
      <c r="K190" t="e">
        <f t="shared" si="91"/>
        <v>#NUM!</v>
      </c>
      <c r="L190" t="e">
        <f t="shared" si="92"/>
        <v>#NUM!</v>
      </c>
      <c r="M190" t="e">
        <f t="shared" si="93"/>
        <v>#NUM!</v>
      </c>
      <c r="N190" t="e">
        <f t="shared" si="94"/>
        <v>#NUM!</v>
      </c>
      <c r="O190" t="e">
        <f t="shared" si="95"/>
        <v>#NUM!</v>
      </c>
      <c r="P190" t="e">
        <f t="shared" si="96"/>
        <v>#NUM!</v>
      </c>
      <c r="Q190" t="e">
        <f t="shared" si="97"/>
        <v>#NUM!</v>
      </c>
      <c r="R190" t="e">
        <f t="shared" si="98"/>
        <v>#NUM!</v>
      </c>
      <c r="S190" t="e">
        <f t="shared" si="99"/>
        <v>#NUM!</v>
      </c>
      <c r="W190" t="e">
        <f t="shared" si="76"/>
        <v>#NUM!</v>
      </c>
      <c r="X190">
        <f t="shared" si="77"/>
        <v>61.570799515387513</v>
      </c>
      <c r="Y190">
        <f t="shared" si="78"/>
        <v>12</v>
      </c>
      <c r="Z190">
        <f t="shared" si="79"/>
        <v>-1.5707963267948966</v>
      </c>
      <c r="AA190" t="e">
        <f t="shared" si="80"/>
        <v>#NUM!</v>
      </c>
      <c r="AB190" t="e">
        <f t="shared" si="81"/>
        <v>#NUM!</v>
      </c>
      <c r="AC190" t="e">
        <f t="shared" si="82"/>
        <v>#NUM!</v>
      </c>
      <c r="AE190">
        <v>3.2153875902064446E-6</v>
      </c>
      <c r="AF190">
        <v>-59.999999999999922</v>
      </c>
      <c r="AH190" s="1">
        <v>184</v>
      </c>
      <c r="AI190" s="1">
        <f t="shared" si="100"/>
        <v>0</v>
      </c>
      <c r="AJ190" s="1">
        <f t="shared" si="100"/>
        <v>0</v>
      </c>
      <c r="AK190" s="2" t="e">
        <f t="shared" si="101"/>
        <v>#NUM!</v>
      </c>
      <c r="AL190" s="2" t="e">
        <f t="shared" si="101"/>
        <v>#NUM!</v>
      </c>
      <c r="AY190">
        <v>-6.5226550874579061</v>
      </c>
      <c r="BR190">
        <v>66.208932082628195</v>
      </c>
    </row>
    <row r="191" spans="1:70" x14ac:dyDescent="0.25">
      <c r="A191">
        <v>185</v>
      </c>
      <c r="B191" t="e">
        <f t="shared" si="83"/>
        <v>#NUM!</v>
      </c>
      <c r="C191" t="e">
        <f t="shared" si="84"/>
        <v>#NUM!</v>
      </c>
      <c r="D191" t="e">
        <f t="shared" si="85"/>
        <v>#NUM!</v>
      </c>
      <c r="E191" t="e">
        <f t="shared" si="86"/>
        <v>#NUM!</v>
      </c>
      <c r="F191" t="e">
        <f t="shared" si="87"/>
        <v>#NUM!</v>
      </c>
      <c r="G191" t="e">
        <f t="shared" si="88"/>
        <v>#NUM!</v>
      </c>
      <c r="H191" t="e">
        <f t="shared" si="89"/>
        <v>#NUM!</v>
      </c>
      <c r="J191" t="e">
        <f t="shared" si="90"/>
        <v>#NUM!</v>
      </c>
      <c r="K191" t="e">
        <f t="shared" si="91"/>
        <v>#NUM!</v>
      </c>
      <c r="L191" t="e">
        <f t="shared" si="92"/>
        <v>#NUM!</v>
      </c>
      <c r="M191" t="e">
        <f t="shared" si="93"/>
        <v>#NUM!</v>
      </c>
      <c r="N191" t="e">
        <f t="shared" si="94"/>
        <v>#NUM!</v>
      </c>
      <c r="O191" t="e">
        <f t="shared" si="95"/>
        <v>#NUM!</v>
      </c>
      <c r="P191" t="e">
        <f t="shared" si="96"/>
        <v>#NUM!</v>
      </c>
      <c r="Q191" t="e">
        <f t="shared" si="97"/>
        <v>#NUM!</v>
      </c>
      <c r="R191" t="e">
        <f t="shared" si="98"/>
        <v>#NUM!</v>
      </c>
      <c r="S191" t="e">
        <f t="shared" si="99"/>
        <v>#NUM!</v>
      </c>
      <c r="W191" t="e">
        <f t="shared" si="76"/>
        <v>#NUM!</v>
      </c>
      <c r="X191">
        <f t="shared" si="77"/>
        <v>61.570799515387513</v>
      </c>
      <c r="Y191">
        <f t="shared" si="78"/>
        <v>12</v>
      </c>
      <c r="Z191">
        <f t="shared" si="79"/>
        <v>-1.5707963267948966</v>
      </c>
      <c r="AA191" t="e">
        <f t="shared" si="80"/>
        <v>#NUM!</v>
      </c>
      <c r="AB191" t="e">
        <f t="shared" si="81"/>
        <v>#NUM!</v>
      </c>
      <c r="AC191" t="e">
        <f t="shared" si="82"/>
        <v>#NUM!</v>
      </c>
      <c r="AE191">
        <v>3.2153875902064446E-6</v>
      </c>
      <c r="AF191">
        <v>-59.999999999999922</v>
      </c>
      <c r="AH191" s="1">
        <v>185</v>
      </c>
      <c r="AI191" s="1">
        <f t="shared" si="100"/>
        <v>0</v>
      </c>
      <c r="AJ191" s="1">
        <f t="shared" si="100"/>
        <v>0</v>
      </c>
      <c r="AK191" s="2" t="e">
        <f t="shared" si="101"/>
        <v>#NUM!</v>
      </c>
      <c r="AL191" s="2" t="e">
        <f t="shared" si="101"/>
        <v>#NUM!</v>
      </c>
      <c r="AY191">
        <v>-7.8427215966531474</v>
      </c>
      <c r="BR191">
        <v>65.699810797122581</v>
      </c>
    </row>
    <row r="192" spans="1:70" x14ac:dyDescent="0.25">
      <c r="A192">
        <v>186</v>
      </c>
      <c r="B192" t="e">
        <f t="shared" si="83"/>
        <v>#NUM!</v>
      </c>
      <c r="C192" t="e">
        <f t="shared" si="84"/>
        <v>#NUM!</v>
      </c>
      <c r="D192" t="e">
        <f t="shared" si="85"/>
        <v>#NUM!</v>
      </c>
      <c r="E192" t="e">
        <f t="shared" si="86"/>
        <v>#NUM!</v>
      </c>
      <c r="F192" t="e">
        <f t="shared" si="87"/>
        <v>#NUM!</v>
      </c>
      <c r="G192" t="e">
        <f t="shared" si="88"/>
        <v>#NUM!</v>
      </c>
      <c r="H192" t="e">
        <f t="shared" si="89"/>
        <v>#NUM!</v>
      </c>
      <c r="J192" t="e">
        <f t="shared" si="90"/>
        <v>#NUM!</v>
      </c>
      <c r="K192" t="e">
        <f t="shared" si="91"/>
        <v>#NUM!</v>
      </c>
      <c r="L192" t="e">
        <f t="shared" si="92"/>
        <v>#NUM!</v>
      </c>
      <c r="M192" t="e">
        <f t="shared" si="93"/>
        <v>#NUM!</v>
      </c>
      <c r="N192" t="e">
        <f t="shared" si="94"/>
        <v>#NUM!</v>
      </c>
      <c r="O192" t="e">
        <f t="shared" si="95"/>
        <v>#NUM!</v>
      </c>
      <c r="P192" t="e">
        <f t="shared" si="96"/>
        <v>#NUM!</v>
      </c>
      <c r="Q192" t="e">
        <f t="shared" si="97"/>
        <v>#NUM!</v>
      </c>
      <c r="R192" t="e">
        <f t="shared" si="98"/>
        <v>#NUM!</v>
      </c>
      <c r="S192" t="e">
        <f t="shared" si="99"/>
        <v>#NUM!</v>
      </c>
      <c r="W192" t="e">
        <f t="shared" si="76"/>
        <v>#NUM!</v>
      </c>
      <c r="X192">
        <f t="shared" si="77"/>
        <v>61.570799515387513</v>
      </c>
      <c r="Y192">
        <f t="shared" si="78"/>
        <v>12</v>
      </c>
      <c r="Z192">
        <f t="shared" si="79"/>
        <v>-1.5707963267948966</v>
      </c>
      <c r="AA192" t="e">
        <f t="shared" si="80"/>
        <v>#NUM!</v>
      </c>
      <c r="AB192" t="e">
        <f t="shared" si="81"/>
        <v>#NUM!</v>
      </c>
      <c r="AC192" t="e">
        <f t="shared" si="82"/>
        <v>#NUM!</v>
      </c>
      <c r="AE192">
        <v>3.2153875902064446E-6</v>
      </c>
      <c r="AF192">
        <v>-59.999999999999922</v>
      </c>
      <c r="AH192" s="1">
        <v>186</v>
      </c>
      <c r="AI192" s="1">
        <f t="shared" si="100"/>
        <v>0</v>
      </c>
      <c r="AJ192" s="1">
        <f t="shared" si="100"/>
        <v>0</v>
      </c>
      <c r="AK192" s="2" t="e">
        <f t="shared" si="101"/>
        <v>#NUM!</v>
      </c>
      <c r="AL192" s="2" t="e">
        <f t="shared" si="101"/>
        <v>#NUM!</v>
      </c>
      <c r="AY192">
        <v>-9.1725245020797033</v>
      </c>
      <c r="BR192">
        <v>65.167872601894018</v>
      </c>
    </row>
    <row r="193" spans="1:70" x14ac:dyDescent="0.25">
      <c r="A193">
        <v>187</v>
      </c>
      <c r="B193" t="e">
        <f t="shared" si="83"/>
        <v>#NUM!</v>
      </c>
      <c r="C193" t="e">
        <f t="shared" si="84"/>
        <v>#NUM!</v>
      </c>
      <c r="D193" t="e">
        <f t="shared" si="85"/>
        <v>#NUM!</v>
      </c>
      <c r="E193" t="e">
        <f t="shared" si="86"/>
        <v>#NUM!</v>
      </c>
      <c r="F193" t="e">
        <f t="shared" si="87"/>
        <v>#NUM!</v>
      </c>
      <c r="G193" t="e">
        <f t="shared" si="88"/>
        <v>#NUM!</v>
      </c>
      <c r="H193" t="e">
        <f t="shared" si="89"/>
        <v>#NUM!</v>
      </c>
      <c r="J193" t="e">
        <f t="shared" si="90"/>
        <v>#NUM!</v>
      </c>
      <c r="K193" t="e">
        <f t="shared" si="91"/>
        <v>#NUM!</v>
      </c>
      <c r="L193" t="e">
        <f t="shared" si="92"/>
        <v>#NUM!</v>
      </c>
      <c r="M193" t="e">
        <f t="shared" si="93"/>
        <v>#NUM!</v>
      </c>
      <c r="N193" t="e">
        <f t="shared" si="94"/>
        <v>#NUM!</v>
      </c>
      <c r="O193" t="e">
        <f t="shared" si="95"/>
        <v>#NUM!</v>
      </c>
      <c r="P193" t="e">
        <f t="shared" si="96"/>
        <v>#NUM!</v>
      </c>
      <c r="Q193" t="e">
        <f t="shared" si="97"/>
        <v>#NUM!</v>
      </c>
      <c r="R193" t="e">
        <f t="shared" si="98"/>
        <v>#NUM!</v>
      </c>
      <c r="S193" t="e">
        <f t="shared" si="99"/>
        <v>#NUM!</v>
      </c>
      <c r="W193" t="e">
        <f t="shared" si="76"/>
        <v>#NUM!</v>
      </c>
      <c r="X193">
        <f t="shared" si="77"/>
        <v>61.570799515387513</v>
      </c>
      <c r="Y193">
        <f t="shared" si="78"/>
        <v>12</v>
      </c>
      <c r="Z193">
        <f t="shared" si="79"/>
        <v>-1.5707963267948966</v>
      </c>
      <c r="AA193" t="e">
        <f t="shared" si="80"/>
        <v>#NUM!</v>
      </c>
      <c r="AB193" t="e">
        <f t="shared" si="81"/>
        <v>#NUM!</v>
      </c>
      <c r="AC193" t="e">
        <f t="shared" si="82"/>
        <v>#NUM!</v>
      </c>
      <c r="AE193">
        <v>3.2153875902064446E-6</v>
      </c>
      <c r="AF193">
        <v>-59.999999999999922</v>
      </c>
      <c r="AH193" s="1">
        <v>187</v>
      </c>
      <c r="AI193" s="1">
        <f t="shared" si="100"/>
        <v>0</v>
      </c>
      <c r="AJ193" s="1">
        <f t="shared" si="100"/>
        <v>0</v>
      </c>
      <c r="AK193" s="2" t="e">
        <f t="shared" si="101"/>
        <v>#NUM!</v>
      </c>
      <c r="AL193" s="2" t="e">
        <f t="shared" si="101"/>
        <v>#NUM!</v>
      </c>
      <c r="AY193">
        <v>-10.509682805443534</v>
      </c>
      <c r="BR193">
        <v>64.61227748396837</v>
      </c>
    </row>
    <row r="194" spans="1:70" x14ac:dyDescent="0.25">
      <c r="A194">
        <v>188</v>
      </c>
      <c r="B194" t="e">
        <f t="shared" si="83"/>
        <v>#NUM!</v>
      </c>
      <c r="C194" t="e">
        <f t="shared" si="84"/>
        <v>#NUM!</v>
      </c>
      <c r="D194" t="e">
        <f t="shared" si="85"/>
        <v>#NUM!</v>
      </c>
      <c r="E194" t="e">
        <f t="shared" si="86"/>
        <v>#NUM!</v>
      </c>
      <c r="F194" t="e">
        <f t="shared" si="87"/>
        <v>#NUM!</v>
      </c>
      <c r="G194" t="e">
        <f t="shared" si="88"/>
        <v>#NUM!</v>
      </c>
      <c r="H194" t="e">
        <f t="shared" si="89"/>
        <v>#NUM!</v>
      </c>
      <c r="J194" t="e">
        <f t="shared" si="90"/>
        <v>#NUM!</v>
      </c>
      <c r="K194" t="e">
        <f t="shared" si="91"/>
        <v>#NUM!</v>
      </c>
      <c r="L194" t="e">
        <f t="shared" si="92"/>
        <v>#NUM!</v>
      </c>
      <c r="M194" t="e">
        <f t="shared" si="93"/>
        <v>#NUM!</v>
      </c>
      <c r="N194" t="e">
        <f t="shared" si="94"/>
        <v>#NUM!</v>
      </c>
      <c r="O194" t="e">
        <f t="shared" si="95"/>
        <v>#NUM!</v>
      </c>
      <c r="P194" t="e">
        <f t="shared" si="96"/>
        <v>#NUM!</v>
      </c>
      <c r="Q194" t="e">
        <f t="shared" si="97"/>
        <v>#NUM!</v>
      </c>
      <c r="R194" t="e">
        <f t="shared" si="98"/>
        <v>#NUM!</v>
      </c>
      <c r="S194" t="e">
        <f t="shared" si="99"/>
        <v>#NUM!</v>
      </c>
      <c r="W194" t="e">
        <f t="shared" si="76"/>
        <v>#NUM!</v>
      </c>
      <c r="X194">
        <f t="shared" si="77"/>
        <v>61.570799515387513</v>
      </c>
      <c r="Y194">
        <f t="shared" si="78"/>
        <v>12</v>
      </c>
      <c r="Z194">
        <f t="shared" si="79"/>
        <v>-1.5707963267948966</v>
      </c>
      <c r="AA194" t="e">
        <f t="shared" si="80"/>
        <v>#NUM!</v>
      </c>
      <c r="AB194" t="e">
        <f t="shared" si="81"/>
        <v>#NUM!</v>
      </c>
      <c r="AC194" t="e">
        <f t="shared" si="82"/>
        <v>#NUM!</v>
      </c>
      <c r="AE194">
        <v>3.2153875902064446E-6</v>
      </c>
      <c r="AF194">
        <v>-59.999999999999922</v>
      </c>
      <c r="AH194" s="1">
        <v>188</v>
      </c>
      <c r="AI194" s="1">
        <f t="shared" si="100"/>
        <v>0</v>
      </c>
      <c r="AJ194" s="1">
        <f t="shared" si="100"/>
        <v>0</v>
      </c>
      <c r="AK194" s="2" t="e">
        <f t="shared" si="101"/>
        <v>#NUM!</v>
      </c>
      <c r="AL194" s="2" t="e">
        <f t="shared" si="101"/>
        <v>#NUM!</v>
      </c>
      <c r="AY194">
        <v>-11.852251962601201</v>
      </c>
      <c r="BR194">
        <v>64.032322422813053</v>
      </c>
    </row>
    <row r="195" spans="1:70" x14ac:dyDescent="0.25">
      <c r="A195">
        <v>189</v>
      </c>
      <c r="B195" t="e">
        <f t="shared" si="83"/>
        <v>#NUM!</v>
      </c>
      <c r="C195" t="e">
        <f t="shared" si="84"/>
        <v>#NUM!</v>
      </c>
      <c r="D195" t="e">
        <f t="shared" si="85"/>
        <v>#NUM!</v>
      </c>
      <c r="E195" t="e">
        <f t="shared" si="86"/>
        <v>#NUM!</v>
      </c>
      <c r="F195" t="e">
        <f t="shared" si="87"/>
        <v>#NUM!</v>
      </c>
      <c r="G195" t="e">
        <f t="shared" si="88"/>
        <v>#NUM!</v>
      </c>
      <c r="H195" t="e">
        <f t="shared" si="89"/>
        <v>#NUM!</v>
      </c>
      <c r="J195" t="e">
        <f t="shared" si="90"/>
        <v>#NUM!</v>
      </c>
      <c r="K195" t="e">
        <f t="shared" si="91"/>
        <v>#NUM!</v>
      </c>
      <c r="L195" t="e">
        <f t="shared" si="92"/>
        <v>#NUM!</v>
      </c>
      <c r="M195" t="e">
        <f t="shared" si="93"/>
        <v>#NUM!</v>
      </c>
      <c r="N195" t="e">
        <f t="shared" si="94"/>
        <v>#NUM!</v>
      </c>
      <c r="O195" t="e">
        <f t="shared" si="95"/>
        <v>#NUM!</v>
      </c>
      <c r="P195" t="e">
        <f t="shared" si="96"/>
        <v>#NUM!</v>
      </c>
      <c r="Q195" t="e">
        <f t="shared" si="97"/>
        <v>#NUM!</v>
      </c>
      <c r="R195" t="e">
        <f t="shared" si="98"/>
        <v>#NUM!</v>
      </c>
      <c r="S195" t="e">
        <f t="shared" si="99"/>
        <v>#NUM!</v>
      </c>
      <c r="W195" t="e">
        <f t="shared" si="76"/>
        <v>#NUM!</v>
      </c>
      <c r="X195">
        <f t="shared" si="77"/>
        <v>61.570799515387513</v>
      </c>
      <c r="Y195">
        <f t="shared" si="78"/>
        <v>12</v>
      </c>
      <c r="Z195">
        <f t="shared" si="79"/>
        <v>-1.5707963267948966</v>
      </c>
      <c r="AA195" t="e">
        <f t="shared" si="80"/>
        <v>#NUM!</v>
      </c>
      <c r="AB195" t="e">
        <f t="shared" si="81"/>
        <v>#NUM!</v>
      </c>
      <c r="AC195" t="e">
        <f t="shared" si="82"/>
        <v>#NUM!</v>
      </c>
      <c r="AE195">
        <v>3.2153875902064446E-6</v>
      </c>
      <c r="AF195">
        <v>-59.999999999999922</v>
      </c>
      <c r="AH195" s="1">
        <v>189</v>
      </c>
      <c r="AI195" s="1">
        <f t="shared" si="100"/>
        <v>0</v>
      </c>
      <c r="AJ195" s="1">
        <f t="shared" si="100"/>
        <v>0</v>
      </c>
      <c r="AK195" s="2" t="e">
        <f t="shared" si="101"/>
        <v>#NUM!</v>
      </c>
      <c r="AL195" s="2" t="e">
        <f t="shared" si="101"/>
        <v>#NUM!</v>
      </c>
      <c r="AY195">
        <v>-13.198609507350314</v>
      </c>
      <c r="BR195">
        <v>63.427402678935444</v>
      </c>
    </row>
    <row r="196" spans="1:70" x14ac:dyDescent="0.25">
      <c r="A196">
        <v>190</v>
      </c>
      <c r="B196" t="e">
        <f t="shared" si="83"/>
        <v>#NUM!</v>
      </c>
      <c r="C196" t="e">
        <f t="shared" si="84"/>
        <v>#NUM!</v>
      </c>
      <c r="D196" t="e">
        <f t="shared" si="85"/>
        <v>#NUM!</v>
      </c>
      <c r="E196" t="e">
        <f t="shared" si="86"/>
        <v>#NUM!</v>
      </c>
      <c r="F196" t="e">
        <f t="shared" si="87"/>
        <v>#NUM!</v>
      </c>
      <c r="G196" t="e">
        <f t="shared" si="88"/>
        <v>#NUM!</v>
      </c>
      <c r="H196" t="e">
        <f t="shared" si="89"/>
        <v>#NUM!</v>
      </c>
      <c r="J196" t="e">
        <f t="shared" si="90"/>
        <v>#NUM!</v>
      </c>
      <c r="K196" t="e">
        <f t="shared" si="91"/>
        <v>#NUM!</v>
      </c>
      <c r="L196" t="e">
        <f t="shared" si="92"/>
        <v>#NUM!</v>
      </c>
      <c r="M196" t="e">
        <f t="shared" si="93"/>
        <v>#NUM!</v>
      </c>
      <c r="N196" t="e">
        <f t="shared" si="94"/>
        <v>#NUM!</v>
      </c>
      <c r="O196" t="e">
        <f t="shared" si="95"/>
        <v>#NUM!</v>
      </c>
      <c r="P196" t="e">
        <f t="shared" si="96"/>
        <v>#NUM!</v>
      </c>
      <c r="Q196" t="e">
        <f t="shared" si="97"/>
        <v>#NUM!</v>
      </c>
      <c r="R196" t="e">
        <f t="shared" si="98"/>
        <v>#NUM!</v>
      </c>
      <c r="S196" t="e">
        <f t="shared" si="99"/>
        <v>#NUM!</v>
      </c>
      <c r="W196" t="e">
        <f t="shared" si="76"/>
        <v>#NUM!</v>
      </c>
      <c r="X196">
        <f t="shared" si="77"/>
        <v>61.570799515387513</v>
      </c>
      <c r="Y196">
        <f t="shared" si="78"/>
        <v>12</v>
      </c>
      <c r="Z196">
        <f t="shared" si="79"/>
        <v>-1.5707963267948966</v>
      </c>
      <c r="AA196" t="e">
        <f t="shared" si="80"/>
        <v>#NUM!</v>
      </c>
      <c r="AB196" t="e">
        <f t="shared" si="81"/>
        <v>#NUM!</v>
      </c>
      <c r="AC196" t="e">
        <f t="shared" si="82"/>
        <v>#NUM!</v>
      </c>
      <c r="AE196">
        <v>3.2153875902064446E-6</v>
      </c>
      <c r="AF196">
        <v>-59.999999999999922</v>
      </c>
      <c r="AH196" s="1">
        <v>190</v>
      </c>
      <c r="AI196" s="1">
        <f t="shared" si="100"/>
        <v>0</v>
      </c>
      <c r="AJ196" s="1">
        <f t="shared" si="100"/>
        <v>0</v>
      </c>
      <c r="AK196" s="2" t="e">
        <f t="shared" si="101"/>
        <v>#NUM!</v>
      </c>
      <c r="AL196" s="2" t="e">
        <f t="shared" si="101"/>
        <v>#NUM!</v>
      </c>
      <c r="AY196">
        <v>-14.547376030315508</v>
      </c>
      <c r="BR196">
        <v>62.796983731830124</v>
      </c>
    </row>
    <row r="197" spans="1:70" x14ac:dyDescent="0.25">
      <c r="A197">
        <v>191</v>
      </c>
      <c r="B197" t="e">
        <f t="shared" si="83"/>
        <v>#NUM!</v>
      </c>
      <c r="C197" t="e">
        <f t="shared" si="84"/>
        <v>#NUM!</v>
      </c>
      <c r="D197" t="e">
        <f t="shared" si="85"/>
        <v>#NUM!</v>
      </c>
      <c r="E197" t="e">
        <f t="shared" si="86"/>
        <v>#NUM!</v>
      </c>
      <c r="F197" t="e">
        <f t="shared" si="87"/>
        <v>#NUM!</v>
      </c>
      <c r="G197" t="e">
        <f t="shared" si="88"/>
        <v>#NUM!</v>
      </c>
      <c r="H197" t="e">
        <f t="shared" si="89"/>
        <v>#NUM!</v>
      </c>
      <c r="J197" t="e">
        <f t="shared" si="90"/>
        <v>#NUM!</v>
      </c>
      <c r="K197" t="e">
        <f t="shared" si="91"/>
        <v>#NUM!</v>
      </c>
      <c r="L197" t="e">
        <f t="shared" si="92"/>
        <v>#NUM!</v>
      </c>
      <c r="M197" t="e">
        <f t="shared" si="93"/>
        <v>#NUM!</v>
      </c>
      <c r="N197" t="e">
        <f t="shared" si="94"/>
        <v>#NUM!</v>
      </c>
      <c r="O197" t="e">
        <f t="shared" si="95"/>
        <v>#NUM!</v>
      </c>
      <c r="P197" t="e">
        <f t="shared" si="96"/>
        <v>#NUM!</v>
      </c>
      <c r="Q197" t="e">
        <f t="shared" si="97"/>
        <v>#NUM!</v>
      </c>
      <c r="R197" t="e">
        <f t="shared" si="98"/>
        <v>#NUM!</v>
      </c>
      <c r="S197" t="e">
        <f t="shared" si="99"/>
        <v>#NUM!</v>
      </c>
      <c r="W197" t="e">
        <f t="shared" si="76"/>
        <v>#NUM!</v>
      </c>
      <c r="X197">
        <f t="shared" si="77"/>
        <v>61.570799515387513</v>
      </c>
      <c r="Y197">
        <f t="shared" si="78"/>
        <v>12</v>
      </c>
      <c r="Z197">
        <f t="shared" si="79"/>
        <v>-1.5707963267948966</v>
      </c>
      <c r="AA197" t="e">
        <f t="shared" si="80"/>
        <v>#NUM!</v>
      </c>
      <c r="AB197" t="e">
        <f t="shared" si="81"/>
        <v>#NUM!</v>
      </c>
      <c r="AC197" t="e">
        <f t="shared" si="82"/>
        <v>#NUM!</v>
      </c>
      <c r="AE197">
        <v>3.2153875902064446E-6</v>
      </c>
      <c r="AF197">
        <v>-59.999999999999922</v>
      </c>
      <c r="AH197" s="1">
        <v>191</v>
      </c>
      <c r="AI197" s="1">
        <f t="shared" si="100"/>
        <v>0</v>
      </c>
      <c r="AJ197" s="1">
        <f t="shared" si="100"/>
        <v>0</v>
      </c>
      <c r="AK197" s="2" t="e">
        <f t="shared" si="101"/>
        <v>#NUM!</v>
      </c>
      <c r="AL197" s="2" t="e">
        <f t="shared" si="101"/>
        <v>#NUM!</v>
      </c>
      <c r="AY197">
        <v>-15.897358663204308</v>
      </c>
      <c r="BR197">
        <v>62.140580223769234</v>
      </c>
    </row>
    <row r="198" spans="1:70" x14ac:dyDescent="0.25">
      <c r="A198">
        <v>192</v>
      </c>
      <c r="B198" t="e">
        <f t="shared" si="83"/>
        <v>#NUM!</v>
      </c>
      <c r="C198" t="e">
        <f t="shared" si="84"/>
        <v>#NUM!</v>
      </c>
      <c r="D198" t="e">
        <f t="shared" si="85"/>
        <v>#NUM!</v>
      </c>
      <c r="E198" t="e">
        <f t="shared" si="86"/>
        <v>#NUM!</v>
      </c>
      <c r="F198" t="e">
        <f t="shared" si="87"/>
        <v>#NUM!</v>
      </c>
      <c r="G198" t="e">
        <f t="shared" si="88"/>
        <v>#NUM!</v>
      </c>
      <c r="H198" t="e">
        <f t="shared" si="89"/>
        <v>#NUM!</v>
      </c>
      <c r="J198" t="e">
        <f t="shared" si="90"/>
        <v>#NUM!</v>
      </c>
      <c r="K198" t="e">
        <f t="shared" si="91"/>
        <v>#NUM!</v>
      </c>
      <c r="L198" t="e">
        <f t="shared" si="92"/>
        <v>#NUM!</v>
      </c>
      <c r="M198" t="e">
        <f t="shared" si="93"/>
        <v>#NUM!</v>
      </c>
      <c r="N198" t="e">
        <f t="shared" si="94"/>
        <v>#NUM!</v>
      </c>
      <c r="O198" t="e">
        <f t="shared" si="95"/>
        <v>#NUM!</v>
      </c>
      <c r="P198" t="e">
        <f t="shared" si="96"/>
        <v>#NUM!</v>
      </c>
      <c r="Q198" t="e">
        <f t="shared" si="97"/>
        <v>#NUM!</v>
      </c>
      <c r="R198" t="e">
        <f t="shared" si="98"/>
        <v>#NUM!</v>
      </c>
      <c r="S198" t="e">
        <f t="shared" si="99"/>
        <v>#NUM!</v>
      </c>
      <c r="W198" t="e">
        <f t="shared" ref="W198:W218" si="102">3.14159265358/2-Z198-AA198</f>
        <v>#NUM!</v>
      </c>
      <c r="X198">
        <f t="shared" si="77"/>
        <v>61.570799515387513</v>
      </c>
      <c r="Y198">
        <f t="shared" si="78"/>
        <v>12</v>
      </c>
      <c r="Z198">
        <f t="shared" si="79"/>
        <v>-1.5707963267948966</v>
      </c>
      <c r="AA198" t="e">
        <f t="shared" si="80"/>
        <v>#NUM!</v>
      </c>
      <c r="AB198" t="e">
        <f t="shared" si="81"/>
        <v>#NUM!</v>
      </c>
      <c r="AC198" t="e">
        <f t="shared" si="82"/>
        <v>#NUM!</v>
      </c>
      <c r="AE198">
        <v>3.2153875902064446E-6</v>
      </c>
      <c r="AF198">
        <v>-59.999999999999922</v>
      </c>
      <c r="AH198" s="1">
        <v>192</v>
      </c>
      <c r="AI198" s="1">
        <f t="shared" si="100"/>
        <v>0</v>
      </c>
      <c r="AJ198" s="1">
        <f t="shared" si="100"/>
        <v>0</v>
      </c>
      <c r="AK198" s="2" t="e">
        <f t="shared" si="101"/>
        <v>#NUM!</v>
      </c>
      <c r="AL198" s="2" t="e">
        <f t="shared" si="101"/>
        <v>#NUM!</v>
      </c>
      <c r="AY198">
        <v>-17.247509325359044</v>
      </c>
      <c r="BR198">
        <v>61.457739681637662</v>
      </c>
    </row>
    <row r="199" spans="1:70" x14ac:dyDescent="0.25">
      <c r="A199">
        <v>193</v>
      </c>
      <c r="B199" t="e">
        <f t="shared" si="83"/>
        <v>#NUM!</v>
      </c>
      <c r="C199" t="e">
        <f t="shared" si="84"/>
        <v>#NUM!</v>
      </c>
      <c r="D199" t="e">
        <f t="shared" si="85"/>
        <v>#NUM!</v>
      </c>
      <c r="E199" t="e">
        <f t="shared" si="86"/>
        <v>#NUM!</v>
      </c>
      <c r="F199" t="e">
        <f t="shared" si="87"/>
        <v>#NUM!</v>
      </c>
      <c r="G199" t="e">
        <f t="shared" si="88"/>
        <v>#NUM!</v>
      </c>
      <c r="H199" t="e">
        <f t="shared" si="89"/>
        <v>#NUM!</v>
      </c>
      <c r="J199" t="e">
        <f t="shared" si="90"/>
        <v>#NUM!</v>
      </c>
      <c r="K199" t="e">
        <f t="shared" si="91"/>
        <v>#NUM!</v>
      </c>
      <c r="L199" t="e">
        <f t="shared" si="92"/>
        <v>#NUM!</v>
      </c>
      <c r="M199" t="e">
        <f t="shared" si="93"/>
        <v>#NUM!</v>
      </c>
      <c r="N199" t="e">
        <f t="shared" si="94"/>
        <v>#NUM!</v>
      </c>
      <c r="O199" t="e">
        <f t="shared" si="95"/>
        <v>#NUM!</v>
      </c>
      <c r="P199" t="e">
        <f t="shared" si="96"/>
        <v>#NUM!</v>
      </c>
      <c r="Q199" t="e">
        <f t="shared" si="97"/>
        <v>#NUM!</v>
      </c>
      <c r="R199" t="e">
        <f t="shared" si="98"/>
        <v>#NUM!</v>
      </c>
      <c r="S199" t="e">
        <f t="shared" si="99"/>
        <v>#NUM!</v>
      </c>
      <c r="W199" t="e">
        <f t="shared" si="102"/>
        <v>#NUM!</v>
      </c>
      <c r="X199">
        <f t="shared" ref="X199:X218" si="103">3.1415926/2+AE199-AF199</f>
        <v>61.570799515387513</v>
      </c>
      <c r="Y199">
        <f t="shared" ref="Y199:Y218" si="104">SQRT( V199*V199+(U199+$G$2)*(U199+$G$2)     )</f>
        <v>12</v>
      </c>
      <c r="Z199">
        <f t="shared" ref="Z199:Z218" si="105">ATAN2(  V199, -U199-$G$2)</f>
        <v>-1.5707963267948966</v>
      </c>
      <c r="AA199" t="e">
        <f t="shared" ref="AA199:AA218" si="106" xml:space="preserve"> ACOS((Y199*Y199+$C$2*$C$2-($E$2+$T$2)*($E$2+$T$2))/(2*Y199*$C$2))</f>
        <v>#NUM!</v>
      </c>
      <c r="AB199" t="e">
        <f t="shared" ref="AB199:AB218" si="107">-$G$2-$C$2*COS(W199)+(U199+$G$2+COS(W199)*$C$2)*$E$2/($E$2+$T$2)</f>
        <v>#NUM!</v>
      </c>
      <c r="AC199" t="e">
        <f t="shared" ref="AC199:AC218" si="108">$C$2*SIN(W199)+(V199-$C$2*SIN(W199))*$E$2/($T$2+$E$2)</f>
        <v>#NUM!</v>
      </c>
      <c r="AE199">
        <v>3.2153875902064446E-6</v>
      </c>
      <c r="AF199">
        <v>-59.999999999999922</v>
      </c>
      <c r="AH199" s="1">
        <v>193</v>
      </c>
      <c r="AI199" s="1">
        <f t="shared" si="100"/>
        <v>0</v>
      </c>
      <c r="AJ199" s="1">
        <f t="shared" si="100"/>
        <v>0</v>
      </c>
      <c r="AK199" s="2" t="e">
        <f t="shared" si="101"/>
        <v>#NUM!</v>
      </c>
      <c r="AL199" s="2" t="e">
        <f t="shared" si="101"/>
        <v>#NUM!</v>
      </c>
      <c r="AY199">
        <v>-18.596892885306229</v>
      </c>
      <c r="BR199">
        <v>60.748029610913136</v>
      </c>
    </row>
    <row r="200" spans="1:70" x14ac:dyDescent="0.25">
      <c r="A200">
        <v>194</v>
      </c>
      <c r="B200" t="e">
        <f t="shared" ref="B200:B218" si="109">AB200</f>
        <v>#NUM!</v>
      </c>
      <c r="C200" t="e">
        <f t="shared" ref="C200:C218" si="110">AC200</f>
        <v>#NUM!</v>
      </c>
      <c r="D200" t="e">
        <f t="shared" ref="D200:D218" si="111">3.14159265358/2-G200-H200</f>
        <v>#NUM!</v>
      </c>
      <c r="E200" t="e">
        <f t="shared" ref="E200:E218" si="112">3.1415926/2+L200-M200</f>
        <v>#NUM!</v>
      </c>
      <c r="F200" t="e">
        <f t="shared" ref="F200:F218" si="113">SQRT( C200*C200+(B200+$G$2)*(B200+$G$2)     )</f>
        <v>#NUM!</v>
      </c>
      <c r="G200" t="e">
        <f t="shared" ref="G200:G218" si="114">ATAN2(  C200, -B200-$G$2)</f>
        <v>#NUM!</v>
      </c>
      <c r="H200" t="e">
        <f t="shared" ref="H200:H218" si="115" xml:space="preserve"> ACOS((F200*F200+$C$2*$C$2-$E$2*$E$2)/(2*F200*$C$2))</f>
        <v>#NUM!</v>
      </c>
      <c r="J200" t="e">
        <f t="shared" ref="J200:J218" si="116">G200*180/3.1415926</f>
        <v>#NUM!</v>
      </c>
      <c r="K200" t="e">
        <f t="shared" ref="K200:K218" si="117">H200*180/3.1415926</f>
        <v>#NUM!</v>
      </c>
      <c r="L200" t="e">
        <f t="shared" ref="L200:L218" si="118">ACOS( ($C$2*$C$2+N200*N200-$E$2*$E$2)/(2*$C$2*N200))</f>
        <v>#NUM!</v>
      </c>
      <c r="M200" t="e">
        <f t="shared" ref="M200:M218" si="119">ATAN2(C200,-B200+$G$2)</f>
        <v>#NUM!</v>
      </c>
      <c r="N200" t="e">
        <f t="shared" ref="N200:N218" si="120">SQRT(C200*C200+(-B200+$G$2)*(-B200+$G$2))</f>
        <v>#NUM!</v>
      </c>
      <c r="O200" t="e">
        <f t="shared" ref="O200:O218" si="121">L200*180/3.1415926</f>
        <v>#NUM!</v>
      </c>
      <c r="P200" t="e">
        <f t="shared" ref="P200:P218" si="122">M200*180/3.1415926</f>
        <v>#NUM!</v>
      </c>
      <c r="Q200" t="e">
        <f t="shared" ref="Q200:Q218" si="123">D200*180/3.1415926</f>
        <v>#NUM!</v>
      </c>
      <c r="R200" t="e">
        <f t="shared" ref="R200:R218" si="124">E200*180/3.1415926</f>
        <v>#NUM!</v>
      </c>
      <c r="S200" t="e">
        <f t="shared" ref="S200:S218" si="125" xml:space="preserve"> ((F200*F200+$C$2*$C$2-$E$2*$E$2)/(2*F200*$C$2))</f>
        <v>#NUM!</v>
      </c>
      <c r="W200" t="e">
        <f t="shared" si="102"/>
        <v>#NUM!</v>
      </c>
      <c r="X200">
        <f t="shared" si="103"/>
        <v>61.570799515387513</v>
      </c>
      <c r="Y200">
        <f t="shared" si="104"/>
        <v>12</v>
      </c>
      <c r="Z200">
        <f t="shared" si="105"/>
        <v>-1.5707963267948966</v>
      </c>
      <c r="AA200" t="e">
        <f t="shared" si="106"/>
        <v>#NUM!</v>
      </c>
      <c r="AB200" t="e">
        <f t="shared" si="107"/>
        <v>#NUM!</v>
      </c>
      <c r="AC200" t="e">
        <f t="shared" si="108"/>
        <v>#NUM!</v>
      </c>
      <c r="AE200">
        <v>3.2153875902064446E-6</v>
      </c>
      <c r="AF200">
        <v>-59.999999999999922</v>
      </c>
      <c r="AH200" s="1">
        <v>194</v>
      </c>
      <c r="AI200" s="1">
        <f t="shared" si="100"/>
        <v>0</v>
      </c>
      <c r="AJ200" s="1">
        <f t="shared" si="100"/>
        <v>0</v>
      </c>
      <c r="AK200" s="2" t="e">
        <f t="shared" si="101"/>
        <v>#NUM!</v>
      </c>
      <c r="AL200" s="2" t="e">
        <f t="shared" si="101"/>
        <v>#NUM!</v>
      </c>
      <c r="AY200">
        <v>-19.944662101015112</v>
      </c>
      <c r="BR200">
        <v>60.011027054008451</v>
      </c>
    </row>
    <row r="201" spans="1:70" x14ac:dyDescent="0.25">
      <c r="A201">
        <v>195</v>
      </c>
      <c r="B201" t="e">
        <f t="shared" si="109"/>
        <v>#NUM!</v>
      </c>
      <c r="C201" t="e">
        <f t="shared" si="110"/>
        <v>#NUM!</v>
      </c>
      <c r="D201" t="e">
        <f t="shared" si="111"/>
        <v>#NUM!</v>
      </c>
      <c r="E201" t="e">
        <f t="shared" si="112"/>
        <v>#NUM!</v>
      </c>
      <c r="F201" t="e">
        <f t="shared" si="113"/>
        <v>#NUM!</v>
      </c>
      <c r="G201" t="e">
        <f t="shared" si="114"/>
        <v>#NUM!</v>
      </c>
      <c r="H201" t="e">
        <f t="shared" si="115"/>
        <v>#NUM!</v>
      </c>
      <c r="J201" t="e">
        <f t="shared" si="116"/>
        <v>#NUM!</v>
      </c>
      <c r="K201" t="e">
        <f t="shared" si="117"/>
        <v>#NUM!</v>
      </c>
      <c r="L201" t="e">
        <f t="shared" si="118"/>
        <v>#NUM!</v>
      </c>
      <c r="M201" t="e">
        <f t="shared" si="119"/>
        <v>#NUM!</v>
      </c>
      <c r="N201" t="e">
        <f t="shared" si="120"/>
        <v>#NUM!</v>
      </c>
      <c r="O201" t="e">
        <f t="shared" si="121"/>
        <v>#NUM!</v>
      </c>
      <c r="P201" t="e">
        <f t="shared" si="122"/>
        <v>#NUM!</v>
      </c>
      <c r="Q201" t="e">
        <f t="shared" si="123"/>
        <v>#NUM!</v>
      </c>
      <c r="R201" t="e">
        <f t="shared" si="124"/>
        <v>#NUM!</v>
      </c>
      <c r="S201" t="e">
        <f t="shared" si="125"/>
        <v>#NUM!</v>
      </c>
      <c r="W201" t="e">
        <f t="shared" si="102"/>
        <v>#NUM!</v>
      </c>
      <c r="X201">
        <f t="shared" si="103"/>
        <v>61.570799515387513</v>
      </c>
      <c r="Y201">
        <f t="shared" si="104"/>
        <v>12</v>
      </c>
      <c r="Z201">
        <f t="shared" si="105"/>
        <v>-1.5707963267948966</v>
      </c>
      <c r="AA201" t="e">
        <f t="shared" si="106"/>
        <v>#NUM!</v>
      </c>
      <c r="AB201" t="e">
        <f t="shared" si="107"/>
        <v>#NUM!</v>
      </c>
      <c r="AC201" t="e">
        <f t="shared" si="108"/>
        <v>#NUM!</v>
      </c>
      <c r="AE201">
        <v>3.2153875902064446E-6</v>
      </c>
      <c r="AF201">
        <v>-59.999999999999922</v>
      </c>
      <c r="AH201" s="1">
        <v>195</v>
      </c>
      <c r="AI201" s="1">
        <f t="shared" si="100"/>
        <v>0</v>
      </c>
      <c r="AJ201" s="1">
        <f t="shared" si="100"/>
        <v>0</v>
      </c>
      <c r="AK201" s="2" t="e">
        <f t="shared" si="101"/>
        <v>#NUM!</v>
      </c>
      <c r="AL201" s="2" t="e">
        <f t="shared" si="101"/>
        <v>#NUM!</v>
      </c>
      <c r="AY201">
        <v>-21.290037250525245</v>
      </c>
      <c r="BR201">
        <v>59.246310019026055</v>
      </c>
    </row>
    <row r="202" spans="1:70" x14ac:dyDescent="0.25">
      <c r="A202">
        <v>196</v>
      </c>
      <c r="B202" t="e">
        <f t="shared" si="109"/>
        <v>#NUM!</v>
      </c>
      <c r="C202" t="e">
        <f t="shared" si="110"/>
        <v>#NUM!</v>
      </c>
      <c r="D202" t="e">
        <f t="shared" si="111"/>
        <v>#NUM!</v>
      </c>
      <c r="E202" t="e">
        <f t="shared" si="112"/>
        <v>#NUM!</v>
      </c>
      <c r="F202" t="e">
        <f t="shared" si="113"/>
        <v>#NUM!</v>
      </c>
      <c r="G202" t="e">
        <f t="shared" si="114"/>
        <v>#NUM!</v>
      </c>
      <c r="H202" t="e">
        <f t="shared" si="115"/>
        <v>#NUM!</v>
      </c>
      <c r="J202" t="e">
        <f t="shared" si="116"/>
        <v>#NUM!</v>
      </c>
      <c r="K202" t="e">
        <f t="shared" si="117"/>
        <v>#NUM!</v>
      </c>
      <c r="L202" t="e">
        <f t="shared" si="118"/>
        <v>#NUM!</v>
      </c>
      <c r="M202" t="e">
        <f t="shared" si="119"/>
        <v>#NUM!</v>
      </c>
      <c r="N202" t="e">
        <f t="shared" si="120"/>
        <v>#NUM!</v>
      </c>
      <c r="O202" t="e">
        <f t="shared" si="121"/>
        <v>#NUM!</v>
      </c>
      <c r="P202" t="e">
        <f t="shared" si="122"/>
        <v>#NUM!</v>
      </c>
      <c r="Q202" t="e">
        <f t="shared" si="123"/>
        <v>#NUM!</v>
      </c>
      <c r="R202" t="e">
        <f t="shared" si="124"/>
        <v>#NUM!</v>
      </c>
      <c r="S202" t="e">
        <f t="shared" si="125"/>
        <v>#NUM!</v>
      </c>
      <c r="W202" t="e">
        <f t="shared" si="102"/>
        <v>#NUM!</v>
      </c>
      <c r="X202">
        <f t="shared" si="103"/>
        <v>61.570799515387513</v>
      </c>
      <c r="Y202">
        <f t="shared" si="104"/>
        <v>12</v>
      </c>
      <c r="Z202">
        <f t="shared" si="105"/>
        <v>-1.5707963267948966</v>
      </c>
      <c r="AA202" t="e">
        <f t="shared" si="106"/>
        <v>#NUM!</v>
      </c>
      <c r="AB202" t="e">
        <f t="shared" si="107"/>
        <v>#NUM!</v>
      </c>
      <c r="AC202" t="e">
        <f t="shared" si="108"/>
        <v>#NUM!</v>
      </c>
      <c r="AE202">
        <v>3.2153875902064446E-6</v>
      </c>
      <c r="AF202">
        <v>-59.999999999999922</v>
      </c>
      <c r="AH202" s="1">
        <v>196</v>
      </c>
      <c r="AI202" s="1">
        <f t="shared" si="100"/>
        <v>0</v>
      </c>
      <c r="AJ202" s="1">
        <f t="shared" si="100"/>
        <v>0</v>
      </c>
      <c r="AK202" s="2" t="e">
        <f t="shared" si="101"/>
        <v>#NUM!</v>
      </c>
      <c r="AL202" s="2" t="e">
        <f t="shared" si="101"/>
        <v>#NUM!</v>
      </c>
      <c r="AY202">
        <v>-22.632289027455251</v>
      </c>
      <c r="BR202">
        <v>58.453450389971678</v>
      </c>
    </row>
    <row r="203" spans="1:70" x14ac:dyDescent="0.25">
      <c r="A203">
        <v>197</v>
      </c>
      <c r="B203" t="e">
        <f t="shared" si="109"/>
        <v>#NUM!</v>
      </c>
      <c r="C203" t="e">
        <f t="shared" si="110"/>
        <v>#NUM!</v>
      </c>
      <c r="D203" t="e">
        <f t="shared" si="111"/>
        <v>#NUM!</v>
      </c>
      <c r="E203" t="e">
        <f t="shared" si="112"/>
        <v>#NUM!</v>
      </c>
      <c r="F203" t="e">
        <f t="shared" si="113"/>
        <v>#NUM!</v>
      </c>
      <c r="G203" t="e">
        <f t="shared" si="114"/>
        <v>#NUM!</v>
      </c>
      <c r="H203" t="e">
        <f t="shared" si="115"/>
        <v>#NUM!</v>
      </c>
      <c r="J203" t="e">
        <f t="shared" si="116"/>
        <v>#NUM!</v>
      </c>
      <c r="K203" t="e">
        <f t="shared" si="117"/>
        <v>#NUM!</v>
      </c>
      <c r="L203" t="e">
        <f t="shared" si="118"/>
        <v>#NUM!</v>
      </c>
      <c r="M203" t="e">
        <f t="shared" si="119"/>
        <v>#NUM!</v>
      </c>
      <c r="N203" t="e">
        <f t="shared" si="120"/>
        <v>#NUM!</v>
      </c>
      <c r="O203" t="e">
        <f t="shared" si="121"/>
        <v>#NUM!</v>
      </c>
      <c r="P203" t="e">
        <f t="shared" si="122"/>
        <v>#NUM!</v>
      </c>
      <c r="Q203" t="e">
        <f t="shared" si="123"/>
        <v>#NUM!</v>
      </c>
      <c r="R203" t="e">
        <f t="shared" si="124"/>
        <v>#NUM!</v>
      </c>
      <c r="S203" t="e">
        <f t="shared" si="125"/>
        <v>#NUM!</v>
      </c>
      <c r="W203" t="e">
        <f t="shared" si="102"/>
        <v>#NUM!</v>
      </c>
      <c r="X203">
        <f t="shared" si="103"/>
        <v>61.570799515387513</v>
      </c>
      <c r="Y203">
        <f t="shared" si="104"/>
        <v>12</v>
      </c>
      <c r="Z203">
        <f t="shared" si="105"/>
        <v>-1.5707963267948966</v>
      </c>
      <c r="AA203" t="e">
        <f t="shared" si="106"/>
        <v>#NUM!</v>
      </c>
      <c r="AB203" t="e">
        <f t="shared" si="107"/>
        <v>#NUM!</v>
      </c>
      <c r="AC203" t="e">
        <f t="shared" si="108"/>
        <v>#NUM!</v>
      </c>
      <c r="AE203">
        <v>3.2153875902064446E-6</v>
      </c>
      <c r="AF203">
        <v>-59.999999999999922</v>
      </c>
      <c r="AH203" s="1">
        <v>197</v>
      </c>
      <c r="AI203" s="1">
        <f t="shared" si="100"/>
        <v>0</v>
      </c>
      <c r="AJ203" s="1">
        <f t="shared" si="100"/>
        <v>0</v>
      </c>
      <c r="AK203" s="2" t="e">
        <f t="shared" si="101"/>
        <v>#NUM!</v>
      </c>
      <c r="AL203" s="2" t="e">
        <f t="shared" si="101"/>
        <v>#NUM!</v>
      </c>
      <c r="AY203">
        <v>-23.97072370792359</v>
      </c>
      <c r="BR203">
        <v>57.632008068055285</v>
      </c>
    </row>
    <row r="204" spans="1:70" x14ac:dyDescent="0.25">
      <c r="A204">
        <v>198</v>
      </c>
      <c r="B204" t="e">
        <f t="shared" si="109"/>
        <v>#NUM!</v>
      </c>
      <c r="C204" t="e">
        <f t="shared" si="110"/>
        <v>#NUM!</v>
      </c>
      <c r="D204" t="e">
        <f t="shared" si="111"/>
        <v>#NUM!</v>
      </c>
      <c r="E204" t="e">
        <f t="shared" si="112"/>
        <v>#NUM!</v>
      </c>
      <c r="F204" t="e">
        <f t="shared" si="113"/>
        <v>#NUM!</v>
      </c>
      <c r="G204" t="e">
        <f t="shared" si="114"/>
        <v>#NUM!</v>
      </c>
      <c r="H204" t="e">
        <f t="shared" si="115"/>
        <v>#NUM!</v>
      </c>
      <c r="J204" t="e">
        <f t="shared" si="116"/>
        <v>#NUM!</v>
      </c>
      <c r="K204" t="e">
        <f t="shared" si="117"/>
        <v>#NUM!</v>
      </c>
      <c r="L204" t="e">
        <f t="shared" si="118"/>
        <v>#NUM!</v>
      </c>
      <c r="M204" t="e">
        <f t="shared" si="119"/>
        <v>#NUM!</v>
      </c>
      <c r="N204" t="e">
        <f t="shared" si="120"/>
        <v>#NUM!</v>
      </c>
      <c r="O204" t="e">
        <f t="shared" si="121"/>
        <v>#NUM!</v>
      </c>
      <c r="P204" t="e">
        <f t="shared" si="122"/>
        <v>#NUM!</v>
      </c>
      <c r="Q204" t="e">
        <f t="shared" si="123"/>
        <v>#NUM!</v>
      </c>
      <c r="R204" t="e">
        <f t="shared" si="124"/>
        <v>#NUM!</v>
      </c>
      <c r="S204" t="e">
        <f t="shared" si="125"/>
        <v>#NUM!</v>
      </c>
      <c r="W204" t="e">
        <f t="shared" si="102"/>
        <v>#NUM!</v>
      </c>
      <c r="X204">
        <f t="shared" si="103"/>
        <v>61.570799515387513</v>
      </c>
      <c r="Y204">
        <f t="shared" si="104"/>
        <v>12</v>
      </c>
      <c r="Z204">
        <f t="shared" si="105"/>
        <v>-1.5707963267948966</v>
      </c>
      <c r="AA204" t="e">
        <f t="shared" si="106"/>
        <v>#NUM!</v>
      </c>
      <c r="AB204" t="e">
        <f t="shared" si="107"/>
        <v>#NUM!</v>
      </c>
      <c r="AC204" t="e">
        <f t="shared" si="108"/>
        <v>#NUM!</v>
      </c>
      <c r="AE204">
        <v>3.2153875902064446E-6</v>
      </c>
      <c r="AF204">
        <v>-59.999999999999922</v>
      </c>
      <c r="AH204" s="1">
        <v>198</v>
      </c>
      <c r="AI204" s="1">
        <f t="shared" si="100"/>
        <v>0</v>
      </c>
      <c r="AJ204" s="1">
        <f t="shared" si="100"/>
        <v>0</v>
      </c>
      <c r="AK204" s="2" t="e">
        <f t="shared" si="101"/>
        <v>#NUM!</v>
      </c>
      <c r="AL204" s="2" t="e">
        <f t="shared" si="101"/>
        <v>#NUM!</v>
      </c>
      <c r="AY204">
        <v>-25.30466988534544</v>
      </c>
      <c r="BR204">
        <v>56.781526190524239</v>
      </c>
    </row>
    <row r="205" spans="1:70" x14ac:dyDescent="0.25">
      <c r="A205">
        <v>199</v>
      </c>
      <c r="B205" t="e">
        <f t="shared" si="109"/>
        <v>#NUM!</v>
      </c>
      <c r="C205" t="e">
        <f t="shared" si="110"/>
        <v>#NUM!</v>
      </c>
      <c r="D205" t="e">
        <f t="shared" si="111"/>
        <v>#NUM!</v>
      </c>
      <c r="E205" t="e">
        <f t="shared" si="112"/>
        <v>#NUM!</v>
      </c>
      <c r="F205" t="e">
        <f t="shared" si="113"/>
        <v>#NUM!</v>
      </c>
      <c r="G205" t="e">
        <f t="shared" si="114"/>
        <v>#NUM!</v>
      </c>
      <c r="H205" t="e">
        <f t="shared" si="115"/>
        <v>#NUM!</v>
      </c>
      <c r="J205" t="e">
        <f t="shared" si="116"/>
        <v>#NUM!</v>
      </c>
      <c r="K205" t="e">
        <f t="shared" si="117"/>
        <v>#NUM!</v>
      </c>
      <c r="L205" t="e">
        <f t="shared" si="118"/>
        <v>#NUM!</v>
      </c>
      <c r="M205" t="e">
        <f t="shared" si="119"/>
        <v>#NUM!</v>
      </c>
      <c r="N205" t="e">
        <f t="shared" si="120"/>
        <v>#NUM!</v>
      </c>
      <c r="O205" t="e">
        <f t="shared" si="121"/>
        <v>#NUM!</v>
      </c>
      <c r="P205" t="e">
        <f t="shared" si="122"/>
        <v>#NUM!</v>
      </c>
      <c r="Q205" t="e">
        <f t="shared" si="123"/>
        <v>#NUM!</v>
      </c>
      <c r="R205" t="e">
        <f t="shared" si="124"/>
        <v>#NUM!</v>
      </c>
      <c r="S205" t="e">
        <f t="shared" si="125"/>
        <v>#NUM!</v>
      </c>
      <c r="W205" t="e">
        <f t="shared" si="102"/>
        <v>#NUM!</v>
      </c>
      <c r="X205">
        <f t="shared" si="103"/>
        <v>61.570799515387513</v>
      </c>
      <c r="Y205">
        <f t="shared" si="104"/>
        <v>12</v>
      </c>
      <c r="Z205">
        <f t="shared" si="105"/>
        <v>-1.5707963267948966</v>
      </c>
      <c r="AA205" t="e">
        <f t="shared" si="106"/>
        <v>#NUM!</v>
      </c>
      <c r="AB205" t="e">
        <f t="shared" si="107"/>
        <v>#NUM!</v>
      </c>
      <c r="AC205" t="e">
        <f t="shared" si="108"/>
        <v>#NUM!</v>
      </c>
      <c r="AE205">
        <v>3.2153875902064446E-6</v>
      </c>
      <c r="AF205">
        <v>-59.999999999999922</v>
      </c>
      <c r="AH205" s="1">
        <v>199</v>
      </c>
      <c r="AI205" s="1">
        <f t="shared" si="100"/>
        <v>0</v>
      </c>
      <c r="AJ205" s="1">
        <f t="shared" si="100"/>
        <v>0</v>
      </c>
      <c r="AK205" s="2" t="e">
        <f t="shared" si="101"/>
        <v>#NUM!</v>
      </c>
      <c r="AL205" s="2" t="e">
        <f t="shared" si="101"/>
        <v>#NUM!</v>
      </c>
      <c r="AY205">
        <v>-26.633466270137497</v>
      </c>
      <c r="BR205">
        <v>55.901527343221815</v>
      </c>
    </row>
    <row r="206" spans="1:70" x14ac:dyDescent="0.25">
      <c r="A206">
        <v>200</v>
      </c>
      <c r="B206" t="e">
        <f t="shared" si="109"/>
        <v>#NUM!</v>
      </c>
      <c r="C206" t="e">
        <f t="shared" si="110"/>
        <v>#NUM!</v>
      </c>
      <c r="D206" t="e">
        <f t="shared" si="111"/>
        <v>#NUM!</v>
      </c>
      <c r="E206" t="e">
        <f t="shared" si="112"/>
        <v>#NUM!</v>
      </c>
      <c r="F206" t="e">
        <f t="shared" si="113"/>
        <v>#NUM!</v>
      </c>
      <c r="G206" t="e">
        <f t="shared" si="114"/>
        <v>#NUM!</v>
      </c>
      <c r="H206" t="e">
        <f t="shared" si="115"/>
        <v>#NUM!</v>
      </c>
      <c r="J206" t="e">
        <f t="shared" si="116"/>
        <v>#NUM!</v>
      </c>
      <c r="K206" t="e">
        <f t="shared" si="117"/>
        <v>#NUM!</v>
      </c>
      <c r="L206" t="e">
        <f t="shared" si="118"/>
        <v>#NUM!</v>
      </c>
      <c r="M206" t="e">
        <f t="shared" si="119"/>
        <v>#NUM!</v>
      </c>
      <c r="N206" t="e">
        <f t="shared" si="120"/>
        <v>#NUM!</v>
      </c>
      <c r="O206" t="e">
        <f t="shared" si="121"/>
        <v>#NUM!</v>
      </c>
      <c r="P206" t="e">
        <f t="shared" si="122"/>
        <v>#NUM!</v>
      </c>
      <c r="Q206" t="e">
        <f t="shared" si="123"/>
        <v>#NUM!</v>
      </c>
      <c r="R206" t="e">
        <f t="shared" si="124"/>
        <v>#NUM!</v>
      </c>
      <c r="S206" t="e">
        <f t="shared" si="125"/>
        <v>#NUM!</v>
      </c>
      <c r="W206" t="e">
        <f t="shared" si="102"/>
        <v>#NUM!</v>
      </c>
      <c r="X206">
        <f t="shared" si="103"/>
        <v>61.570799515387513</v>
      </c>
      <c r="Y206">
        <f t="shared" si="104"/>
        <v>12</v>
      </c>
      <c r="Z206">
        <f t="shared" si="105"/>
        <v>-1.5707963267948966</v>
      </c>
      <c r="AA206" t="e">
        <f t="shared" si="106"/>
        <v>#NUM!</v>
      </c>
      <c r="AB206" t="e">
        <f t="shared" si="107"/>
        <v>#NUM!</v>
      </c>
      <c r="AC206" t="e">
        <f t="shared" si="108"/>
        <v>#NUM!</v>
      </c>
      <c r="AE206">
        <v>3.2153875902064446E-6</v>
      </c>
      <c r="AF206">
        <v>-59.999999999999922</v>
      </c>
      <c r="AH206" s="1">
        <v>200</v>
      </c>
      <c r="AI206" s="1">
        <f t="shared" si="100"/>
        <v>0</v>
      </c>
      <c r="AJ206" s="1">
        <f t="shared" si="100"/>
        <v>0</v>
      </c>
      <c r="AK206" s="2" t="e">
        <f t="shared" si="101"/>
        <v>#NUM!</v>
      </c>
      <c r="AL206" s="2" t="e">
        <f t="shared" si="101"/>
        <v>#NUM!</v>
      </c>
      <c r="AY206">
        <v>-27.956450194805811</v>
      </c>
      <c r="BR206">
        <v>54.991510734660217</v>
      </c>
    </row>
    <row r="207" spans="1:70" x14ac:dyDescent="0.25">
      <c r="A207">
        <v>201</v>
      </c>
      <c r="B207" t="e">
        <f t="shared" si="109"/>
        <v>#NUM!</v>
      </c>
      <c r="C207" t="e">
        <f t="shared" si="110"/>
        <v>#NUM!</v>
      </c>
      <c r="D207" t="e">
        <f t="shared" si="111"/>
        <v>#NUM!</v>
      </c>
      <c r="E207" t="e">
        <f t="shared" si="112"/>
        <v>#NUM!</v>
      </c>
      <c r="F207" t="e">
        <f t="shared" si="113"/>
        <v>#NUM!</v>
      </c>
      <c r="G207" t="e">
        <f t="shared" si="114"/>
        <v>#NUM!</v>
      </c>
      <c r="H207" t="e">
        <f t="shared" si="115"/>
        <v>#NUM!</v>
      </c>
      <c r="J207" t="e">
        <f t="shared" si="116"/>
        <v>#NUM!</v>
      </c>
      <c r="K207" t="e">
        <f t="shared" si="117"/>
        <v>#NUM!</v>
      </c>
      <c r="L207" t="e">
        <f t="shared" si="118"/>
        <v>#NUM!</v>
      </c>
      <c r="M207" t="e">
        <f t="shared" si="119"/>
        <v>#NUM!</v>
      </c>
      <c r="N207" t="e">
        <f t="shared" si="120"/>
        <v>#NUM!</v>
      </c>
      <c r="O207" t="e">
        <f t="shared" si="121"/>
        <v>#NUM!</v>
      </c>
      <c r="P207" t="e">
        <f t="shared" si="122"/>
        <v>#NUM!</v>
      </c>
      <c r="Q207" t="e">
        <f t="shared" si="123"/>
        <v>#NUM!</v>
      </c>
      <c r="R207" t="e">
        <f t="shared" si="124"/>
        <v>#NUM!</v>
      </c>
      <c r="S207" t="e">
        <f t="shared" si="125"/>
        <v>#NUM!</v>
      </c>
      <c r="W207" t="e">
        <f t="shared" si="102"/>
        <v>#NUM!</v>
      </c>
      <c r="X207">
        <f t="shared" si="103"/>
        <v>61.570799515387513</v>
      </c>
      <c r="Y207">
        <f t="shared" si="104"/>
        <v>12</v>
      </c>
      <c r="Z207">
        <f t="shared" si="105"/>
        <v>-1.5707963267948966</v>
      </c>
      <c r="AA207" t="e">
        <f t="shared" si="106"/>
        <v>#NUM!</v>
      </c>
      <c r="AB207" t="e">
        <f t="shared" si="107"/>
        <v>#NUM!</v>
      </c>
      <c r="AC207" t="e">
        <f t="shared" si="108"/>
        <v>#NUM!</v>
      </c>
      <c r="AE207">
        <v>3.2153875902064446E-6</v>
      </c>
      <c r="AF207">
        <v>-59.999999999999922</v>
      </c>
      <c r="AH207" s="1">
        <v>201</v>
      </c>
      <c r="AI207" s="1">
        <f t="shared" si="100"/>
        <v>0</v>
      </c>
      <c r="AJ207" s="1">
        <f t="shared" si="100"/>
        <v>0</v>
      </c>
      <c r="AK207" s="2" t="e">
        <f t="shared" si="101"/>
        <v>#NUM!</v>
      </c>
      <c r="AL207" s="2" t="e">
        <f t="shared" si="101"/>
        <v>#NUM!</v>
      </c>
      <c r="AY207">
        <v>-29.272946571435931</v>
      </c>
      <c r="BR207">
        <v>54.050950338287912</v>
      </c>
    </row>
    <row r="208" spans="1:70" x14ac:dyDescent="0.25">
      <c r="A208">
        <v>202</v>
      </c>
      <c r="B208" t="e">
        <f t="shared" si="109"/>
        <v>#NUM!</v>
      </c>
      <c r="C208" t="e">
        <f t="shared" si="110"/>
        <v>#NUM!</v>
      </c>
      <c r="D208" t="e">
        <f t="shared" si="111"/>
        <v>#NUM!</v>
      </c>
      <c r="E208" t="e">
        <f t="shared" si="112"/>
        <v>#NUM!</v>
      </c>
      <c r="F208" t="e">
        <f t="shared" si="113"/>
        <v>#NUM!</v>
      </c>
      <c r="G208" t="e">
        <f t="shared" si="114"/>
        <v>#NUM!</v>
      </c>
      <c r="H208" t="e">
        <f t="shared" si="115"/>
        <v>#NUM!</v>
      </c>
      <c r="J208" t="e">
        <f t="shared" si="116"/>
        <v>#NUM!</v>
      </c>
      <c r="K208" t="e">
        <f t="shared" si="117"/>
        <v>#NUM!</v>
      </c>
      <c r="L208" t="e">
        <f t="shared" si="118"/>
        <v>#NUM!</v>
      </c>
      <c r="M208" t="e">
        <f t="shared" si="119"/>
        <v>#NUM!</v>
      </c>
      <c r="N208" t="e">
        <f t="shared" si="120"/>
        <v>#NUM!</v>
      </c>
      <c r="O208" t="e">
        <f t="shared" si="121"/>
        <v>#NUM!</v>
      </c>
      <c r="P208" t="e">
        <f t="shared" si="122"/>
        <v>#NUM!</v>
      </c>
      <c r="Q208" t="e">
        <f t="shared" si="123"/>
        <v>#NUM!</v>
      </c>
      <c r="R208" t="e">
        <f t="shared" si="124"/>
        <v>#NUM!</v>
      </c>
      <c r="S208" t="e">
        <f t="shared" si="125"/>
        <v>#NUM!</v>
      </c>
      <c r="W208" t="e">
        <f t="shared" si="102"/>
        <v>#NUM!</v>
      </c>
      <c r="X208">
        <f t="shared" si="103"/>
        <v>61.570799515387513</v>
      </c>
      <c r="Y208">
        <f t="shared" si="104"/>
        <v>12</v>
      </c>
      <c r="Z208">
        <f t="shared" si="105"/>
        <v>-1.5707963267948966</v>
      </c>
      <c r="AA208" t="e">
        <f t="shared" si="106"/>
        <v>#NUM!</v>
      </c>
      <c r="AB208" t="e">
        <f t="shared" si="107"/>
        <v>#NUM!</v>
      </c>
      <c r="AC208" t="e">
        <f t="shared" si="108"/>
        <v>#NUM!</v>
      </c>
      <c r="AE208">
        <v>3.2153875902064446E-6</v>
      </c>
      <c r="AF208">
        <v>-59.999999999999922</v>
      </c>
      <c r="AH208" s="1">
        <v>202</v>
      </c>
      <c r="AI208" s="1">
        <f t="shared" si="100"/>
        <v>0</v>
      </c>
      <c r="AJ208" s="1">
        <f t="shared" si="100"/>
        <v>0</v>
      </c>
      <c r="AK208" s="2" t="e">
        <f t="shared" si="101"/>
        <v>#NUM!</v>
      </c>
      <c r="AL208" s="2" t="e">
        <f t="shared" si="101"/>
        <v>#NUM!</v>
      </c>
      <c r="AY208">
        <v>-30.582257131227855</v>
      </c>
      <c r="BR208">
        <v>53.079294039092218</v>
      </c>
    </row>
    <row r="209" spans="1:70" x14ac:dyDescent="0.25">
      <c r="A209">
        <v>203</v>
      </c>
      <c r="B209" t="e">
        <f t="shared" si="109"/>
        <v>#NUM!</v>
      </c>
      <c r="C209" t="e">
        <f t="shared" si="110"/>
        <v>#NUM!</v>
      </c>
      <c r="D209" t="e">
        <f t="shared" si="111"/>
        <v>#NUM!</v>
      </c>
      <c r="E209" t="e">
        <f t="shared" si="112"/>
        <v>#NUM!</v>
      </c>
      <c r="F209" t="e">
        <f t="shared" si="113"/>
        <v>#NUM!</v>
      </c>
      <c r="G209" t="e">
        <f t="shared" si="114"/>
        <v>#NUM!</v>
      </c>
      <c r="H209" t="e">
        <f t="shared" si="115"/>
        <v>#NUM!</v>
      </c>
      <c r="J209" t="e">
        <f t="shared" si="116"/>
        <v>#NUM!</v>
      </c>
      <c r="K209" t="e">
        <f t="shared" si="117"/>
        <v>#NUM!</v>
      </c>
      <c r="L209" t="e">
        <f t="shared" si="118"/>
        <v>#NUM!</v>
      </c>
      <c r="M209" t="e">
        <f t="shared" si="119"/>
        <v>#NUM!</v>
      </c>
      <c r="N209" t="e">
        <f t="shared" si="120"/>
        <v>#NUM!</v>
      </c>
      <c r="O209" t="e">
        <f t="shared" si="121"/>
        <v>#NUM!</v>
      </c>
      <c r="P209" t="e">
        <f t="shared" si="122"/>
        <v>#NUM!</v>
      </c>
      <c r="Q209" t="e">
        <f t="shared" si="123"/>
        <v>#NUM!</v>
      </c>
      <c r="R209" t="e">
        <f t="shared" si="124"/>
        <v>#NUM!</v>
      </c>
      <c r="S209" t="e">
        <f t="shared" si="125"/>
        <v>#NUM!</v>
      </c>
      <c r="W209" t="e">
        <f t="shared" si="102"/>
        <v>#NUM!</v>
      </c>
      <c r="X209">
        <f t="shared" si="103"/>
        <v>61.570799515387513</v>
      </c>
      <c r="Y209">
        <f t="shared" si="104"/>
        <v>12</v>
      </c>
      <c r="Z209">
        <f t="shared" si="105"/>
        <v>-1.5707963267948966</v>
      </c>
      <c r="AA209" t="e">
        <f t="shared" si="106"/>
        <v>#NUM!</v>
      </c>
      <c r="AB209" t="e">
        <f t="shared" si="107"/>
        <v>#NUM!</v>
      </c>
      <c r="AC209" t="e">
        <f t="shared" si="108"/>
        <v>#NUM!</v>
      </c>
      <c r="AE209">
        <v>3.2153875902064446E-6</v>
      </c>
      <c r="AF209">
        <v>-59.999999999999922</v>
      </c>
      <c r="AH209" s="1">
        <v>203</v>
      </c>
      <c r="AI209" s="1">
        <f t="shared" si="100"/>
        <v>0</v>
      </c>
      <c r="AJ209" s="1">
        <f t="shared" si="100"/>
        <v>0</v>
      </c>
      <c r="AK209" s="2" t="e">
        <f t="shared" si="101"/>
        <v>#NUM!</v>
      </c>
      <c r="AL209" s="2" t="e">
        <f t="shared" si="101"/>
        <v>#NUM!</v>
      </c>
      <c r="AY209">
        <v>-31.883649842884822</v>
      </c>
      <c r="BR209">
        <v>52.075963842596536</v>
      </c>
    </row>
    <row r="210" spans="1:70" x14ac:dyDescent="0.25">
      <c r="A210">
        <v>204</v>
      </c>
      <c r="B210" t="e">
        <f t="shared" si="109"/>
        <v>#NUM!</v>
      </c>
      <c r="C210" t="e">
        <f t="shared" si="110"/>
        <v>#NUM!</v>
      </c>
      <c r="D210" t="e">
        <f t="shared" si="111"/>
        <v>#NUM!</v>
      </c>
      <c r="E210" t="e">
        <f t="shared" si="112"/>
        <v>#NUM!</v>
      </c>
      <c r="F210" t="e">
        <f t="shared" si="113"/>
        <v>#NUM!</v>
      </c>
      <c r="G210" t="e">
        <f t="shared" si="114"/>
        <v>#NUM!</v>
      </c>
      <c r="H210" t="e">
        <f t="shared" si="115"/>
        <v>#NUM!</v>
      </c>
      <c r="J210" t="e">
        <f t="shared" si="116"/>
        <v>#NUM!</v>
      </c>
      <c r="K210" t="e">
        <f t="shared" si="117"/>
        <v>#NUM!</v>
      </c>
      <c r="L210" t="e">
        <f t="shared" si="118"/>
        <v>#NUM!</v>
      </c>
      <c r="M210" t="e">
        <f t="shared" si="119"/>
        <v>#NUM!</v>
      </c>
      <c r="N210" t="e">
        <f t="shared" si="120"/>
        <v>#NUM!</v>
      </c>
      <c r="O210" t="e">
        <f t="shared" si="121"/>
        <v>#NUM!</v>
      </c>
      <c r="P210" t="e">
        <f t="shared" si="122"/>
        <v>#NUM!</v>
      </c>
      <c r="Q210" t="e">
        <f t="shared" si="123"/>
        <v>#NUM!</v>
      </c>
      <c r="R210" t="e">
        <f t="shared" si="124"/>
        <v>#NUM!</v>
      </c>
      <c r="S210" t="e">
        <f t="shared" si="125"/>
        <v>#NUM!</v>
      </c>
      <c r="W210" t="e">
        <f t="shared" si="102"/>
        <v>#NUM!</v>
      </c>
      <c r="X210">
        <f t="shared" si="103"/>
        <v>61.570799515387513</v>
      </c>
      <c r="Y210">
        <f t="shared" si="104"/>
        <v>12</v>
      </c>
      <c r="Z210">
        <f t="shared" si="105"/>
        <v>-1.5707963267948966</v>
      </c>
      <c r="AA210" t="e">
        <f t="shared" si="106"/>
        <v>#NUM!</v>
      </c>
      <c r="AB210" t="e">
        <f t="shared" si="107"/>
        <v>#NUM!</v>
      </c>
      <c r="AC210" t="e">
        <f t="shared" si="108"/>
        <v>#NUM!</v>
      </c>
      <c r="AE210">
        <v>3.2153875902064446E-6</v>
      </c>
      <c r="AF210">
        <v>-59.999999999999922</v>
      </c>
      <c r="AH210" s="1">
        <v>204</v>
      </c>
      <c r="AI210" s="1">
        <f t="shared" ref="AI210:AJ220" si="126">U210</f>
        <v>0</v>
      </c>
      <c r="AJ210" s="1">
        <f t="shared" si="126"/>
        <v>0</v>
      </c>
      <c r="AK210" s="2" t="e">
        <f t="shared" ref="AK210:AL220" si="127">D210*180/3.1415926</f>
        <v>#NUM!</v>
      </c>
      <c r="AL210" s="2" t="e">
        <f t="shared" si="127"/>
        <v>#NUM!</v>
      </c>
      <c r="AY210">
        <v>-33.176348463939625</v>
      </c>
      <c r="BR210">
        <v>51.040357219639588</v>
      </c>
    </row>
    <row r="211" spans="1:70" x14ac:dyDescent="0.25">
      <c r="A211">
        <v>205</v>
      </c>
      <c r="B211" t="e">
        <f t="shared" si="109"/>
        <v>#NUM!</v>
      </c>
      <c r="C211" t="e">
        <f t="shared" si="110"/>
        <v>#NUM!</v>
      </c>
      <c r="D211" t="e">
        <f t="shared" si="111"/>
        <v>#NUM!</v>
      </c>
      <c r="E211" t="e">
        <f t="shared" si="112"/>
        <v>#NUM!</v>
      </c>
      <c r="F211" t="e">
        <f t="shared" si="113"/>
        <v>#NUM!</v>
      </c>
      <c r="G211" t="e">
        <f t="shared" si="114"/>
        <v>#NUM!</v>
      </c>
      <c r="H211" t="e">
        <f t="shared" si="115"/>
        <v>#NUM!</v>
      </c>
      <c r="J211" t="e">
        <f t="shared" si="116"/>
        <v>#NUM!</v>
      </c>
      <c r="K211" t="e">
        <f t="shared" si="117"/>
        <v>#NUM!</v>
      </c>
      <c r="L211" t="e">
        <f t="shared" si="118"/>
        <v>#NUM!</v>
      </c>
      <c r="M211" t="e">
        <f t="shared" si="119"/>
        <v>#NUM!</v>
      </c>
      <c r="N211" t="e">
        <f t="shared" si="120"/>
        <v>#NUM!</v>
      </c>
      <c r="O211" t="e">
        <f t="shared" si="121"/>
        <v>#NUM!</v>
      </c>
      <c r="P211" t="e">
        <f t="shared" si="122"/>
        <v>#NUM!</v>
      </c>
      <c r="Q211" t="e">
        <f t="shared" si="123"/>
        <v>#NUM!</v>
      </c>
      <c r="R211" t="e">
        <f t="shared" si="124"/>
        <v>#NUM!</v>
      </c>
      <c r="S211" t="e">
        <f t="shared" si="125"/>
        <v>#NUM!</v>
      </c>
      <c r="W211" t="e">
        <f t="shared" si="102"/>
        <v>#NUM!</v>
      </c>
      <c r="X211">
        <f t="shared" si="103"/>
        <v>61.570799515387513</v>
      </c>
      <c r="Y211">
        <f t="shared" si="104"/>
        <v>12</v>
      </c>
      <c r="Z211">
        <f t="shared" si="105"/>
        <v>-1.5707963267948966</v>
      </c>
      <c r="AA211" t="e">
        <f t="shared" si="106"/>
        <v>#NUM!</v>
      </c>
      <c r="AB211" t="e">
        <f t="shared" si="107"/>
        <v>#NUM!</v>
      </c>
      <c r="AC211" t="e">
        <f t="shared" si="108"/>
        <v>#NUM!</v>
      </c>
      <c r="AE211">
        <v>3.2153875902064446E-6</v>
      </c>
      <c r="AF211">
        <v>-59.999999999999922</v>
      </c>
      <c r="AH211" s="1">
        <v>205</v>
      </c>
      <c r="AI211" s="1">
        <f t="shared" si="126"/>
        <v>0</v>
      </c>
      <c r="AJ211" s="1">
        <f t="shared" si="126"/>
        <v>0</v>
      </c>
      <c r="AK211" s="2" t="e">
        <f t="shared" si="127"/>
        <v>#NUM!</v>
      </c>
      <c r="AL211" s="2" t="e">
        <f t="shared" si="127"/>
        <v>#NUM!</v>
      </c>
      <c r="AY211">
        <v>-34.459522230103559</v>
      </c>
      <c r="BR211">
        <v>49.971849669381655</v>
      </c>
    </row>
    <row r="212" spans="1:70" x14ac:dyDescent="0.25">
      <c r="A212">
        <v>206</v>
      </c>
      <c r="B212" t="e">
        <f t="shared" si="109"/>
        <v>#NUM!</v>
      </c>
      <c r="C212" t="e">
        <f t="shared" si="110"/>
        <v>#NUM!</v>
      </c>
      <c r="D212" t="e">
        <f t="shared" si="111"/>
        <v>#NUM!</v>
      </c>
      <c r="E212" t="e">
        <f t="shared" si="112"/>
        <v>#NUM!</v>
      </c>
      <c r="F212" t="e">
        <f t="shared" si="113"/>
        <v>#NUM!</v>
      </c>
      <c r="G212" t="e">
        <f t="shared" si="114"/>
        <v>#NUM!</v>
      </c>
      <c r="H212" t="e">
        <f t="shared" si="115"/>
        <v>#NUM!</v>
      </c>
      <c r="J212" t="e">
        <f t="shared" si="116"/>
        <v>#NUM!</v>
      </c>
      <c r="K212" t="e">
        <f t="shared" si="117"/>
        <v>#NUM!</v>
      </c>
      <c r="L212" t="e">
        <f t="shared" si="118"/>
        <v>#NUM!</v>
      </c>
      <c r="M212" t="e">
        <f t="shared" si="119"/>
        <v>#NUM!</v>
      </c>
      <c r="N212" t="e">
        <f t="shared" si="120"/>
        <v>#NUM!</v>
      </c>
      <c r="O212" t="e">
        <f t="shared" si="121"/>
        <v>#NUM!</v>
      </c>
      <c r="P212" t="e">
        <f t="shared" si="122"/>
        <v>#NUM!</v>
      </c>
      <c r="Q212" t="e">
        <f t="shared" si="123"/>
        <v>#NUM!</v>
      </c>
      <c r="R212" t="e">
        <f t="shared" si="124"/>
        <v>#NUM!</v>
      </c>
      <c r="S212" t="e">
        <f t="shared" si="125"/>
        <v>#NUM!</v>
      </c>
      <c r="W212" t="e">
        <f t="shared" si="102"/>
        <v>#NUM!</v>
      </c>
      <c r="X212">
        <f t="shared" si="103"/>
        <v>61.570799515387513</v>
      </c>
      <c r="Y212">
        <f t="shared" si="104"/>
        <v>12</v>
      </c>
      <c r="Z212">
        <f t="shared" si="105"/>
        <v>-1.5707963267948966</v>
      </c>
      <c r="AA212" t="e">
        <f t="shared" si="106"/>
        <v>#NUM!</v>
      </c>
      <c r="AB212" t="e">
        <f t="shared" si="107"/>
        <v>#NUM!</v>
      </c>
      <c r="AC212" t="e">
        <f t="shared" si="108"/>
        <v>#NUM!</v>
      </c>
      <c r="AE212">
        <v>3.2153875902064446E-6</v>
      </c>
      <c r="AF212">
        <v>-59.999999999999922</v>
      </c>
      <c r="AH212" s="1">
        <v>206</v>
      </c>
      <c r="AI212" s="1">
        <f t="shared" si="126"/>
        <v>0</v>
      </c>
      <c r="AJ212" s="1">
        <f t="shared" si="126"/>
        <v>0</v>
      </c>
      <c r="AK212" s="2" t="e">
        <f t="shared" si="127"/>
        <v>#NUM!</v>
      </c>
      <c r="AL212" s="2" t="e">
        <f t="shared" si="127"/>
        <v>#NUM!</v>
      </c>
      <c r="AY212">
        <v>-35.732275734705851</v>
      </c>
      <c r="BR212">
        <v>48.869798585657506</v>
      </c>
    </row>
    <row r="213" spans="1:70" x14ac:dyDescent="0.25">
      <c r="A213">
        <v>207</v>
      </c>
      <c r="B213" t="e">
        <f t="shared" si="109"/>
        <v>#NUM!</v>
      </c>
      <c r="C213" t="e">
        <f t="shared" si="110"/>
        <v>#NUM!</v>
      </c>
      <c r="D213" t="e">
        <f t="shared" si="111"/>
        <v>#NUM!</v>
      </c>
      <c r="E213" t="e">
        <f t="shared" si="112"/>
        <v>#NUM!</v>
      </c>
      <c r="F213" t="e">
        <f t="shared" si="113"/>
        <v>#NUM!</v>
      </c>
      <c r="G213" t="e">
        <f t="shared" si="114"/>
        <v>#NUM!</v>
      </c>
      <c r="H213" t="e">
        <f t="shared" si="115"/>
        <v>#NUM!</v>
      </c>
      <c r="J213" t="e">
        <f t="shared" si="116"/>
        <v>#NUM!</v>
      </c>
      <c r="K213" t="e">
        <f t="shared" si="117"/>
        <v>#NUM!</v>
      </c>
      <c r="L213" t="e">
        <f t="shared" si="118"/>
        <v>#NUM!</v>
      </c>
      <c r="M213" t="e">
        <f t="shared" si="119"/>
        <v>#NUM!</v>
      </c>
      <c r="N213" t="e">
        <f t="shared" si="120"/>
        <v>#NUM!</v>
      </c>
      <c r="O213" t="e">
        <f t="shared" si="121"/>
        <v>#NUM!</v>
      </c>
      <c r="P213" t="e">
        <f t="shared" si="122"/>
        <v>#NUM!</v>
      </c>
      <c r="Q213" t="e">
        <f t="shared" si="123"/>
        <v>#NUM!</v>
      </c>
      <c r="R213" t="e">
        <f t="shared" si="124"/>
        <v>#NUM!</v>
      </c>
      <c r="S213" t="e">
        <f t="shared" si="125"/>
        <v>#NUM!</v>
      </c>
      <c r="W213" t="e">
        <f t="shared" si="102"/>
        <v>#NUM!</v>
      </c>
      <c r="X213">
        <f t="shared" si="103"/>
        <v>61.570799515387513</v>
      </c>
      <c r="Y213">
        <f t="shared" si="104"/>
        <v>12</v>
      </c>
      <c r="Z213">
        <f t="shared" si="105"/>
        <v>-1.5707963267948966</v>
      </c>
      <c r="AA213" t="e">
        <f t="shared" si="106"/>
        <v>#NUM!</v>
      </c>
      <c r="AB213" t="e">
        <f t="shared" si="107"/>
        <v>#NUM!</v>
      </c>
      <c r="AC213" t="e">
        <f t="shared" si="108"/>
        <v>#NUM!</v>
      </c>
      <c r="AE213">
        <v>3.2153875902064446E-6</v>
      </c>
      <c r="AF213">
        <v>-59.999999999999922</v>
      </c>
      <c r="AH213" s="1">
        <v>207</v>
      </c>
      <c r="AI213" s="1">
        <f t="shared" si="126"/>
        <v>0</v>
      </c>
      <c r="AJ213" s="1">
        <f t="shared" si="126"/>
        <v>0</v>
      </c>
      <c r="AK213" s="2" t="e">
        <f t="shared" si="127"/>
        <v>#NUM!</v>
      </c>
      <c r="AL213" s="2" t="e">
        <f t="shared" si="127"/>
        <v>#NUM!</v>
      </c>
      <c r="AY213">
        <v>-36.99363909448315</v>
      </c>
      <c r="BR213">
        <v>47.73354850769006</v>
      </c>
    </row>
    <row r="214" spans="1:70" x14ac:dyDescent="0.25">
      <c r="A214">
        <v>208</v>
      </c>
      <c r="B214" t="e">
        <f t="shared" si="109"/>
        <v>#NUM!</v>
      </c>
      <c r="C214" t="e">
        <f t="shared" si="110"/>
        <v>#NUM!</v>
      </c>
      <c r="D214" t="e">
        <f t="shared" si="111"/>
        <v>#NUM!</v>
      </c>
      <c r="E214" t="e">
        <f t="shared" si="112"/>
        <v>#NUM!</v>
      </c>
      <c r="F214" t="e">
        <f t="shared" si="113"/>
        <v>#NUM!</v>
      </c>
      <c r="G214" t="e">
        <f t="shared" si="114"/>
        <v>#NUM!</v>
      </c>
      <c r="H214" t="e">
        <f t="shared" si="115"/>
        <v>#NUM!</v>
      </c>
      <c r="J214" t="e">
        <f t="shared" si="116"/>
        <v>#NUM!</v>
      </c>
      <c r="K214" t="e">
        <f t="shared" si="117"/>
        <v>#NUM!</v>
      </c>
      <c r="L214" t="e">
        <f t="shared" si="118"/>
        <v>#NUM!</v>
      </c>
      <c r="M214" t="e">
        <f t="shared" si="119"/>
        <v>#NUM!</v>
      </c>
      <c r="N214" t="e">
        <f t="shared" si="120"/>
        <v>#NUM!</v>
      </c>
      <c r="O214" t="e">
        <f t="shared" si="121"/>
        <v>#NUM!</v>
      </c>
      <c r="P214" t="e">
        <f t="shared" si="122"/>
        <v>#NUM!</v>
      </c>
      <c r="Q214" t="e">
        <f t="shared" si="123"/>
        <v>#NUM!</v>
      </c>
      <c r="R214" t="e">
        <f t="shared" si="124"/>
        <v>#NUM!</v>
      </c>
      <c r="S214" t="e">
        <f t="shared" si="125"/>
        <v>#NUM!</v>
      </c>
      <c r="W214" t="e">
        <f t="shared" si="102"/>
        <v>#NUM!</v>
      </c>
      <c r="X214">
        <f t="shared" si="103"/>
        <v>61.570799515387513</v>
      </c>
      <c r="Y214">
        <f t="shared" si="104"/>
        <v>12</v>
      </c>
      <c r="Z214">
        <f t="shared" si="105"/>
        <v>-1.5707963267948966</v>
      </c>
      <c r="AA214" t="e">
        <f t="shared" si="106"/>
        <v>#NUM!</v>
      </c>
      <c r="AB214" t="e">
        <f t="shared" si="107"/>
        <v>#NUM!</v>
      </c>
      <c r="AC214" t="e">
        <f t="shared" si="108"/>
        <v>#NUM!</v>
      </c>
      <c r="AE214">
        <v>3.2153875902064446E-6</v>
      </c>
      <c r="AF214">
        <v>-59.999999999999922</v>
      </c>
      <c r="AH214" s="1">
        <v>208</v>
      </c>
      <c r="AI214" s="1">
        <f t="shared" si="126"/>
        <v>0</v>
      </c>
      <c r="AJ214" s="1">
        <f t="shared" si="126"/>
        <v>0</v>
      </c>
      <c r="AK214" s="2" t="e">
        <f t="shared" si="127"/>
        <v>#NUM!</v>
      </c>
      <c r="AL214" s="2" t="e">
        <f t="shared" si="127"/>
        <v>#NUM!</v>
      </c>
      <c r="AY214">
        <v>-38.242558539797471</v>
      </c>
      <c r="BR214">
        <v>46.562437824745132</v>
      </c>
    </row>
    <row r="215" spans="1:70" x14ac:dyDescent="0.25">
      <c r="A215">
        <v>209</v>
      </c>
      <c r="B215" t="e">
        <f t="shared" si="109"/>
        <v>#NUM!</v>
      </c>
      <c r="C215" t="e">
        <f t="shared" si="110"/>
        <v>#NUM!</v>
      </c>
      <c r="D215" t="e">
        <f t="shared" si="111"/>
        <v>#NUM!</v>
      </c>
      <c r="E215" t="e">
        <f t="shared" si="112"/>
        <v>#NUM!</v>
      </c>
      <c r="F215" t="e">
        <f t="shared" si="113"/>
        <v>#NUM!</v>
      </c>
      <c r="G215" t="e">
        <f t="shared" si="114"/>
        <v>#NUM!</v>
      </c>
      <c r="H215" t="e">
        <f t="shared" si="115"/>
        <v>#NUM!</v>
      </c>
      <c r="J215" t="e">
        <f t="shared" si="116"/>
        <v>#NUM!</v>
      </c>
      <c r="K215" t="e">
        <f t="shared" si="117"/>
        <v>#NUM!</v>
      </c>
      <c r="L215" t="e">
        <f t="shared" si="118"/>
        <v>#NUM!</v>
      </c>
      <c r="M215" t="e">
        <f t="shared" si="119"/>
        <v>#NUM!</v>
      </c>
      <c r="N215" t="e">
        <f t="shared" si="120"/>
        <v>#NUM!</v>
      </c>
      <c r="O215" t="e">
        <f t="shared" si="121"/>
        <v>#NUM!</v>
      </c>
      <c r="P215" t="e">
        <f t="shared" si="122"/>
        <v>#NUM!</v>
      </c>
      <c r="Q215" t="e">
        <f t="shared" si="123"/>
        <v>#NUM!</v>
      </c>
      <c r="R215" t="e">
        <f t="shared" si="124"/>
        <v>#NUM!</v>
      </c>
      <c r="S215" t="e">
        <f t="shared" si="125"/>
        <v>#NUM!</v>
      </c>
      <c r="W215" t="e">
        <f t="shared" si="102"/>
        <v>#NUM!</v>
      </c>
      <c r="X215">
        <f t="shared" si="103"/>
        <v>61.570799515387513</v>
      </c>
      <c r="Y215">
        <f t="shared" si="104"/>
        <v>12</v>
      </c>
      <c r="Z215">
        <f t="shared" si="105"/>
        <v>-1.5707963267948966</v>
      </c>
      <c r="AA215" t="e">
        <f t="shared" si="106"/>
        <v>#NUM!</v>
      </c>
      <c r="AB215" t="e">
        <f t="shared" si="107"/>
        <v>#NUM!</v>
      </c>
      <c r="AC215" t="e">
        <f t="shared" si="108"/>
        <v>#NUM!</v>
      </c>
      <c r="AE215">
        <v>3.2153875902064446E-6</v>
      </c>
      <c r="AF215">
        <v>-59.999999999999922</v>
      </c>
      <c r="AH215" s="1">
        <v>209</v>
      </c>
      <c r="AI215" s="1">
        <f t="shared" si="126"/>
        <v>0</v>
      </c>
      <c r="AJ215" s="1">
        <f t="shared" si="126"/>
        <v>0</v>
      </c>
      <c r="AK215" s="2" t="e">
        <f t="shared" si="127"/>
        <v>#NUM!</v>
      </c>
      <c r="AL215" s="2" t="e">
        <f t="shared" si="127"/>
        <v>#NUM!</v>
      </c>
      <c r="AY215">
        <v>-39.477887606536221</v>
      </c>
      <c r="BR215">
        <v>45.355806984963216</v>
      </c>
    </row>
    <row r="216" spans="1:70" x14ac:dyDescent="0.25">
      <c r="A216">
        <v>210</v>
      </c>
      <c r="B216" t="e">
        <f t="shared" si="109"/>
        <v>#NUM!</v>
      </c>
      <c r="C216" t="e">
        <f t="shared" si="110"/>
        <v>#NUM!</v>
      </c>
      <c r="D216" t="e">
        <f t="shared" si="111"/>
        <v>#NUM!</v>
      </c>
      <c r="E216" t="e">
        <f t="shared" si="112"/>
        <v>#NUM!</v>
      </c>
      <c r="F216" t="e">
        <f t="shared" si="113"/>
        <v>#NUM!</v>
      </c>
      <c r="G216" t="e">
        <f t="shared" si="114"/>
        <v>#NUM!</v>
      </c>
      <c r="H216" t="e">
        <f t="shared" si="115"/>
        <v>#NUM!</v>
      </c>
      <c r="J216" t="e">
        <f t="shared" si="116"/>
        <v>#NUM!</v>
      </c>
      <c r="K216" t="e">
        <f t="shared" si="117"/>
        <v>#NUM!</v>
      </c>
      <c r="L216" t="e">
        <f t="shared" si="118"/>
        <v>#NUM!</v>
      </c>
      <c r="M216" t="e">
        <f t="shared" si="119"/>
        <v>#NUM!</v>
      </c>
      <c r="N216" t="e">
        <f t="shared" si="120"/>
        <v>#NUM!</v>
      </c>
      <c r="O216" t="e">
        <f t="shared" si="121"/>
        <v>#NUM!</v>
      </c>
      <c r="P216" t="e">
        <f t="shared" si="122"/>
        <v>#NUM!</v>
      </c>
      <c r="Q216" t="e">
        <f t="shared" si="123"/>
        <v>#NUM!</v>
      </c>
      <c r="R216" t="e">
        <f t="shared" si="124"/>
        <v>#NUM!</v>
      </c>
      <c r="S216" t="e">
        <f t="shared" si="125"/>
        <v>#NUM!</v>
      </c>
      <c r="W216" t="e">
        <f t="shared" si="102"/>
        <v>#NUM!</v>
      </c>
      <c r="X216">
        <f t="shared" si="103"/>
        <v>61.570799515387513</v>
      </c>
      <c r="Y216">
        <f t="shared" si="104"/>
        <v>12</v>
      </c>
      <c r="Z216">
        <f t="shared" si="105"/>
        <v>-1.5707963267948966</v>
      </c>
      <c r="AA216" t="e">
        <f t="shared" si="106"/>
        <v>#NUM!</v>
      </c>
      <c r="AB216" t="e">
        <f t="shared" si="107"/>
        <v>#NUM!</v>
      </c>
      <c r="AC216" t="e">
        <f t="shared" si="108"/>
        <v>#NUM!</v>
      </c>
      <c r="AE216">
        <v>3.2153875902064446E-6</v>
      </c>
      <c r="AF216">
        <v>-59.999999999999922</v>
      </c>
      <c r="AH216" s="1">
        <v>210</v>
      </c>
      <c r="AI216" s="1">
        <f t="shared" si="126"/>
        <v>0</v>
      </c>
      <c r="AJ216" s="1">
        <f t="shared" si="126"/>
        <v>0</v>
      </c>
      <c r="AK216" s="2" t="e">
        <f t="shared" si="127"/>
        <v>#NUM!</v>
      </c>
      <c r="AL216" s="2" t="e">
        <f t="shared" si="127"/>
        <v>#NUM!</v>
      </c>
      <c r="AY216">
        <v>-40.698379142616446</v>
      </c>
      <c r="BR216">
        <v>44.113008230866818</v>
      </c>
    </row>
    <row r="217" spans="1:70" x14ac:dyDescent="0.25">
      <c r="A217">
        <v>211</v>
      </c>
      <c r="B217" t="e">
        <f t="shared" si="109"/>
        <v>#NUM!</v>
      </c>
      <c r="C217" t="e">
        <f t="shared" si="110"/>
        <v>#NUM!</v>
      </c>
      <c r="D217" t="e">
        <f t="shared" si="111"/>
        <v>#NUM!</v>
      </c>
      <c r="E217" t="e">
        <f t="shared" si="112"/>
        <v>#NUM!</v>
      </c>
      <c r="F217" t="e">
        <f t="shared" si="113"/>
        <v>#NUM!</v>
      </c>
      <c r="G217" t="e">
        <f t="shared" si="114"/>
        <v>#NUM!</v>
      </c>
      <c r="H217" t="e">
        <f t="shared" si="115"/>
        <v>#NUM!</v>
      </c>
      <c r="J217" t="e">
        <f t="shared" si="116"/>
        <v>#NUM!</v>
      </c>
      <c r="K217" t="e">
        <f t="shared" si="117"/>
        <v>#NUM!</v>
      </c>
      <c r="L217" t="e">
        <f t="shared" si="118"/>
        <v>#NUM!</v>
      </c>
      <c r="M217" t="e">
        <f t="shared" si="119"/>
        <v>#NUM!</v>
      </c>
      <c r="N217" t="e">
        <f t="shared" si="120"/>
        <v>#NUM!</v>
      </c>
      <c r="O217" t="e">
        <f t="shared" si="121"/>
        <v>#NUM!</v>
      </c>
      <c r="P217" t="e">
        <f t="shared" si="122"/>
        <v>#NUM!</v>
      </c>
      <c r="Q217" t="e">
        <f t="shared" si="123"/>
        <v>#NUM!</v>
      </c>
      <c r="R217" t="e">
        <f t="shared" si="124"/>
        <v>#NUM!</v>
      </c>
      <c r="S217" t="e">
        <f t="shared" si="125"/>
        <v>#NUM!</v>
      </c>
      <c r="W217" t="e">
        <f t="shared" si="102"/>
        <v>#NUM!</v>
      </c>
      <c r="X217">
        <f t="shared" si="103"/>
        <v>61.570799515387513</v>
      </c>
      <c r="Y217">
        <f t="shared" si="104"/>
        <v>12</v>
      </c>
      <c r="Z217">
        <f t="shared" si="105"/>
        <v>-1.5707963267948966</v>
      </c>
      <c r="AA217" t="e">
        <f t="shared" si="106"/>
        <v>#NUM!</v>
      </c>
      <c r="AB217" t="e">
        <f t="shared" si="107"/>
        <v>#NUM!</v>
      </c>
      <c r="AC217" t="e">
        <f t="shared" si="108"/>
        <v>#NUM!</v>
      </c>
      <c r="AE217">
        <v>3.2153875902064446E-6</v>
      </c>
      <c r="AF217">
        <v>-59.999999999999922</v>
      </c>
      <c r="AH217" s="1">
        <v>211</v>
      </c>
      <c r="AI217" s="1">
        <f t="shared" si="126"/>
        <v>0</v>
      </c>
      <c r="AJ217" s="1">
        <f t="shared" si="126"/>
        <v>0</v>
      </c>
      <c r="AK217" s="2" t="e">
        <f t="shared" si="127"/>
        <v>#NUM!</v>
      </c>
      <c r="AL217" s="2" t="e">
        <f t="shared" si="127"/>
        <v>#NUM!</v>
      </c>
      <c r="AY217">
        <v>-41.902678372794895</v>
      </c>
      <c r="BR217">
        <v>42.833416847652401</v>
      </c>
    </row>
    <row r="218" spans="1:70" x14ac:dyDescent="0.25">
      <c r="A218">
        <v>212</v>
      </c>
      <c r="B218" t="e">
        <f t="shared" si="109"/>
        <v>#NUM!</v>
      </c>
      <c r="C218" t="e">
        <f t="shared" si="110"/>
        <v>#NUM!</v>
      </c>
      <c r="D218" t="e">
        <f t="shared" si="111"/>
        <v>#NUM!</v>
      </c>
      <c r="E218" t="e">
        <f t="shared" si="112"/>
        <v>#NUM!</v>
      </c>
      <c r="F218" t="e">
        <f t="shared" si="113"/>
        <v>#NUM!</v>
      </c>
      <c r="G218" t="e">
        <f t="shared" si="114"/>
        <v>#NUM!</v>
      </c>
      <c r="H218" t="e">
        <f t="shared" si="115"/>
        <v>#NUM!</v>
      </c>
      <c r="J218" t="e">
        <f t="shared" si="116"/>
        <v>#NUM!</v>
      </c>
      <c r="K218" t="e">
        <f t="shared" si="117"/>
        <v>#NUM!</v>
      </c>
      <c r="L218" t="e">
        <f t="shared" si="118"/>
        <v>#NUM!</v>
      </c>
      <c r="M218" t="e">
        <f t="shared" si="119"/>
        <v>#NUM!</v>
      </c>
      <c r="N218" t="e">
        <f t="shared" si="120"/>
        <v>#NUM!</v>
      </c>
      <c r="O218" t="e">
        <f t="shared" si="121"/>
        <v>#NUM!</v>
      </c>
      <c r="P218" t="e">
        <f t="shared" si="122"/>
        <v>#NUM!</v>
      </c>
      <c r="Q218" t="e">
        <f t="shared" si="123"/>
        <v>#NUM!</v>
      </c>
      <c r="R218" t="e">
        <f t="shared" si="124"/>
        <v>#NUM!</v>
      </c>
      <c r="S218" t="e">
        <f t="shared" si="125"/>
        <v>#NUM!</v>
      </c>
      <c r="W218" t="e">
        <f t="shared" si="102"/>
        <v>#NUM!</v>
      </c>
      <c r="X218">
        <f t="shared" si="103"/>
        <v>61.570799515387513</v>
      </c>
      <c r="Y218">
        <f t="shared" si="104"/>
        <v>12</v>
      </c>
      <c r="Z218">
        <f t="shared" si="105"/>
        <v>-1.5707963267948966</v>
      </c>
      <c r="AA218" t="e">
        <f t="shared" si="106"/>
        <v>#NUM!</v>
      </c>
      <c r="AB218" t="e">
        <f t="shared" si="107"/>
        <v>#NUM!</v>
      </c>
      <c r="AC218" t="e">
        <f t="shared" si="108"/>
        <v>#NUM!</v>
      </c>
      <c r="AE218">
        <v>3.2153875902064446E-6</v>
      </c>
      <c r="AF218">
        <v>-59.999999999999922</v>
      </c>
      <c r="AH218" s="1">
        <v>212</v>
      </c>
      <c r="AI218" s="1">
        <f t="shared" si="126"/>
        <v>0</v>
      </c>
      <c r="AJ218" s="1">
        <f t="shared" si="126"/>
        <v>0</v>
      </c>
      <c r="AK218" s="2" t="e">
        <f t="shared" si="127"/>
        <v>#NUM!</v>
      </c>
      <c r="AL218" s="2" t="e">
        <f t="shared" si="127"/>
        <v>#NUM!</v>
      </c>
      <c r="AY218">
        <v>-43.089317289558807</v>
      </c>
      <c r="BR218">
        <v>41.516443865451222</v>
      </c>
    </row>
    <row r="219" spans="1:70" x14ac:dyDescent="0.25">
      <c r="A219">
        <v>213</v>
      </c>
      <c r="B219">
        <f t="shared" ref="B219:B252" si="128">AB219</f>
        <v>0</v>
      </c>
      <c r="C219">
        <f t="shared" ref="C219:C252" si="129">AC219</f>
        <v>0</v>
      </c>
      <c r="D219">
        <f t="shared" ref="D219:D252" si="130">3.14159265358/2-G219-H219</f>
        <v>-4.8965276278067904E-12</v>
      </c>
      <c r="E219">
        <f t="shared" ref="E219:E252" si="131">3.1415926/2+L219-M219</f>
        <v>3.1415926267948961</v>
      </c>
      <c r="F219">
        <f t="shared" ref="F219:F252" si="132">SQRT( C219*C219+(B219+$G$2)*(B219+$G$2)     )</f>
        <v>12</v>
      </c>
      <c r="G219">
        <f t="shared" ref="G219:G252" si="133">ATAN2(  C219, -B219-$G$2)</f>
        <v>-1.5707963267948966</v>
      </c>
      <c r="H219">
        <f t="shared" ref="H219:H252" si="134" xml:space="preserve"> ACOS((F219*F219+$C$2*$C$2-$E$2*$E$2)/(2*F219*$C$2))</f>
        <v>3.1415926535897931</v>
      </c>
      <c r="J219">
        <f t="shared" ref="J219:J252" si="135">G219*180/3.1415926</f>
        <v>-90.000001535234517</v>
      </c>
      <c r="K219">
        <f t="shared" ref="K219:K252" si="136">H219*180/3.1415926</f>
        <v>180.00000307046903</v>
      </c>
      <c r="L219">
        <f t="shared" ref="L219:L252" si="137">ACOS( ($C$2*$C$2+N219*N219-$E$2*$E$2)/(2*$C$2*N219))</f>
        <v>3.1415926535897931</v>
      </c>
      <c r="M219">
        <f t="shared" ref="M219:M252" si="138">ATAN2(C219,-B219+$G$2)</f>
        <v>1.5707963267948966</v>
      </c>
      <c r="N219">
        <f t="shared" ref="N219:N252" si="139">SQRT(C219*C219+(-B219+$G$2)*(-B219+$G$2))</f>
        <v>12</v>
      </c>
      <c r="O219">
        <f t="shared" ref="O219:O252" si="140">L219*180/3.1415926</f>
        <v>180.00000307046903</v>
      </c>
      <c r="P219">
        <f t="shared" ref="P219:P252" si="141">M219*180/3.1415926</f>
        <v>90.000001535234517</v>
      </c>
      <c r="Q219">
        <f t="shared" ref="Q219:Q252" si="142">D219*180/3.1415926</f>
        <v>-2.8055037212820727E-10</v>
      </c>
      <c r="R219">
        <f t="shared" ref="R219:R252" si="143">E219*180/3.1415926</f>
        <v>180.0000015352345</v>
      </c>
      <c r="S219">
        <f t="shared" ref="S219:S252" si="144" xml:space="preserve"> ((F219*F219+$C$2*$C$2-$E$2*$E$2)/(2*F219*$C$2))</f>
        <v>-1</v>
      </c>
      <c r="AH219" s="1">
        <v>213</v>
      </c>
      <c r="AI219" s="1">
        <f t="shared" si="126"/>
        <v>0</v>
      </c>
      <c r="AJ219" s="1">
        <f t="shared" si="126"/>
        <v>0</v>
      </c>
      <c r="AK219" s="2">
        <f t="shared" si="127"/>
        <v>-2.8055037212820727E-10</v>
      </c>
      <c r="AL219" s="2">
        <f t="shared" si="127"/>
        <v>180.0000015352345</v>
      </c>
      <c r="AY219">
        <v>-44.25671065311036</v>
      </c>
      <c r="BR219">
        <v>40.16155010390316</v>
      </c>
    </row>
    <row r="220" spans="1:70" x14ac:dyDescent="0.25">
      <c r="A220">
        <v>214</v>
      </c>
      <c r="B220">
        <f t="shared" si="128"/>
        <v>0</v>
      </c>
      <c r="C220">
        <f t="shared" si="129"/>
        <v>0</v>
      </c>
      <c r="D220">
        <f t="shared" si="130"/>
        <v>-4.8965276278067904E-12</v>
      </c>
      <c r="E220">
        <f t="shared" si="131"/>
        <v>3.1415926267948961</v>
      </c>
      <c r="F220">
        <f t="shared" si="132"/>
        <v>12</v>
      </c>
      <c r="G220">
        <f t="shared" si="133"/>
        <v>-1.5707963267948966</v>
      </c>
      <c r="H220">
        <f t="shared" si="134"/>
        <v>3.1415926535897931</v>
      </c>
      <c r="J220">
        <f t="shared" si="135"/>
        <v>-90.000001535234517</v>
      </c>
      <c r="K220">
        <f t="shared" si="136"/>
        <v>180.00000307046903</v>
      </c>
      <c r="L220">
        <f t="shared" si="137"/>
        <v>3.1415926535897931</v>
      </c>
      <c r="M220">
        <f t="shared" si="138"/>
        <v>1.5707963267948966</v>
      </c>
      <c r="N220">
        <f t="shared" si="139"/>
        <v>12</v>
      </c>
      <c r="O220">
        <f t="shared" si="140"/>
        <v>180.00000307046903</v>
      </c>
      <c r="P220">
        <f t="shared" si="141"/>
        <v>90.000001535234517</v>
      </c>
      <c r="Q220">
        <f t="shared" si="142"/>
        <v>-2.8055037212820727E-10</v>
      </c>
      <c r="R220">
        <f t="shared" si="143"/>
        <v>180.0000015352345</v>
      </c>
      <c r="S220">
        <f t="shared" si="144"/>
        <v>-1</v>
      </c>
      <c r="AH220" s="1">
        <v>214</v>
      </c>
      <c r="AI220" s="1">
        <f t="shared" si="126"/>
        <v>0</v>
      </c>
      <c r="AJ220" s="1">
        <f t="shared" si="126"/>
        <v>0</v>
      </c>
      <c r="AK220" s="2">
        <f t="shared" si="127"/>
        <v>-2.8055037212820727E-10</v>
      </c>
      <c r="AL220" s="2">
        <f t="shared" si="127"/>
        <v>180.0000015352345</v>
      </c>
      <c r="AY220">
        <v>-45.403153887555582</v>
      </c>
      <c r="BR220">
        <v>38.76826138789135</v>
      </c>
    </row>
    <row r="221" spans="1:70" x14ac:dyDescent="0.25">
      <c r="A221">
        <v>215</v>
      </c>
      <c r="B221">
        <f t="shared" si="128"/>
        <v>0</v>
      </c>
      <c r="C221">
        <f t="shared" si="129"/>
        <v>0</v>
      </c>
      <c r="D221">
        <f t="shared" si="130"/>
        <v>-4.8965276278067904E-12</v>
      </c>
      <c r="E221">
        <f t="shared" si="131"/>
        <v>3.1415926267948961</v>
      </c>
      <c r="F221">
        <f t="shared" si="132"/>
        <v>12</v>
      </c>
      <c r="G221">
        <f t="shared" si="133"/>
        <v>-1.5707963267948966</v>
      </c>
      <c r="H221">
        <f t="shared" si="134"/>
        <v>3.1415926535897931</v>
      </c>
      <c r="J221">
        <f t="shared" si="135"/>
        <v>-90.000001535234517</v>
      </c>
      <c r="K221">
        <f t="shared" si="136"/>
        <v>180.00000307046903</v>
      </c>
      <c r="L221">
        <f t="shared" si="137"/>
        <v>3.1415926535897931</v>
      </c>
      <c r="M221">
        <f t="shared" si="138"/>
        <v>1.5707963267948966</v>
      </c>
      <c r="N221">
        <f t="shared" si="139"/>
        <v>12</v>
      </c>
      <c r="O221">
        <f t="shared" si="140"/>
        <v>180.00000307046903</v>
      </c>
      <c r="P221">
        <f t="shared" si="141"/>
        <v>90.000001535234517</v>
      </c>
      <c r="Q221">
        <f t="shared" si="142"/>
        <v>-2.8055037212820727E-10</v>
      </c>
      <c r="R221">
        <f t="shared" si="143"/>
        <v>180.0000015352345</v>
      </c>
      <c r="S221">
        <f t="shared" si="144"/>
        <v>-1</v>
      </c>
      <c r="AY221">
        <v>-46.526823151096757</v>
      </c>
      <c r="BR221">
        <v>37.336184699123891</v>
      </c>
    </row>
    <row r="222" spans="1:70" x14ac:dyDescent="0.25">
      <c r="A222">
        <v>216</v>
      </c>
      <c r="B222">
        <f t="shared" si="128"/>
        <v>0</v>
      </c>
      <c r="C222">
        <f t="shared" si="129"/>
        <v>0</v>
      </c>
      <c r="D222">
        <f t="shared" si="130"/>
        <v>-4.8965276278067904E-12</v>
      </c>
      <c r="E222">
        <f t="shared" si="131"/>
        <v>3.1415926267948961</v>
      </c>
      <c r="F222">
        <f t="shared" si="132"/>
        <v>12</v>
      </c>
      <c r="G222">
        <f t="shared" si="133"/>
        <v>-1.5707963267948966</v>
      </c>
      <c r="H222">
        <f t="shared" si="134"/>
        <v>3.1415926535897931</v>
      </c>
      <c r="J222">
        <f t="shared" si="135"/>
        <v>-90.000001535234517</v>
      </c>
      <c r="K222">
        <f t="shared" si="136"/>
        <v>180.00000307046903</v>
      </c>
      <c r="L222">
        <f t="shared" si="137"/>
        <v>3.1415926535897931</v>
      </c>
      <c r="M222">
        <f t="shared" si="138"/>
        <v>1.5707963267948966</v>
      </c>
      <c r="N222">
        <f t="shared" si="139"/>
        <v>12</v>
      </c>
      <c r="O222">
        <f t="shared" si="140"/>
        <v>180.00000307046903</v>
      </c>
      <c r="P222">
        <f t="shared" si="141"/>
        <v>90.000001535234517</v>
      </c>
      <c r="Q222">
        <f t="shared" si="142"/>
        <v>-2.8055037212820727E-10</v>
      </c>
      <c r="R222">
        <f t="shared" si="143"/>
        <v>180.0000015352345</v>
      </c>
      <c r="S222">
        <f t="shared" si="144"/>
        <v>-1</v>
      </c>
      <c r="AY222">
        <v>-47.625777833297384</v>
      </c>
      <c r="BR222">
        <v>35.865024962201062</v>
      </c>
    </row>
    <row r="223" spans="1:70" x14ac:dyDescent="0.25">
      <c r="A223">
        <v>217</v>
      </c>
      <c r="B223">
        <f t="shared" si="128"/>
        <v>0</v>
      </c>
      <c r="C223">
        <f t="shared" si="129"/>
        <v>0</v>
      </c>
      <c r="D223">
        <f t="shared" si="130"/>
        <v>-4.8965276278067904E-12</v>
      </c>
      <c r="E223">
        <f t="shared" si="131"/>
        <v>3.1415926267948961</v>
      </c>
      <c r="F223">
        <f t="shared" si="132"/>
        <v>12</v>
      </c>
      <c r="G223">
        <f t="shared" si="133"/>
        <v>-1.5707963267948966</v>
      </c>
      <c r="H223">
        <f t="shared" si="134"/>
        <v>3.1415926535897931</v>
      </c>
      <c r="J223">
        <f t="shared" si="135"/>
        <v>-90.000001535234517</v>
      </c>
      <c r="K223">
        <f t="shared" si="136"/>
        <v>180.00000307046903</v>
      </c>
      <c r="L223">
        <f t="shared" si="137"/>
        <v>3.1415926535897931</v>
      </c>
      <c r="M223">
        <f t="shared" si="138"/>
        <v>1.5707963267948966</v>
      </c>
      <c r="N223">
        <f t="shared" si="139"/>
        <v>12</v>
      </c>
      <c r="O223">
        <f t="shared" si="140"/>
        <v>180.00000307046903</v>
      </c>
      <c r="P223">
        <f t="shared" si="141"/>
        <v>90.000001535234517</v>
      </c>
      <c r="Q223">
        <f t="shared" si="142"/>
        <v>-2.8055037212820727E-10</v>
      </c>
      <c r="R223">
        <f t="shared" si="143"/>
        <v>180.0000015352345</v>
      </c>
      <c r="S223">
        <f t="shared" si="144"/>
        <v>-1</v>
      </c>
      <c r="AY223">
        <v>-48.697965690882285</v>
      </c>
      <c r="BR223">
        <v>34.354602099412716</v>
      </c>
    </row>
    <row r="224" spans="1:70" x14ac:dyDescent="0.25">
      <c r="A224">
        <v>218</v>
      </c>
      <c r="B224">
        <f t="shared" si="128"/>
        <v>0</v>
      </c>
      <c r="C224">
        <f t="shared" si="129"/>
        <v>0</v>
      </c>
      <c r="D224">
        <f t="shared" si="130"/>
        <v>-4.8965276278067904E-12</v>
      </c>
      <c r="E224">
        <f t="shared" si="131"/>
        <v>3.1415926267948961</v>
      </c>
      <c r="F224">
        <f t="shared" si="132"/>
        <v>12</v>
      </c>
      <c r="G224">
        <f t="shared" si="133"/>
        <v>-1.5707963267948966</v>
      </c>
      <c r="H224">
        <f t="shared" si="134"/>
        <v>3.1415926535897931</v>
      </c>
      <c r="J224">
        <f t="shared" si="135"/>
        <v>-90.000001535234517</v>
      </c>
      <c r="K224">
        <f t="shared" si="136"/>
        <v>180.00000307046903</v>
      </c>
      <c r="L224">
        <f t="shared" si="137"/>
        <v>3.1415926535897931</v>
      </c>
      <c r="M224">
        <f t="shared" si="138"/>
        <v>1.5707963267948966</v>
      </c>
      <c r="N224">
        <f t="shared" si="139"/>
        <v>12</v>
      </c>
      <c r="O224">
        <f t="shared" si="140"/>
        <v>180.00000307046903</v>
      </c>
      <c r="P224">
        <f t="shared" si="141"/>
        <v>90.000001535234517</v>
      </c>
      <c r="Q224">
        <f t="shared" si="142"/>
        <v>-2.8055037212820727E-10</v>
      </c>
      <c r="R224">
        <f t="shared" si="143"/>
        <v>180.0000015352345</v>
      </c>
      <c r="S224">
        <f t="shared" si="144"/>
        <v>-1</v>
      </c>
      <c r="AY224">
        <v>-49.741230774414589</v>
      </c>
      <c r="BR224">
        <v>32.804867929973547</v>
      </c>
    </row>
    <row r="225" spans="1:70" x14ac:dyDescent="0.25">
      <c r="A225">
        <v>219</v>
      </c>
      <c r="B225">
        <f t="shared" si="128"/>
        <v>0</v>
      </c>
      <c r="C225">
        <f t="shared" si="129"/>
        <v>0</v>
      </c>
      <c r="D225">
        <f t="shared" si="130"/>
        <v>-4.8965276278067904E-12</v>
      </c>
      <c r="E225">
        <f t="shared" si="131"/>
        <v>3.1415926267948961</v>
      </c>
      <c r="F225">
        <f t="shared" si="132"/>
        <v>12</v>
      </c>
      <c r="G225">
        <f t="shared" si="133"/>
        <v>-1.5707963267948966</v>
      </c>
      <c r="H225">
        <f t="shared" si="134"/>
        <v>3.1415926535897931</v>
      </c>
      <c r="J225">
        <f t="shared" si="135"/>
        <v>-90.000001535234517</v>
      </c>
      <c r="K225">
        <f t="shared" si="136"/>
        <v>180.00000307046903</v>
      </c>
      <c r="L225">
        <f t="shared" si="137"/>
        <v>3.1415926535897931</v>
      </c>
      <c r="M225">
        <f t="shared" si="138"/>
        <v>1.5707963267948966</v>
      </c>
      <c r="N225">
        <f t="shared" si="139"/>
        <v>12</v>
      </c>
      <c r="O225">
        <f t="shared" si="140"/>
        <v>180.00000307046903</v>
      </c>
      <c r="P225">
        <f t="shared" si="141"/>
        <v>90.000001535234517</v>
      </c>
      <c r="Q225">
        <f t="shared" si="142"/>
        <v>-2.8055037212820727E-10</v>
      </c>
      <c r="R225">
        <f t="shared" si="143"/>
        <v>180.0000015352345</v>
      </c>
      <c r="S225">
        <f t="shared" si="144"/>
        <v>-1</v>
      </c>
      <c r="AY225">
        <v>-50.753324222038465</v>
      </c>
      <c r="BR225">
        <v>31.215922441372051</v>
      </c>
    </row>
    <row r="226" spans="1:70" x14ac:dyDescent="0.25">
      <c r="A226">
        <v>220</v>
      </c>
      <c r="B226">
        <f t="shared" si="128"/>
        <v>0</v>
      </c>
      <c r="C226">
        <f t="shared" si="129"/>
        <v>0</v>
      </c>
      <c r="D226">
        <f t="shared" si="130"/>
        <v>-4.8965276278067904E-12</v>
      </c>
      <c r="E226">
        <f t="shared" si="131"/>
        <v>3.1415926267948961</v>
      </c>
      <c r="F226">
        <f t="shared" si="132"/>
        <v>12</v>
      </c>
      <c r="G226">
        <f t="shared" si="133"/>
        <v>-1.5707963267948966</v>
      </c>
      <c r="H226">
        <f t="shared" si="134"/>
        <v>3.1415926535897931</v>
      </c>
      <c r="J226">
        <f t="shared" si="135"/>
        <v>-90.000001535234517</v>
      </c>
      <c r="K226">
        <f t="shared" si="136"/>
        <v>180.00000307046903</v>
      </c>
      <c r="L226">
        <f t="shared" si="137"/>
        <v>3.1415926535897931</v>
      </c>
      <c r="M226">
        <f t="shared" si="138"/>
        <v>1.5707963267948966</v>
      </c>
      <c r="N226">
        <f t="shared" si="139"/>
        <v>12</v>
      </c>
      <c r="O226">
        <f t="shared" si="140"/>
        <v>180.00000307046903</v>
      </c>
      <c r="P226">
        <f t="shared" si="141"/>
        <v>90.000001535234517</v>
      </c>
      <c r="Q226">
        <f t="shared" si="142"/>
        <v>-2.8055037212820727E-10</v>
      </c>
      <c r="R226">
        <f t="shared" si="143"/>
        <v>180.0000015352345</v>
      </c>
      <c r="S226">
        <f t="shared" si="144"/>
        <v>-1</v>
      </c>
      <c r="AY226">
        <v>-51.731917905092047</v>
      </c>
      <c r="BR226">
        <v>29.588028927763759</v>
      </c>
    </row>
    <row r="227" spans="1:70" x14ac:dyDescent="0.25">
      <c r="A227">
        <v>221</v>
      </c>
      <c r="B227">
        <f t="shared" si="128"/>
        <v>0</v>
      </c>
      <c r="C227">
        <f t="shared" si="129"/>
        <v>0</v>
      </c>
      <c r="D227">
        <f t="shared" si="130"/>
        <v>-4.8965276278067904E-12</v>
      </c>
      <c r="E227">
        <f t="shared" si="131"/>
        <v>3.1415926267948961</v>
      </c>
      <c r="F227">
        <f t="shared" si="132"/>
        <v>12</v>
      </c>
      <c r="G227">
        <f t="shared" si="133"/>
        <v>-1.5707963267948966</v>
      </c>
      <c r="H227">
        <f t="shared" si="134"/>
        <v>3.1415926535897931</v>
      </c>
      <c r="J227">
        <f t="shared" si="135"/>
        <v>-90.000001535234517</v>
      </c>
      <c r="K227">
        <f t="shared" si="136"/>
        <v>180.00000307046903</v>
      </c>
      <c r="L227">
        <f t="shared" si="137"/>
        <v>3.1415926535897931</v>
      </c>
      <c r="M227">
        <f t="shared" si="138"/>
        <v>1.5707963267948966</v>
      </c>
      <c r="N227">
        <f t="shared" si="139"/>
        <v>12</v>
      </c>
      <c r="O227">
        <f t="shared" si="140"/>
        <v>180.00000307046903</v>
      </c>
      <c r="P227">
        <f t="shared" si="141"/>
        <v>90.000001535234517</v>
      </c>
      <c r="Q227">
        <f t="shared" si="142"/>
        <v>-2.8055037212820727E-10</v>
      </c>
      <c r="R227">
        <f t="shared" si="143"/>
        <v>180.0000015352345</v>
      </c>
      <c r="S227">
        <f t="shared" si="144"/>
        <v>-1</v>
      </c>
      <c r="AY227">
        <v>-52.674620807053785</v>
      </c>
      <c r="BR227">
        <v>27.921627477388064</v>
      </c>
    </row>
    <row r="228" spans="1:70" x14ac:dyDescent="0.25">
      <c r="A228">
        <v>222</v>
      </c>
      <c r="B228">
        <f t="shared" si="128"/>
        <v>0</v>
      </c>
      <c r="C228">
        <f t="shared" si="129"/>
        <v>0</v>
      </c>
      <c r="D228">
        <f t="shared" si="130"/>
        <v>-4.8965276278067904E-12</v>
      </c>
      <c r="E228">
        <f t="shared" si="131"/>
        <v>3.1415926267948961</v>
      </c>
      <c r="F228">
        <f t="shared" si="132"/>
        <v>12</v>
      </c>
      <c r="G228">
        <f t="shared" si="133"/>
        <v>-1.5707963267948966</v>
      </c>
      <c r="H228">
        <f t="shared" si="134"/>
        <v>3.1415926535897931</v>
      </c>
      <c r="J228">
        <f t="shared" si="135"/>
        <v>-90.000001535234517</v>
      </c>
      <c r="K228">
        <f t="shared" si="136"/>
        <v>180.00000307046903</v>
      </c>
      <c r="L228">
        <f t="shared" si="137"/>
        <v>3.1415926535897931</v>
      </c>
      <c r="M228">
        <f t="shared" si="138"/>
        <v>1.5707963267948966</v>
      </c>
      <c r="N228">
        <f t="shared" si="139"/>
        <v>12</v>
      </c>
      <c r="O228">
        <f t="shared" si="140"/>
        <v>180.00000307046903</v>
      </c>
      <c r="P228">
        <f t="shared" si="141"/>
        <v>90.000001535234517</v>
      </c>
      <c r="Q228">
        <f t="shared" si="142"/>
        <v>-2.8055037212820727E-10</v>
      </c>
      <c r="R228">
        <f t="shared" si="143"/>
        <v>180.0000015352345</v>
      </c>
      <c r="S228">
        <f t="shared" si="144"/>
        <v>-1</v>
      </c>
      <c r="AY228">
        <v>-53.578997906712083</v>
      </c>
      <c r="BR228">
        <v>26.217346301584236</v>
      </c>
    </row>
    <row r="229" spans="1:70" x14ac:dyDescent="0.25">
      <c r="A229">
        <v>223</v>
      </c>
      <c r="B229">
        <f t="shared" si="128"/>
        <v>0</v>
      </c>
      <c r="C229">
        <f t="shared" si="129"/>
        <v>0</v>
      </c>
      <c r="D229">
        <f t="shared" si="130"/>
        <v>-4.8965276278067904E-12</v>
      </c>
      <c r="E229">
        <f t="shared" si="131"/>
        <v>3.1415926267948961</v>
      </c>
      <c r="F229">
        <f t="shared" si="132"/>
        <v>12</v>
      </c>
      <c r="G229">
        <f t="shared" si="133"/>
        <v>-1.5707963267948966</v>
      </c>
      <c r="H229">
        <f t="shared" si="134"/>
        <v>3.1415926535897931</v>
      </c>
      <c r="J229">
        <f t="shared" si="135"/>
        <v>-90.000001535234517</v>
      </c>
      <c r="K229">
        <f t="shared" si="136"/>
        <v>180.00000307046903</v>
      </c>
      <c r="L229">
        <f t="shared" si="137"/>
        <v>3.1415926535897931</v>
      </c>
      <c r="M229">
        <f t="shared" si="138"/>
        <v>1.5707963267948966</v>
      </c>
      <c r="N229">
        <f t="shared" si="139"/>
        <v>12</v>
      </c>
      <c r="O229">
        <f t="shared" si="140"/>
        <v>180.00000307046903</v>
      </c>
      <c r="P229">
        <f t="shared" si="141"/>
        <v>90.000001535234517</v>
      </c>
      <c r="Q229">
        <f t="shared" si="142"/>
        <v>-2.8055037212820727E-10</v>
      </c>
      <c r="R229">
        <f t="shared" si="143"/>
        <v>180.0000015352345</v>
      </c>
      <c r="S229">
        <f t="shared" si="144"/>
        <v>-1</v>
      </c>
      <c r="AY229">
        <v>-54.442591224662408</v>
      </c>
      <c r="BR229">
        <v>24.476010434643886</v>
      </c>
    </row>
    <row r="230" spans="1:70" x14ac:dyDescent="0.25">
      <c r="A230">
        <v>224</v>
      </c>
      <c r="B230">
        <f t="shared" si="128"/>
        <v>0</v>
      </c>
      <c r="C230">
        <f t="shared" si="129"/>
        <v>0</v>
      </c>
      <c r="D230">
        <f t="shared" si="130"/>
        <v>-4.8965276278067904E-12</v>
      </c>
      <c r="E230">
        <f t="shared" si="131"/>
        <v>3.1415926267948961</v>
      </c>
      <c r="F230">
        <f t="shared" si="132"/>
        <v>12</v>
      </c>
      <c r="G230">
        <f t="shared" si="133"/>
        <v>-1.5707963267948966</v>
      </c>
      <c r="H230">
        <f t="shared" si="134"/>
        <v>3.1415926535897931</v>
      </c>
      <c r="J230">
        <f t="shared" si="135"/>
        <v>-90.000001535234517</v>
      </c>
      <c r="K230">
        <f t="shared" si="136"/>
        <v>180.00000307046903</v>
      </c>
      <c r="L230">
        <f t="shared" si="137"/>
        <v>3.1415926535897931</v>
      </c>
      <c r="M230">
        <f t="shared" si="138"/>
        <v>1.5707963267948966</v>
      </c>
      <c r="N230">
        <f t="shared" si="139"/>
        <v>12</v>
      </c>
      <c r="O230">
        <f t="shared" si="140"/>
        <v>180.00000307046903</v>
      </c>
      <c r="P230">
        <f t="shared" si="141"/>
        <v>90.000001535234517</v>
      </c>
      <c r="Q230">
        <f t="shared" si="142"/>
        <v>-2.8055037212820727E-10</v>
      </c>
      <c r="R230">
        <f t="shared" si="143"/>
        <v>180.0000015352345</v>
      </c>
      <c r="S230">
        <f t="shared" si="144"/>
        <v>-1</v>
      </c>
      <c r="AY230">
        <v>-55.262942586197084</v>
      </c>
      <c r="BR230">
        <v>22.698647397285249</v>
      </c>
    </row>
    <row r="231" spans="1:70" x14ac:dyDescent="0.25">
      <c r="A231">
        <v>225</v>
      </c>
      <c r="B231">
        <f t="shared" si="128"/>
        <v>0</v>
      </c>
      <c r="C231">
        <f t="shared" si="129"/>
        <v>0</v>
      </c>
      <c r="D231">
        <f t="shared" si="130"/>
        <v>-4.8965276278067904E-12</v>
      </c>
      <c r="E231">
        <f t="shared" si="131"/>
        <v>3.1415926267948961</v>
      </c>
      <c r="F231">
        <f t="shared" si="132"/>
        <v>12</v>
      </c>
      <c r="G231">
        <f t="shared" si="133"/>
        <v>-1.5707963267948966</v>
      </c>
      <c r="H231">
        <f t="shared" si="134"/>
        <v>3.1415926535897931</v>
      </c>
      <c r="J231">
        <f t="shared" si="135"/>
        <v>-90.000001535234517</v>
      </c>
      <c r="K231">
        <f t="shared" si="136"/>
        <v>180.00000307046903</v>
      </c>
      <c r="L231">
        <f t="shared" si="137"/>
        <v>3.1415926535897931</v>
      </c>
      <c r="M231">
        <f t="shared" si="138"/>
        <v>1.5707963267948966</v>
      </c>
      <c r="N231">
        <f t="shared" si="139"/>
        <v>12</v>
      </c>
      <c r="O231">
        <f t="shared" si="140"/>
        <v>180.00000307046903</v>
      </c>
      <c r="P231">
        <f t="shared" si="141"/>
        <v>90.000001535234517</v>
      </c>
      <c r="Q231">
        <f t="shared" si="142"/>
        <v>-2.8055037212820727E-10</v>
      </c>
      <c r="R231">
        <f t="shared" si="143"/>
        <v>180.0000015352345</v>
      </c>
      <c r="S231">
        <f t="shared" si="144"/>
        <v>-1</v>
      </c>
      <c r="AY231">
        <v>-56.037617560739605</v>
      </c>
      <c r="BR231">
        <v>20.886489505773692</v>
      </c>
    </row>
    <row r="232" spans="1:70" x14ac:dyDescent="0.25">
      <c r="B232">
        <f t="shared" si="128"/>
        <v>0</v>
      </c>
      <c r="C232">
        <f t="shared" si="129"/>
        <v>0</v>
      </c>
      <c r="D232">
        <f t="shared" si="130"/>
        <v>-4.8965276278067904E-12</v>
      </c>
      <c r="E232">
        <f t="shared" si="131"/>
        <v>3.1415926267948961</v>
      </c>
      <c r="F232">
        <f t="shared" si="132"/>
        <v>12</v>
      </c>
      <c r="G232">
        <f t="shared" si="133"/>
        <v>-1.5707963267948966</v>
      </c>
      <c r="H232">
        <f t="shared" si="134"/>
        <v>3.1415926535897931</v>
      </c>
      <c r="J232">
        <f t="shared" si="135"/>
        <v>-90.000001535234517</v>
      </c>
      <c r="K232">
        <f t="shared" si="136"/>
        <v>180.00000307046903</v>
      </c>
      <c r="L232">
        <f t="shared" si="137"/>
        <v>3.1415926535897931</v>
      </c>
      <c r="M232">
        <f t="shared" si="138"/>
        <v>1.5707963267948966</v>
      </c>
      <c r="N232">
        <f t="shared" si="139"/>
        <v>12</v>
      </c>
      <c r="O232">
        <f t="shared" si="140"/>
        <v>180.00000307046903</v>
      </c>
      <c r="P232">
        <f t="shared" si="141"/>
        <v>90.000001535234517</v>
      </c>
      <c r="Q232">
        <f t="shared" si="142"/>
        <v>-2.8055037212820727E-10</v>
      </c>
      <c r="R232">
        <f t="shared" si="143"/>
        <v>180.0000015352345</v>
      </c>
      <c r="S232">
        <f t="shared" si="144"/>
        <v>-1</v>
      </c>
      <c r="AY232">
        <v>-56.764229965340405</v>
      </c>
      <c r="BR232">
        <v>19.040972620259179</v>
      </c>
    </row>
    <row r="233" spans="1:70" x14ac:dyDescent="0.25">
      <c r="B233">
        <f t="shared" si="128"/>
        <v>0</v>
      </c>
      <c r="C233">
        <f t="shared" si="129"/>
        <v>0</v>
      </c>
      <c r="D233">
        <f t="shared" si="130"/>
        <v>-4.8965276278067904E-12</v>
      </c>
      <c r="E233">
        <f t="shared" si="131"/>
        <v>3.1415926267948961</v>
      </c>
      <c r="F233">
        <f t="shared" si="132"/>
        <v>12</v>
      </c>
      <c r="G233">
        <f t="shared" si="133"/>
        <v>-1.5707963267948966</v>
      </c>
      <c r="H233">
        <f t="shared" si="134"/>
        <v>3.1415926535897931</v>
      </c>
      <c r="J233">
        <f t="shared" si="135"/>
        <v>-90.000001535234517</v>
      </c>
      <c r="K233">
        <f t="shared" si="136"/>
        <v>180.00000307046903</v>
      </c>
      <c r="L233">
        <f t="shared" si="137"/>
        <v>3.1415926535897931</v>
      </c>
      <c r="M233">
        <f t="shared" si="138"/>
        <v>1.5707963267948966</v>
      </c>
      <c r="N233">
        <f t="shared" si="139"/>
        <v>12</v>
      </c>
      <c r="O233">
        <f t="shared" si="140"/>
        <v>180.00000307046903</v>
      </c>
      <c r="P233">
        <f t="shared" si="141"/>
        <v>90.000001535234517</v>
      </c>
      <c r="Q233">
        <f t="shared" si="142"/>
        <v>-2.8055037212820727E-10</v>
      </c>
      <c r="R233">
        <f t="shared" si="143"/>
        <v>180.0000015352345</v>
      </c>
      <c r="S233">
        <f t="shared" si="144"/>
        <v>-1</v>
      </c>
      <c r="AY233">
        <v>-57.440466273599569</v>
      </c>
      <c r="BR233">
        <v>17.163731254273831</v>
      </c>
    </row>
    <row r="234" spans="1:70" x14ac:dyDescent="0.25">
      <c r="B234">
        <f t="shared" si="128"/>
        <v>0</v>
      </c>
      <c r="C234">
        <f t="shared" si="129"/>
        <v>0</v>
      </c>
      <c r="D234">
        <f t="shared" si="130"/>
        <v>-4.8965276278067904E-12</v>
      </c>
      <c r="E234">
        <f t="shared" si="131"/>
        <v>3.1415926267948961</v>
      </c>
      <c r="F234">
        <f t="shared" si="132"/>
        <v>12</v>
      </c>
      <c r="G234">
        <f t="shared" si="133"/>
        <v>-1.5707963267948966</v>
      </c>
      <c r="H234">
        <f t="shared" si="134"/>
        <v>3.1415926535897931</v>
      </c>
      <c r="J234">
        <f t="shared" si="135"/>
        <v>-90.000001535234517</v>
      </c>
      <c r="K234">
        <f t="shared" si="136"/>
        <v>180.00000307046903</v>
      </c>
      <c r="L234">
        <f t="shared" si="137"/>
        <v>3.1415926535897931</v>
      </c>
      <c r="M234">
        <f t="shared" si="138"/>
        <v>1.5707963267948966</v>
      </c>
      <c r="N234">
        <f t="shared" si="139"/>
        <v>12</v>
      </c>
      <c r="O234">
        <f t="shared" si="140"/>
        <v>180.00000307046903</v>
      </c>
      <c r="P234">
        <f t="shared" si="141"/>
        <v>90.000001535234517</v>
      </c>
      <c r="Q234">
        <f t="shared" si="142"/>
        <v>-2.8055037212820727E-10</v>
      </c>
      <c r="R234">
        <f t="shared" si="143"/>
        <v>180.0000015352345</v>
      </c>
      <c r="S234">
        <f t="shared" si="144"/>
        <v>-1</v>
      </c>
      <c r="AY234">
        <v>-58.064109256288212</v>
      </c>
      <c r="BR234">
        <v>15.256590105260138</v>
      </c>
    </row>
    <row r="235" spans="1:70" x14ac:dyDescent="0.25">
      <c r="B235">
        <f t="shared" si="128"/>
        <v>0</v>
      </c>
      <c r="C235">
        <f t="shared" si="129"/>
        <v>0</v>
      </c>
      <c r="D235">
        <f t="shared" si="130"/>
        <v>-4.8965276278067904E-12</v>
      </c>
      <c r="E235">
        <f t="shared" si="131"/>
        <v>3.1415926267948961</v>
      </c>
      <c r="F235">
        <f t="shared" si="132"/>
        <v>12</v>
      </c>
      <c r="G235">
        <f t="shared" si="133"/>
        <v>-1.5707963267948966</v>
      </c>
      <c r="H235">
        <f t="shared" si="134"/>
        <v>3.1415926535897931</v>
      </c>
      <c r="J235">
        <f t="shared" si="135"/>
        <v>-90.000001535234517</v>
      </c>
      <c r="K235">
        <f t="shared" si="136"/>
        <v>180.00000307046903</v>
      </c>
      <c r="L235">
        <f t="shared" si="137"/>
        <v>3.1415926535897931</v>
      </c>
      <c r="M235">
        <f t="shared" si="138"/>
        <v>1.5707963267948966</v>
      </c>
      <c r="N235">
        <f t="shared" si="139"/>
        <v>12</v>
      </c>
      <c r="O235">
        <f t="shared" si="140"/>
        <v>180.00000307046903</v>
      </c>
      <c r="P235">
        <f t="shared" si="141"/>
        <v>90.000001535234517</v>
      </c>
      <c r="Q235">
        <f t="shared" si="142"/>
        <v>-2.8055037212820727E-10</v>
      </c>
      <c r="R235">
        <f t="shared" si="143"/>
        <v>180.0000015352345</v>
      </c>
      <c r="S235">
        <f t="shared" si="144"/>
        <v>-1</v>
      </c>
      <c r="AY235">
        <v>-58.633060198267984</v>
      </c>
      <c r="BR235">
        <v>13.321552205007379</v>
      </c>
    </row>
    <row r="236" spans="1:70" x14ac:dyDescent="0.25">
      <c r="B236">
        <f t="shared" si="128"/>
        <v>0</v>
      </c>
      <c r="C236">
        <f t="shared" si="129"/>
        <v>0</v>
      </c>
      <c r="D236">
        <f t="shared" si="130"/>
        <v>-4.8965276278067904E-12</v>
      </c>
      <c r="E236">
        <f t="shared" si="131"/>
        <v>3.1415926267948961</v>
      </c>
      <c r="F236">
        <f t="shared" si="132"/>
        <v>12</v>
      </c>
      <c r="G236">
        <f t="shared" si="133"/>
        <v>-1.5707963267948966</v>
      </c>
      <c r="H236">
        <f t="shared" si="134"/>
        <v>3.1415926535897931</v>
      </c>
      <c r="J236">
        <f t="shared" si="135"/>
        <v>-90.000001535234517</v>
      </c>
      <c r="K236">
        <f t="shared" si="136"/>
        <v>180.00000307046903</v>
      </c>
      <c r="L236">
        <f t="shared" si="137"/>
        <v>3.1415926535897931</v>
      </c>
      <c r="M236">
        <f t="shared" si="138"/>
        <v>1.5707963267948966</v>
      </c>
      <c r="N236">
        <f t="shared" si="139"/>
        <v>12</v>
      </c>
      <c r="O236">
        <f t="shared" si="140"/>
        <v>180.00000307046903</v>
      </c>
      <c r="P236">
        <f t="shared" si="141"/>
        <v>90.000001535234517</v>
      </c>
      <c r="Q236">
        <f t="shared" si="142"/>
        <v>-2.8055037212820727E-10</v>
      </c>
      <c r="R236">
        <f t="shared" si="143"/>
        <v>180.0000015352345</v>
      </c>
      <c r="S236">
        <f t="shared" si="144"/>
        <v>-1</v>
      </c>
      <c r="AY236">
        <v>-59.145359087855262</v>
      </c>
      <c r="BR236">
        <v>11.360784020012744</v>
      </c>
    </row>
    <row r="237" spans="1:70" x14ac:dyDescent="0.25">
      <c r="B237">
        <f t="shared" si="128"/>
        <v>0</v>
      </c>
      <c r="C237">
        <f t="shared" si="129"/>
        <v>0</v>
      </c>
      <c r="D237">
        <f t="shared" si="130"/>
        <v>-4.8965276278067904E-12</v>
      </c>
      <c r="E237">
        <f t="shared" si="131"/>
        <v>3.1415926267948961</v>
      </c>
      <c r="F237">
        <f t="shared" si="132"/>
        <v>12</v>
      </c>
      <c r="G237">
        <f t="shared" si="133"/>
        <v>-1.5707963267948966</v>
      </c>
      <c r="H237">
        <f t="shared" si="134"/>
        <v>3.1415926535897931</v>
      </c>
      <c r="J237">
        <f t="shared" si="135"/>
        <v>-90.000001535234517</v>
      </c>
      <c r="K237">
        <f t="shared" si="136"/>
        <v>180.00000307046903</v>
      </c>
      <c r="L237">
        <f t="shared" si="137"/>
        <v>3.1415926535897931</v>
      </c>
      <c r="M237">
        <f t="shared" si="138"/>
        <v>1.5707963267948966</v>
      </c>
      <c r="N237">
        <f t="shared" si="139"/>
        <v>12</v>
      </c>
      <c r="O237">
        <f t="shared" si="140"/>
        <v>180.00000307046903</v>
      </c>
      <c r="P237">
        <f t="shared" si="141"/>
        <v>90.000001535234517</v>
      </c>
      <c r="Q237">
        <f t="shared" si="142"/>
        <v>-2.8055037212820727E-10</v>
      </c>
      <c r="R237">
        <f t="shared" si="143"/>
        <v>180.0000015352345</v>
      </c>
      <c r="S237">
        <f t="shared" si="144"/>
        <v>-1</v>
      </c>
      <c r="AY237">
        <v>-59.599202256688159</v>
      </c>
      <c r="BR237">
        <v>9.3765979464975686</v>
      </c>
    </row>
    <row r="238" spans="1:70" x14ac:dyDescent="0.25">
      <c r="B238">
        <f t="shared" si="128"/>
        <v>0</v>
      </c>
      <c r="C238">
        <f t="shared" si="129"/>
        <v>0</v>
      </c>
      <c r="D238">
        <f t="shared" si="130"/>
        <v>-4.8965276278067904E-12</v>
      </c>
      <c r="E238">
        <f t="shared" si="131"/>
        <v>3.1415926267948961</v>
      </c>
      <c r="F238">
        <f t="shared" si="132"/>
        <v>12</v>
      </c>
      <c r="G238">
        <f t="shared" si="133"/>
        <v>-1.5707963267948966</v>
      </c>
      <c r="H238">
        <f t="shared" si="134"/>
        <v>3.1415926535897931</v>
      </c>
      <c r="J238">
        <f t="shared" si="135"/>
        <v>-90.000001535234517</v>
      </c>
      <c r="K238">
        <f t="shared" si="136"/>
        <v>180.00000307046903</v>
      </c>
      <c r="L238">
        <f t="shared" si="137"/>
        <v>3.1415926535897931</v>
      </c>
      <c r="M238">
        <f t="shared" si="138"/>
        <v>1.5707963267948966</v>
      </c>
      <c r="N238">
        <f t="shared" si="139"/>
        <v>12</v>
      </c>
      <c r="O238">
        <f t="shared" si="140"/>
        <v>180.00000307046903</v>
      </c>
      <c r="P238">
        <f t="shared" si="141"/>
        <v>90.000001535234517</v>
      </c>
      <c r="Q238">
        <f t="shared" si="142"/>
        <v>-2.8055037212820727E-10</v>
      </c>
      <c r="R238">
        <f t="shared" si="143"/>
        <v>180.0000015352345</v>
      </c>
      <c r="S238">
        <f t="shared" si="144"/>
        <v>-1</v>
      </c>
      <c r="AY238">
        <v>-59.992957055132891</v>
      </c>
      <c r="BR238">
        <v>7.3714327357564429</v>
      </c>
    </row>
    <row r="239" spans="1:70" x14ac:dyDescent="0.25">
      <c r="B239">
        <f t="shared" si="128"/>
        <v>0</v>
      </c>
      <c r="C239">
        <f t="shared" si="129"/>
        <v>0</v>
      </c>
      <c r="D239">
        <f t="shared" si="130"/>
        <v>-4.8965276278067904E-12</v>
      </c>
      <c r="E239">
        <f t="shared" si="131"/>
        <v>3.1415926267948961</v>
      </c>
      <c r="F239">
        <f t="shared" si="132"/>
        <v>12</v>
      </c>
      <c r="G239">
        <f t="shared" si="133"/>
        <v>-1.5707963267948966</v>
      </c>
      <c r="H239">
        <f t="shared" si="134"/>
        <v>3.1415926535897931</v>
      </c>
      <c r="J239">
        <f t="shared" si="135"/>
        <v>-90.000001535234517</v>
      </c>
      <c r="K239">
        <f t="shared" si="136"/>
        <v>180.00000307046903</v>
      </c>
      <c r="L239">
        <f t="shared" si="137"/>
        <v>3.1415926535897931</v>
      </c>
      <c r="M239">
        <f t="shared" si="138"/>
        <v>1.5707963267948966</v>
      </c>
      <c r="N239">
        <f t="shared" si="139"/>
        <v>12</v>
      </c>
      <c r="O239">
        <f t="shared" si="140"/>
        <v>180.00000307046903</v>
      </c>
      <c r="P239">
        <f t="shared" si="141"/>
        <v>90.000001535234517</v>
      </c>
      <c r="Q239">
        <f t="shared" si="142"/>
        <v>-2.8055037212820727E-10</v>
      </c>
      <c r="R239">
        <f t="shared" si="143"/>
        <v>180.0000015352345</v>
      </c>
      <c r="S239">
        <f t="shared" si="144"/>
        <v>-1</v>
      </c>
      <c r="AY239">
        <v>-60.325173273076174</v>
      </c>
      <c r="BR239">
        <v>5.3478324472944117</v>
      </c>
    </row>
    <row r="240" spans="1:70" x14ac:dyDescent="0.25">
      <c r="B240">
        <f t="shared" si="128"/>
        <v>0</v>
      </c>
      <c r="C240">
        <f t="shared" si="129"/>
        <v>0</v>
      </c>
      <c r="D240">
        <f t="shared" si="130"/>
        <v>-4.8965276278067904E-12</v>
      </c>
      <c r="E240">
        <f t="shared" si="131"/>
        <v>3.1415926267948961</v>
      </c>
      <c r="F240">
        <f t="shared" si="132"/>
        <v>12</v>
      </c>
      <c r="G240">
        <f t="shared" si="133"/>
        <v>-1.5707963267948966</v>
      </c>
      <c r="H240">
        <f t="shared" si="134"/>
        <v>3.1415926535897931</v>
      </c>
      <c r="J240">
        <f t="shared" si="135"/>
        <v>-90.000001535234517</v>
      </c>
      <c r="K240">
        <f t="shared" si="136"/>
        <v>180.00000307046903</v>
      </c>
      <c r="L240">
        <f t="shared" si="137"/>
        <v>3.1415926535897931</v>
      </c>
      <c r="M240">
        <f t="shared" si="138"/>
        <v>1.5707963267948966</v>
      </c>
      <c r="N240">
        <f t="shared" si="139"/>
        <v>12</v>
      </c>
      <c r="O240">
        <f t="shared" si="140"/>
        <v>180.00000307046903</v>
      </c>
      <c r="P240">
        <f t="shared" si="141"/>
        <v>90.000001535234517</v>
      </c>
      <c r="Q240">
        <f t="shared" si="142"/>
        <v>-2.8055037212820727E-10</v>
      </c>
      <c r="R240">
        <f t="shared" si="143"/>
        <v>180.0000015352345</v>
      </c>
      <c r="S240">
        <f t="shared" si="144"/>
        <v>-1</v>
      </c>
      <c r="AY240">
        <v>-60.594591150128096</v>
      </c>
      <c r="BR240">
        <v>3.3084245568320085</v>
      </c>
    </row>
    <row r="241" spans="2:70" x14ac:dyDescent="0.25">
      <c r="B241">
        <f t="shared" si="128"/>
        <v>0</v>
      </c>
      <c r="C241">
        <f t="shared" si="129"/>
        <v>0</v>
      </c>
      <c r="D241">
        <f t="shared" si="130"/>
        <v>-4.8965276278067904E-12</v>
      </c>
      <c r="E241">
        <f t="shared" si="131"/>
        <v>3.1415926267948961</v>
      </c>
      <c r="F241">
        <f t="shared" si="132"/>
        <v>12</v>
      </c>
      <c r="G241">
        <f t="shared" si="133"/>
        <v>-1.5707963267948966</v>
      </c>
      <c r="H241">
        <f t="shared" si="134"/>
        <v>3.1415926535897931</v>
      </c>
      <c r="J241">
        <f t="shared" si="135"/>
        <v>-90.000001535234517</v>
      </c>
      <c r="K241">
        <f t="shared" si="136"/>
        <v>180.00000307046903</v>
      </c>
      <c r="L241">
        <f t="shared" si="137"/>
        <v>3.1415926535897931</v>
      </c>
      <c r="M241">
        <f t="shared" si="138"/>
        <v>1.5707963267948966</v>
      </c>
      <c r="N241">
        <f t="shared" si="139"/>
        <v>12</v>
      </c>
      <c r="O241">
        <f t="shared" si="140"/>
        <v>180.00000307046903</v>
      </c>
      <c r="P241">
        <f t="shared" si="141"/>
        <v>90.000001535234517</v>
      </c>
      <c r="Q241">
        <f t="shared" si="142"/>
        <v>-2.8055037212820727E-10</v>
      </c>
      <c r="R241">
        <f t="shared" si="143"/>
        <v>180.0000015352345</v>
      </c>
      <c r="S241">
        <f t="shared" si="144"/>
        <v>-1</v>
      </c>
      <c r="AY241">
        <v>-60.800145953957085</v>
      </c>
      <c r="BR241">
        <v>1.2558978433738979</v>
      </c>
    </row>
    <row r="242" spans="2:70" x14ac:dyDescent="0.25">
      <c r="B242">
        <f t="shared" si="128"/>
        <v>0</v>
      </c>
      <c r="C242">
        <f t="shared" si="129"/>
        <v>0</v>
      </c>
      <c r="D242">
        <f t="shared" si="130"/>
        <v>-4.8965276278067904E-12</v>
      </c>
      <c r="E242">
        <f t="shared" si="131"/>
        <v>3.1415926267948961</v>
      </c>
      <c r="F242">
        <f t="shared" si="132"/>
        <v>12</v>
      </c>
      <c r="G242">
        <f t="shared" si="133"/>
        <v>-1.5707963267948966</v>
      </c>
      <c r="H242">
        <f t="shared" si="134"/>
        <v>3.1415926535897931</v>
      </c>
      <c r="J242">
        <f t="shared" si="135"/>
        <v>-90.000001535234517</v>
      </c>
      <c r="K242">
        <f t="shared" si="136"/>
        <v>180.00000307046903</v>
      </c>
      <c r="L242">
        <f t="shared" si="137"/>
        <v>3.1415926535897931</v>
      </c>
      <c r="M242">
        <f t="shared" si="138"/>
        <v>1.5707963267948966</v>
      </c>
      <c r="N242">
        <f t="shared" si="139"/>
        <v>12</v>
      </c>
      <c r="O242">
        <f t="shared" si="140"/>
        <v>180.00000307046903</v>
      </c>
      <c r="P242">
        <f t="shared" si="141"/>
        <v>90.000001535234517</v>
      </c>
      <c r="Q242">
        <f t="shared" si="142"/>
        <v>-2.8055037212820727E-10</v>
      </c>
      <c r="R242">
        <f t="shared" si="143"/>
        <v>180.0000015352345</v>
      </c>
      <c r="S242">
        <f t="shared" si="144"/>
        <v>-1</v>
      </c>
      <c r="AY242">
        <v>-60.940969232303956</v>
      </c>
      <c r="BR242">
        <v>-0.80701935367342514</v>
      </c>
    </row>
    <row r="243" spans="2:70" x14ac:dyDescent="0.25">
      <c r="B243">
        <f t="shared" si="128"/>
        <v>0</v>
      </c>
      <c r="C243">
        <f t="shared" si="129"/>
        <v>0</v>
      </c>
      <c r="D243">
        <f t="shared" si="130"/>
        <v>-4.8965276278067904E-12</v>
      </c>
      <c r="E243">
        <f t="shared" si="131"/>
        <v>3.1415926267948961</v>
      </c>
      <c r="F243">
        <f t="shared" si="132"/>
        <v>12</v>
      </c>
      <c r="G243">
        <f t="shared" si="133"/>
        <v>-1.5707963267948966</v>
      </c>
      <c r="H243">
        <f t="shared" si="134"/>
        <v>3.1415926535897931</v>
      </c>
      <c r="J243">
        <f t="shared" si="135"/>
        <v>-90.000001535234517</v>
      </c>
      <c r="K243">
        <f t="shared" si="136"/>
        <v>180.00000307046903</v>
      </c>
      <c r="L243">
        <f t="shared" si="137"/>
        <v>3.1415926535897931</v>
      </c>
      <c r="M243">
        <f t="shared" si="138"/>
        <v>1.5707963267948966</v>
      </c>
      <c r="N243">
        <f t="shared" si="139"/>
        <v>12</v>
      </c>
      <c r="O243">
        <f t="shared" si="140"/>
        <v>180.00000307046903</v>
      </c>
      <c r="P243">
        <f t="shared" si="141"/>
        <v>90.000001535234517</v>
      </c>
      <c r="Q243">
        <f t="shared" si="142"/>
        <v>-2.8055037212820727E-10</v>
      </c>
      <c r="R243">
        <f t="shared" si="143"/>
        <v>180.0000015352345</v>
      </c>
      <c r="S243">
        <f t="shared" si="144"/>
        <v>-1</v>
      </c>
      <c r="AY243">
        <v>-61.016386955989681</v>
      </c>
      <c r="BR243">
        <v>-2.8775799755492173</v>
      </c>
    </row>
    <row r="244" spans="2:70" x14ac:dyDescent="0.25">
      <c r="B244">
        <f t="shared" si="128"/>
        <v>0</v>
      </c>
      <c r="C244">
        <f t="shared" si="129"/>
        <v>0</v>
      </c>
      <c r="D244">
        <f t="shared" si="130"/>
        <v>-4.8965276278067904E-12</v>
      </c>
      <c r="E244">
        <f t="shared" si="131"/>
        <v>3.1415926267948961</v>
      </c>
      <c r="F244">
        <f t="shared" si="132"/>
        <v>12</v>
      </c>
      <c r="G244">
        <f t="shared" si="133"/>
        <v>-1.5707963267948966</v>
      </c>
      <c r="H244">
        <f t="shared" si="134"/>
        <v>3.1415926535897931</v>
      </c>
      <c r="J244">
        <f t="shared" si="135"/>
        <v>-90.000001535234517</v>
      </c>
      <c r="K244">
        <f t="shared" si="136"/>
        <v>180.00000307046903</v>
      </c>
      <c r="L244">
        <f t="shared" si="137"/>
        <v>3.1415926535897931</v>
      </c>
      <c r="M244">
        <f t="shared" si="138"/>
        <v>1.5707963267948966</v>
      </c>
      <c r="N244">
        <f t="shared" si="139"/>
        <v>12</v>
      </c>
      <c r="O244">
        <f t="shared" si="140"/>
        <v>180.00000307046903</v>
      </c>
      <c r="P244">
        <f t="shared" si="141"/>
        <v>90.000001535234517</v>
      </c>
      <c r="Q244">
        <f t="shared" si="142"/>
        <v>-2.8055037212820727E-10</v>
      </c>
      <c r="R244">
        <f t="shared" si="143"/>
        <v>180.0000015352345</v>
      </c>
      <c r="S244">
        <f t="shared" si="144"/>
        <v>-1</v>
      </c>
      <c r="AY244">
        <v>-61.025914861512376</v>
      </c>
      <c r="BR244">
        <v>-4.9530377308288074</v>
      </c>
    </row>
    <row r="245" spans="2:70" x14ac:dyDescent="0.25">
      <c r="B245">
        <f t="shared" si="128"/>
        <v>0</v>
      </c>
      <c r="C245">
        <f t="shared" si="129"/>
        <v>0</v>
      </c>
      <c r="D245">
        <f t="shared" si="130"/>
        <v>-4.8965276278067904E-12</v>
      </c>
      <c r="E245">
        <f t="shared" si="131"/>
        <v>3.1415926267948961</v>
      </c>
      <c r="F245">
        <f t="shared" si="132"/>
        <v>12</v>
      </c>
      <c r="G245">
        <f t="shared" si="133"/>
        <v>-1.5707963267948966</v>
      </c>
      <c r="H245">
        <f t="shared" si="134"/>
        <v>3.1415926535897931</v>
      </c>
      <c r="J245">
        <f t="shared" si="135"/>
        <v>-90.000001535234517</v>
      </c>
      <c r="K245">
        <f t="shared" si="136"/>
        <v>180.00000307046903</v>
      </c>
      <c r="L245">
        <f t="shared" si="137"/>
        <v>3.1415926535897931</v>
      </c>
      <c r="M245">
        <f t="shared" si="138"/>
        <v>1.5707963267948966</v>
      </c>
      <c r="N245">
        <f t="shared" si="139"/>
        <v>12</v>
      </c>
      <c r="O245">
        <f t="shared" si="140"/>
        <v>180.00000307046903</v>
      </c>
      <c r="P245">
        <f t="shared" si="141"/>
        <v>90.000001535234517</v>
      </c>
      <c r="Q245">
        <f t="shared" si="142"/>
        <v>-2.8055037212820727E-10</v>
      </c>
      <c r="R245">
        <f t="shared" si="143"/>
        <v>180.0000015352345</v>
      </c>
      <c r="S245">
        <f t="shared" si="144"/>
        <v>-1</v>
      </c>
      <c r="AY245">
        <v>-60.969251369261414</v>
      </c>
      <c r="BR245">
        <v>-7.0306648677478965</v>
      </c>
    </row>
    <row r="246" spans="2:70" x14ac:dyDescent="0.25">
      <c r="B246">
        <f t="shared" si="128"/>
        <v>0</v>
      </c>
      <c r="C246">
        <f t="shared" si="129"/>
        <v>0</v>
      </c>
      <c r="D246">
        <f t="shared" si="130"/>
        <v>-4.8965276278067904E-12</v>
      </c>
      <c r="E246">
        <f t="shared" si="131"/>
        <v>3.1415926267948961</v>
      </c>
      <c r="F246">
        <f t="shared" si="132"/>
        <v>12</v>
      </c>
      <c r="G246">
        <f t="shared" si="133"/>
        <v>-1.5707963267948966</v>
      </c>
      <c r="H246">
        <f t="shared" si="134"/>
        <v>3.1415926535897931</v>
      </c>
      <c r="J246">
        <f t="shared" si="135"/>
        <v>-90.000001535234517</v>
      </c>
      <c r="K246">
        <f t="shared" si="136"/>
        <v>180.00000307046903</v>
      </c>
      <c r="L246">
        <f t="shared" si="137"/>
        <v>3.1415926535897931</v>
      </c>
      <c r="M246">
        <f t="shared" si="138"/>
        <v>1.5707963267948966</v>
      </c>
      <c r="N246">
        <f t="shared" si="139"/>
        <v>12</v>
      </c>
      <c r="O246">
        <f t="shared" si="140"/>
        <v>180.00000307046903</v>
      </c>
      <c r="P246">
        <f t="shared" si="141"/>
        <v>90.000001535234517</v>
      </c>
      <c r="Q246">
        <f t="shared" si="142"/>
        <v>-2.8055037212820727E-10</v>
      </c>
      <c r="R246">
        <f t="shared" si="143"/>
        <v>180.0000015352345</v>
      </c>
      <c r="S246">
        <f t="shared" si="144"/>
        <v>-1</v>
      </c>
    </row>
    <row r="247" spans="2:70" x14ac:dyDescent="0.25">
      <c r="B247">
        <f t="shared" si="128"/>
        <v>0</v>
      </c>
      <c r="C247">
        <f t="shared" si="129"/>
        <v>0</v>
      </c>
      <c r="D247">
        <f t="shared" si="130"/>
        <v>-4.8965276278067904E-12</v>
      </c>
      <c r="E247">
        <f t="shared" si="131"/>
        <v>3.1415926267948961</v>
      </c>
      <c r="F247">
        <f t="shared" si="132"/>
        <v>12</v>
      </c>
      <c r="G247">
        <f t="shared" si="133"/>
        <v>-1.5707963267948966</v>
      </c>
      <c r="H247">
        <f t="shared" si="134"/>
        <v>3.1415926535897931</v>
      </c>
      <c r="J247">
        <f t="shared" si="135"/>
        <v>-90.000001535234517</v>
      </c>
      <c r="K247">
        <f t="shared" si="136"/>
        <v>180.00000307046903</v>
      </c>
      <c r="L247">
        <f t="shared" si="137"/>
        <v>3.1415926535897931</v>
      </c>
      <c r="M247">
        <f t="shared" si="138"/>
        <v>1.5707963267948966</v>
      </c>
      <c r="N247">
        <f t="shared" si="139"/>
        <v>12</v>
      </c>
      <c r="O247">
        <f t="shared" si="140"/>
        <v>180.00000307046903</v>
      </c>
      <c r="P247">
        <f t="shared" si="141"/>
        <v>90.000001535234517</v>
      </c>
      <c r="Q247">
        <f t="shared" si="142"/>
        <v>-2.8055037212820727E-10</v>
      </c>
      <c r="R247">
        <f t="shared" si="143"/>
        <v>180.0000015352345</v>
      </c>
      <c r="S247">
        <f t="shared" si="144"/>
        <v>-1</v>
      </c>
    </row>
    <row r="248" spans="2:70" x14ac:dyDescent="0.25">
      <c r="B248">
        <f t="shared" si="128"/>
        <v>0</v>
      </c>
      <c r="C248">
        <f t="shared" si="129"/>
        <v>0</v>
      </c>
      <c r="D248">
        <f t="shared" si="130"/>
        <v>-4.8965276278067904E-12</v>
      </c>
      <c r="E248">
        <f t="shared" si="131"/>
        <v>3.1415926267948961</v>
      </c>
      <c r="F248">
        <f t="shared" si="132"/>
        <v>12</v>
      </c>
      <c r="G248">
        <f t="shared" si="133"/>
        <v>-1.5707963267948966</v>
      </c>
      <c r="H248">
        <f t="shared" si="134"/>
        <v>3.1415926535897931</v>
      </c>
      <c r="J248">
        <f t="shared" si="135"/>
        <v>-90.000001535234517</v>
      </c>
      <c r="K248">
        <f t="shared" si="136"/>
        <v>180.00000307046903</v>
      </c>
      <c r="L248">
        <f t="shared" si="137"/>
        <v>3.1415926535897931</v>
      </c>
      <c r="M248">
        <f t="shared" si="138"/>
        <v>1.5707963267948966</v>
      </c>
      <c r="N248">
        <f t="shared" si="139"/>
        <v>12</v>
      </c>
      <c r="O248">
        <f t="shared" si="140"/>
        <v>180.00000307046903</v>
      </c>
      <c r="P248">
        <f t="shared" si="141"/>
        <v>90.000001535234517</v>
      </c>
      <c r="Q248">
        <f t="shared" si="142"/>
        <v>-2.8055037212820727E-10</v>
      </c>
      <c r="R248">
        <f t="shared" si="143"/>
        <v>180.0000015352345</v>
      </c>
      <c r="S248">
        <f t="shared" si="144"/>
        <v>-1</v>
      </c>
    </row>
    <row r="249" spans="2:70" x14ac:dyDescent="0.25">
      <c r="B249">
        <f t="shared" si="128"/>
        <v>0</v>
      </c>
      <c r="C249">
        <f t="shared" si="129"/>
        <v>0</v>
      </c>
      <c r="D249">
        <f t="shared" si="130"/>
        <v>-4.8965276278067904E-12</v>
      </c>
      <c r="E249">
        <f t="shared" si="131"/>
        <v>3.1415926267948961</v>
      </c>
      <c r="F249">
        <f t="shared" si="132"/>
        <v>12</v>
      </c>
      <c r="G249">
        <f t="shared" si="133"/>
        <v>-1.5707963267948966</v>
      </c>
      <c r="H249">
        <f t="shared" si="134"/>
        <v>3.1415926535897931</v>
      </c>
      <c r="J249">
        <f t="shared" si="135"/>
        <v>-90.000001535234517</v>
      </c>
      <c r="K249">
        <f t="shared" si="136"/>
        <v>180.00000307046903</v>
      </c>
      <c r="L249">
        <f t="shared" si="137"/>
        <v>3.1415926535897931</v>
      </c>
      <c r="M249">
        <f t="shared" si="138"/>
        <v>1.5707963267948966</v>
      </c>
      <c r="N249">
        <f t="shared" si="139"/>
        <v>12</v>
      </c>
      <c r="O249">
        <f t="shared" si="140"/>
        <v>180.00000307046903</v>
      </c>
      <c r="P249">
        <f t="shared" si="141"/>
        <v>90.000001535234517</v>
      </c>
      <c r="Q249">
        <f t="shared" si="142"/>
        <v>-2.8055037212820727E-10</v>
      </c>
      <c r="R249">
        <f t="shared" si="143"/>
        <v>180.0000015352345</v>
      </c>
      <c r="S249">
        <f t="shared" si="144"/>
        <v>-1</v>
      </c>
    </row>
    <row r="250" spans="2:70" x14ac:dyDescent="0.25">
      <c r="B250">
        <f t="shared" si="128"/>
        <v>0</v>
      </c>
      <c r="C250">
        <f t="shared" si="129"/>
        <v>0</v>
      </c>
      <c r="D250">
        <f t="shared" si="130"/>
        <v>-4.8965276278067904E-12</v>
      </c>
      <c r="E250">
        <f t="shared" si="131"/>
        <v>3.1415926267948961</v>
      </c>
      <c r="F250">
        <f t="shared" si="132"/>
        <v>12</v>
      </c>
      <c r="G250">
        <f t="shared" si="133"/>
        <v>-1.5707963267948966</v>
      </c>
      <c r="H250">
        <f t="shared" si="134"/>
        <v>3.1415926535897931</v>
      </c>
      <c r="J250">
        <f t="shared" si="135"/>
        <v>-90.000001535234517</v>
      </c>
      <c r="K250">
        <f t="shared" si="136"/>
        <v>180.00000307046903</v>
      </c>
      <c r="L250">
        <f t="shared" si="137"/>
        <v>3.1415926535897931</v>
      </c>
      <c r="M250">
        <f t="shared" si="138"/>
        <v>1.5707963267948966</v>
      </c>
      <c r="N250">
        <f t="shared" si="139"/>
        <v>12</v>
      </c>
      <c r="O250">
        <f t="shared" si="140"/>
        <v>180.00000307046903</v>
      </c>
      <c r="P250">
        <f t="shared" si="141"/>
        <v>90.000001535234517</v>
      </c>
      <c r="Q250">
        <f t="shared" si="142"/>
        <v>-2.8055037212820727E-10</v>
      </c>
      <c r="R250">
        <f t="shared" si="143"/>
        <v>180.0000015352345</v>
      </c>
      <c r="S250">
        <f t="shared" si="144"/>
        <v>-1</v>
      </c>
    </row>
    <row r="251" spans="2:70" x14ac:dyDescent="0.25">
      <c r="B251">
        <f t="shared" si="128"/>
        <v>0</v>
      </c>
      <c r="C251">
        <f t="shared" si="129"/>
        <v>0</v>
      </c>
      <c r="D251">
        <f t="shared" si="130"/>
        <v>-4.8965276278067904E-12</v>
      </c>
      <c r="E251">
        <f t="shared" si="131"/>
        <v>3.1415926267948961</v>
      </c>
      <c r="F251">
        <f t="shared" si="132"/>
        <v>12</v>
      </c>
      <c r="G251">
        <f t="shared" si="133"/>
        <v>-1.5707963267948966</v>
      </c>
      <c r="H251">
        <f t="shared" si="134"/>
        <v>3.1415926535897931</v>
      </c>
      <c r="J251">
        <f t="shared" si="135"/>
        <v>-90.000001535234517</v>
      </c>
      <c r="K251">
        <f t="shared" si="136"/>
        <v>180.00000307046903</v>
      </c>
      <c r="L251">
        <f t="shared" si="137"/>
        <v>3.1415926535897931</v>
      </c>
      <c r="M251">
        <f t="shared" si="138"/>
        <v>1.5707963267948966</v>
      </c>
      <c r="N251">
        <f t="shared" si="139"/>
        <v>12</v>
      </c>
      <c r="O251">
        <f t="shared" si="140"/>
        <v>180.00000307046903</v>
      </c>
      <c r="P251">
        <f t="shared" si="141"/>
        <v>90.000001535234517</v>
      </c>
      <c r="Q251">
        <f t="shared" si="142"/>
        <v>-2.8055037212820727E-10</v>
      </c>
      <c r="R251">
        <f t="shared" si="143"/>
        <v>180.0000015352345</v>
      </c>
      <c r="S251">
        <f t="shared" si="144"/>
        <v>-1</v>
      </c>
    </row>
    <row r="252" spans="2:70" x14ac:dyDescent="0.25">
      <c r="B252">
        <f t="shared" si="128"/>
        <v>0</v>
      </c>
      <c r="C252">
        <f t="shared" si="129"/>
        <v>0</v>
      </c>
      <c r="D252">
        <f t="shared" si="130"/>
        <v>-4.8965276278067904E-12</v>
      </c>
      <c r="E252">
        <f t="shared" si="131"/>
        <v>3.1415926267948961</v>
      </c>
      <c r="F252">
        <f t="shared" si="132"/>
        <v>12</v>
      </c>
      <c r="G252">
        <f t="shared" si="133"/>
        <v>-1.5707963267948966</v>
      </c>
      <c r="H252">
        <f t="shared" si="134"/>
        <v>3.1415926535897931</v>
      </c>
      <c r="J252">
        <f t="shared" si="135"/>
        <v>-90.000001535234517</v>
      </c>
      <c r="K252">
        <f t="shared" si="136"/>
        <v>180.00000307046903</v>
      </c>
      <c r="L252">
        <f t="shared" si="137"/>
        <v>3.1415926535897931</v>
      </c>
      <c r="M252">
        <f t="shared" si="138"/>
        <v>1.5707963267948966</v>
      </c>
      <c r="N252">
        <f t="shared" si="139"/>
        <v>12</v>
      </c>
      <c r="O252">
        <f t="shared" si="140"/>
        <v>180.00000307046903</v>
      </c>
      <c r="P252">
        <f t="shared" si="141"/>
        <v>90.000001535234517</v>
      </c>
      <c r="Q252">
        <f t="shared" si="142"/>
        <v>-2.8055037212820727E-10</v>
      </c>
      <c r="R252">
        <f t="shared" si="143"/>
        <v>180.0000015352345</v>
      </c>
      <c r="S252">
        <f t="shared" si="144"/>
        <v>-1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BO224"/>
  <sheetViews>
    <sheetView workbookViewId="0">
      <pane xSplit="24345" ySplit="1875" topLeftCell="Y1" activePane="bottomLeft"/>
      <selection activeCell="L2" sqref="L2"/>
      <selection pane="topRight" activeCell="AC6" sqref="AC6"/>
      <selection pane="bottomLeft" activeCell="F11" sqref="F11"/>
      <selection pane="bottomRight" activeCell="Y6" sqref="Y6"/>
    </sheetView>
  </sheetViews>
  <sheetFormatPr defaultRowHeight="15" x14ac:dyDescent="0.25"/>
  <cols>
    <col min="4" max="4" width="12.7109375" bestFit="1" customWidth="1"/>
    <col min="5" max="5" width="12" bestFit="1" customWidth="1"/>
    <col min="9" max="9" width="6.85546875" customWidth="1"/>
    <col min="11" max="11" width="12.7109375" bestFit="1" customWidth="1"/>
    <col min="20" max="20" width="4.140625" customWidth="1"/>
    <col min="21" max="21" width="6.28515625" customWidth="1"/>
    <col min="22" max="22" width="8.140625" customWidth="1"/>
    <col min="23" max="23" width="12" bestFit="1" customWidth="1"/>
    <col min="26" max="26" width="7.5703125" customWidth="1"/>
    <col min="27" max="27" width="7.28515625" customWidth="1"/>
    <col min="28" max="28" width="6.7109375" customWidth="1"/>
    <col min="29" max="29" width="5.5703125" customWidth="1"/>
    <col min="30" max="30" width="3.28515625" customWidth="1"/>
    <col min="34" max="34" width="5.140625" customWidth="1"/>
    <col min="35" max="35" width="5.42578125" customWidth="1"/>
    <col min="36" max="36" width="4.140625" customWidth="1"/>
    <col min="37" max="37" width="9" customWidth="1"/>
    <col min="38" max="38" width="10.5703125" customWidth="1"/>
  </cols>
  <sheetData>
    <row r="1" spans="1:67" x14ac:dyDescent="0.25">
      <c r="A1" t="s">
        <v>39</v>
      </c>
      <c r="C1">
        <v>40</v>
      </c>
      <c r="D1">
        <v>0.92289137421248435</v>
      </c>
      <c r="E1">
        <v>2.8532538575946007</v>
      </c>
      <c r="G1">
        <f>C2+E2+T2</f>
        <v>96</v>
      </c>
      <c r="W1" t="e">
        <f>W6-D6</f>
        <v>#NUM!</v>
      </c>
      <c r="Z1">
        <f>1.71-3.1415/2</f>
        <v>0.13924999999999987</v>
      </c>
      <c r="AA1">
        <f>9/65</f>
        <v>0.13846153846153847</v>
      </c>
    </row>
    <row r="2" spans="1:67" x14ac:dyDescent="0.25">
      <c r="B2" t="s">
        <v>0</v>
      </c>
      <c r="C2">
        <v>32</v>
      </c>
      <c r="D2" t="s">
        <v>1</v>
      </c>
      <c r="E2">
        <v>42</v>
      </c>
      <c r="F2" t="s">
        <v>2</v>
      </c>
      <c r="G2">
        <v>28</v>
      </c>
      <c r="I2" t="s">
        <v>19</v>
      </c>
      <c r="J2">
        <v>15</v>
      </c>
      <c r="K2" t="s">
        <v>20</v>
      </c>
      <c r="L2">
        <v>180</v>
      </c>
      <c r="M2" t="s">
        <v>22</v>
      </c>
      <c r="N2">
        <v>0</v>
      </c>
      <c r="O2" t="s">
        <v>21</v>
      </c>
      <c r="P2">
        <f>(L2-N2)/J2+1</f>
        <v>13</v>
      </c>
      <c r="Q2" t="s">
        <v>23</v>
      </c>
      <c r="R2">
        <v>107</v>
      </c>
      <c r="S2">
        <v>20</v>
      </c>
      <c r="T2">
        <v>22</v>
      </c>
      <c r="Z2">
        <f>ATAN2(65,-9)</f>
        <v>-0.13758673647034989</v>
      </c>
    </row>
    <row r="3" spans="1:67" x14ac:dyDescent="0.25">
      <c r="A3">
        <v>1</v>
      </c>
      <c r="B3">
        <v>2</v>
      </c>
      <c r="C3">
        <v>3</v>
      </c>
      <c r="D3">
        <v>4</v>
      </c>
      <c r="E3">
        <v>5</v>
      </c>
      <c r="F3">
        <v>6</v>
      </c>
      <c r="G3">
        <v>7</v>
      </c>
      <c r="H3">
        <v>8</v>
      </c>
      <c r="I3">
        <v>9</v>
      </c>
      <c r="J3">
        <v>10</v>
      </c>
      <c r="K3">
        <v>11</v>
      </c>
      <c r="L3">
        <v>12</v>
      </c>
      <c r="M3">
        <v>13</v>
      </c>
      <c r="N3">
        <v>14</v>
      </c>
      <c r="O3">
        <v>15</v>
      </c>
      <c r="P3">
        <v>16</v>
      </c>
      <c r="Q3">
        <v>17</v>
      </c>
      <c r="R3">
        <v>18</v>
      </c>
      <c r="S3">
        <v>19</v>
      </c>
      <c r="T3">
        <v>20</v>
      </c>
      <c r="U3">
        <v>21</v>
      </c>
      <c r="V3">
        <v>22</v>
      </c>
      <c r="W3">
        <v>23</v>
      </c>
      <c r="X3">
        <v>24</v>
      </c>
      <c r="Y3">
        <v>25</v>
      </c>
      <c r="Z3">
        <v>26</v>
      </c>
      <c r="AA3">
        <v>27</v>
      </c>
      <c r="AB3">
        <v>28</v>
      </c>
      <c r="AC3">
        <v>29</v>
      </c>
      <c r="AD3">
        <v>30</v>
      </c>
      <c r="AE3">
        <v>31</v>
      </c>
      <c r="AF3">
        <v>32</v>
      </c>
      <c r="AG3">
        <v>33</v>
      </c>
      <c r="AH3">
        <v>34</v>
      </c>
      <c r="AI3">
        <v>35</v>
      </c>
      <c r="AJ3">
        <v>36</v>
      </c>
      <c r="AK3">
        <v>37</v>
      </c>
      <c r="AL3">
        <v>38</v>
      </c>
      <c r="AM3">
        <v>39</v>
      </c>
      <c r="AN3">
        <v>40</v>
      </c>
      <c r="AO3">
        <v>41</v>
      </c>
      <c r="AP3">
        <v>42</v>
      </c>
      <c r="AQ3">
        <v>43</v>
      </c>
      <c r="AR3">
        <v>44</v>
      </c>
      <c r="AS3">
        <v>45</v>
      </c>
      <c r="AT3">
        <v>46</v>
      </c>
      <c r="AU3">
        <v>47</v>
      </c>
      <c r="AV3">
        <v>48</v>
      </c>
      <c r="AW3">
        <v>49</v>
      </c>
      <c r="AX3">
        <v>50</v>
      </c>
      <c r="AY3">
        <v>51</v>
      </c>
      <c r="AZ3">
        <v>52</v>
      </c>
      <c r="BA3">
        <v>53</v>
      </c>
      <c r="BB3">
        <v>54</v>
      </c>
      <c r="BC3">
        <v>55</v>
      </c>
      <c r="BD3">
        <v>56</v>
      </c>
      <c r="BE3">
        <v>57</v>
      </c>
      <c r="BF3">
        <v>58</v>
      </c>
      <c r="BG3">
        <v>59</v>
      </c>
      <c r="BH3">
        <v>60</v>
      </c>
      <c r="BI3">
        <v>61</v>
      </c>
      <c r="BJ3">
        <v>62</v>
      </c>
      <c r="BK3">
        <v>63</v>
      </c>
      <c r="BL3">
        <v>64</v>
      </c>
      <c r="BM3">
        <v>65</v>
      </c>
    </row>
    <row r="4" spans="1:67" x14ac:dyDescent="0.25">
      <c r="A4">
        <v>12</v>
      </c>
      <c r="E4" t="s">
        <v>42</v>
      </c>
      <c r="G4">
        <f>ATAN2(1,0)</f>
        <v>0</v>
      </c>
      <c r="W4">
        <v>2.6686184949798095</v>
      </c>
    </row>
    <row r="5" spans="1:67" ht="18.75" x14ac:dyDescent="0.3">
      <c r="B5" t="s">
        <v>5</v>
      </c>
      <c r="C5" t="s">
        <v>6</v>
      </c>
      <c r="D5" t="s">
        <v>3</v>
      </c>
      <c r="E5" t="s">
        <v>4</v>
      </c>
      <c r="F5" t="s">
        <v>7</v>
      </c>
      <c r="G5" t="s">
        <v>8</v>
      </c>
      <c r="H5" t="s">
        <v>9</v>
      </c>
      <c r="J5" t="s">
        <v>10</v>
      </c>
      <c r="K5" t="s">
        <v>11</v>
      </c>
      <c r="L5" t="s">
        <v>12</v>
      </c>
      <c r="M5" t="s">
        <v>13</v>
      </c>
      <c r="N5" t="s">
        <v>49</v>
      </c>
      <c r="O5" t="s">
        <v>15</v>
      </c>
      <c r="P5" t="s">
        <v>16</v>
      </c>
      <c r="Q5" t="s">
        <v>17</v>
      </c>
      <c r="R5" t="s">
        <v>18</v>
      </c>
      <c r="U5" t="s">
        <v>43</v>
      </c>
      <c r="V5" t="s">
        <v>44</v>
      </c>
      <c r="W5" t="s">
        <v>45</v>
      </c>
      <c r="X5" t="s">
        <v>46</v>
      </c>
      <c r="Y5" t="s">
        <v>14</v>
      </c>
      <c r="Z5" t="s">
        <v>47</v>
      </c>
      <c r="AA5" t="s">
        <v>48</v>
      </c>
      <c r="AB5" t="s">
        <v>5</v>
      </c>
      <c r="AC5" t="s">
        <v>6</v>
      </c>
      <c r="AH5" s="1" t="s">
        <v>51</v>
      </c>
      <c r="AI5" s="1" t="s">
        <v>24</v>
      </c>
      <c r="AJ5" s="1" t="s">
        <v>25</v>
      </c>
      <c r="AK5" s="3" t="s">
        <v>52</v>
      </c>
      <c r="AL5" s="3" t="s">
        <v>53</v>
      </c>
      <c r="AY5" t="s">
        <v>24</v>
      </c>
      <c r="AZ5" t="s">
        <v>25</v>
      </c>
      <c r="BA5" t="s">
        <v>26</v>
      </c>
      <c r="BB5" t="s">
        <v>27</v>
      </c>
      <c r="BC5" t="s">
        <v>28</v>
      </c>
      <c r="BD5" t="s">
        <v>29</v>
      </c>
      <c r="BE5" t="s">
        <v>30</v>
      </c>
      <c r="BF5" t="s">
        <v>31</v>
      </c>
      <c r="BG5" t="s">
        <v>32</v>
      </c>
      <c r="BH5" t="s">
        <v>33</v>
      </c>
      <c r="BI5" t="s">
        <v>34</v>
      </c>
      <c r="BJ5" t="s">
        <v>35</v>
      </c>
      <c r="BK5" t="s">
        <v>36</v>
      </c>
      <c r="BL5" t="s">
        <v>37</v>
      </c>
      <c r="BM5" t="s">
        <v>38</v>
      </c>
      <c r="BN5" t="s">
        <v>40</v>
      </c>
      <c r="BO5" t="s">
        <v>41</v>
      </c>
    </row>
    <row r="6" spans="1:67" x14ac:dyDescent="0.25">
      <c r="A6">
        <v>0</v>
      </c>
      <c r="B6" t="e">
        <f>AB6</f>
        <v>#NUM!</v>
      </c>
      <c r="C6" t="e">
        <f>AC6</f>
        <v>#NUM!</v>
      </c>
      <c r="D6" t="e">
        <f t="shared" ref="D6:D62" si="0">3.14159265358/2-G6-H6</f>
        <v>#NUM!</v>
      </c>
      <c r="E6" t="e">
        <f>3.1415926/2+L6-M6</f>
        <v>#NUM!</v>
      </c>
      <c r="F6" t="e">
        <f>SQRT( C6*C6+(B6+$G$2)*(B6+$G$2)     )</f>
        <v>#NUM!</v>
      </c>
      <c r="G6" t="e">
        <f>ATAN2(  C6, -B6-$G$2)</f>
        <v>#NUM!</v>
      </c>
      <c r="H6" t="e">
        <f xml:space="preserve"> ACOS((F6*F6+$C$2*$C$2-$E$2*$E$2)/(2*F6*$C$2))</f>
        <v>#NUM!</v>
      </c>
      <c r="J6" t="e">
        <f>G6*180/3.1415926</f>
        <v>#NUM!</v>
      </c>
      <c r="K6" t="e">
        <f>H6*180/3.1415926</f>
        <v>#NUM!</v>
      </c>
      <c r="L6" t="e">
        <f>ACOS( ($C$2*$C$2+N6*N6-$E$2*$E$2)/(2*$C$2*N6))</f>
        <v>#NUM!</v>
      </c>
      <c r="M6" t="e">
        <f>ATAN2(C6,-B6+$G$2)</f>
        <v>#NUM!</v>
      </c>
      <c r="N6" t="e">
        <f>SQRT(C6*C6+(-B6+$G$2)*(-B6+$G$2))</f>
        <v>#NUM!</v>
      </c>
      <c r="O6" t="e">
        <f>L6*180/3.1415926</f>
        <v>#NUM!</v>
      </c>
      <c r="P6" t="e">
        <f>M6*180/3.1415926</f>
        <v>#NUM!</v>
      </c>
      <c r="Q6" t="e">
        <f>D6*180/3.1415926</f>
        <v>#NUM!</v>
      </c>
      <c r="R6" t="e">
        <f>E6*180/3.1415926</f>
        <v>#NUM!</v>
      </c>
      <c r="S6" t="e">
        <f xml:space="preserve"> ((F6*F6+$C$2*$C$2-$E$2*$E$2)/(2*F6*$C$2))</f>
        <v>#NUM!</v>
      </c>
      <c r="U6">
        <v>40</v>
      </c>
      <c r="V6">
        <v>80</v>
      </c>
      <c r="W6" t="e">
        <f t="shared" ref="W6:W69" si="1">3.14159265358/2-Z6-AA6</f>
        <v>#NUM!</v>
      </c>
      <c r="X6">
        <f>3.1415926/2+AE6-AF6</f>
        <v>-58.429203700000002</v>
      </c>
      <c r="Y6">
        <f>SQRT( V6*V6+(U6+$G$2)*(U6+$G$2)     )</f>
        <v>104.9952379872535</v>
      </c>
      <c r="Z6">
        <f>ATAN2(  V6, -U6-$G$2)</f>
        <v>-0.70449406424221772</v>
      </c>
      <c r="AA6" t="e">
        <f xml:space="preserve"> ACOS((Y6*Y6+$C$2*$C$2-($E$2+$T$2)*($E$2+$T$2))/(2*Y6*$C$2))</f>
        <v>#NUM!</v>
      </c>
      <c r="AB6" t="e">
        <f>-$G$2-$C$2*COS(W6)+(U6+$G$2+COS(W6)*$C$2)*$E$2/($E$2+$T$2)</f>
        <v>#NUM!</v>
      </c>
      <c r="AC6" t="e">
        <f>$C$2*SIN(W6)+(V6-$C$2*SIN(W6))*$E$2/($T$2+$E$2)</f>
        <v>#NUM!</v>
      </c>
      <c r="AE6">
        <v>0</v>
      </c>
      <c r="AF6">
        <v>60</v>
      </c>
      <c r="AH6" s="1">
        <v>0</v>
      </c>
      <c r="AI6" s="1">
        <f>U6</f>
        <v>40</v>
      </c>
      <c r="AJ6" s="1">
        <f>V6</f>
        <v>80</v>
      </c>
      <c r="AK6" s="2" t="e">
        <f>D6*180/3.1415926</f>
        <v>#NUM!</v>
      </c>
      <c r="AL6" s="2" t="e">
        <f>E6*180/3.1415926</f>
        <v>#NUM!</v>
      </c>
      <c r="AY6">
        <v>25.831728158814009</v>
      </c>
      <c r="AZ6">
        <v>63.169668065207517</v>
      </c>
    </row>
    <row r="7" spans="1:67" x14ac:dyDescent="0.25">
      <c r="A7">
        <v>1</v>
      </c>
      <c r="B7">
        <f t="shared" ref="B7:C70" si="2">AB7</f>
        <v>5.7056752346324089</v>
      </c>
      <c r="C7">
        <f t="shared" si="2"/>
        <v>63.276594859199697</v>
      </c>
      <c r="D7">
        <f t="shared" si="0"/>
        <v>1.7726808451912686</v>
      </c>
      <c r="E7">
        <f t="shared" ref="E7:E62" si="3">3.1415926/2+L7-M7</f>
        <v>1.7354945790183747</v>
      </c>
      <c r="F7">
        <f t="shared" ref="F7:F62" si="4">SQRT( C7*C7+(B7+$G$2)*(B7+$G$2)     )</f>
        <v>71.693793315724406</v>
      </c>
      <c r="G7">
        <f t="shared" ref="G7:G62" si="5">ATAN2(  C7, -B7-$G$2)</f>
        <v>-0.48944236627575721</v>
      </c>
      <c r="H7">
        <f t="shared" ref="H7:H62" si="6" xml:space="preserve"> ACOS((F7*F7+$C$2*$C$2-$E$2*$E$2)/(2*F7*$C$2))</f>
        <v>0.28755784787448868</v>
      </c>
      <c r="J7">
        <f t="shared" ref="J7:K22" si="7">G7*180/3.1415926</f>
        <v>-28.042982380858774</v>
      </c>
      <c r="K7">
        <f t="shared" si="7"/>
        <v>16.475851330120896</v>
      </c>
      <c r="L7">
        <f t="shared" ref="L7:L62" si="8">ACOS( ($C$2*$C$2+N7*N7-$E$2*$E$2)/(2*$C$2*N7))</f>
        <v>0.5034484665157648</v>
      </c>
      <c r="M7">
        <f t="shared" ref="M7:M62" si="9">ATAN2(C7,-B7+$G$2)</f>
        <v>0.33875018749739016</v>
      </c>
      <c r="N7">
        <f t="shared" ref="N7:N62" si="10">SQRT(C7*C7+(-B7+$G$2)*(-B7+$G$2))</f>
        <v>67.089226957231958</v>
      </c>
      <c r="O7">
        <f t="shared" ref="O7:P22" si="11">L7*180/3.1415926</f>
        <v>28.845472825737389</v>
      </c>
      <c r="P7">
        <f t="shared" si="11"/>
        <v>19.408956383946862</v>
      </c>
      <c r="Q7">
        <f t="shared" ref="Q7:R22" si="12">D7*180/3.1415926</f>
        <v>101.56713258569184</v>
      </c>
      <c r="R7">
        <f t="shared" si="12"/>
        <v>99.436516441790516</v>
      </c>
      <c r="S7">
        <f t="shared" ref="S7:S62" si="13" xml:space="preserve"> ((F7*F7+$C$2*$C$2-$E$2*$E$2)/(2*F7*$C$2))</f>
        <v>0.95893935611978598</v>
      </c>
      <c r="U7">
        <v>20</v>
      </c>
      <c r="V7">
        <v>80</v>
      </c>
      <c r="W7">
        <f t="shared" si="1"/>
        <v>1.7726808451929517</v>
      </c>
      <c r="X7">
        <f t="shared" ref="X7:X70" si="14">3.1415926/2+AE7-AF7</f>
        <v>-40.855610899361977</v>
      </c>
      <c r="Y7">
        <f t="shared" ref="Y7:Y70" si="15">SQRT( V7*V7+(U7+$G$2)*(U7+$G$2)     )</f>
        <v>93.295230317524812</v>
      </c>
      <c r="Z7">
        <f t="shared" ref="Z7:Z70" si="16">ATAN2(  V7, -U7-$G$2)</f>
        <v>-0.54041950027058416</v>
      </c>
      <c r="AA7">
        <f t="shared" ref="AA7:AA70" si="17" xml:space="preserve"> ACOS((Y7*Y7+$C$2*$C$2-($E$2+$T$2)*($E$2+$T$2))/(2*Y7*$C$2))</f>
        <v>0.33853498186763242</v>
      </c>
      <c r="AB7">
        <f t="shared" ref="AB7:AB70" si="18">-$G$2-$C$2*COS(W7)+(U7+$G$2+COS(W7)*$C$2)*$E$2/($E$2+$T$2)</f>
        <v>5.7056752346324089</v>
      </c>
      <c r="AC7">
        <f t="shared" ref="AC7:AC70" si="19">$C$2*SIN(W7)+(V7-$C$2*SIN(W7))*$E$2/($T$2+$E$2)</f>
        <v>63.276594859199697</v>
      </c>
      <c r="AE7">
        <v>15.529142447332418</v>
      </c>
      <c r="AF7">
        <v>57.955549646694394</v>
      </c>
      <c r="AH7" s="1">
        <v>1</v>
      </c>
      <c r="AI7" s="1">
        <f t="shared" ref="AI7:AJ22" si="20">U7</f>
        <v>20</v>
      </c>
      <c r="AJ7" s="1">
        <f t="shared" si="20"/>
        <v>80</v>
      </c>
      <c r="AK7" s="2">
        <f t="shared" ref="AK7:AL22" si="21">D7*180/3.1415926</f>
        <v>101.56713258569184</v>
      </c>
      <c r="AL7" s="2">
        <f t="shared" si="21"/>
        <v>99.436516441790516</v>
      </c>
      <c r="AY7">
        <v>6.2470713789350008</v>
      </c>
      <c r="AZ7">
        <v>62.828600687599199</v>
      </c>
    </row>
    <row r="8" spans="1:67" x14ac:dyDescent="0.25">
      <c r="A8">
        <v>2</v>
      </c>
      <c r="B8">
        <f t="shared" si="2"/>
        <v>-13.641964142997729</v>
      </c>
      <c r="C8">
        <f t="shared" si="2"/>
        <v>62.740312450011984</v>
      </c>
      <c r="D8">
        <f t="shared" si="0"/>
        <v>1.1969717259447139</v>
      </c>
      <c r="E8" t="e">
        <f t="shared" si="3"/>
        <v>#NUM!</v>
      </c>
      <c r="F8">
        <f t="shared" si="4"/>
        <v>64.362256020093739</v>
      </c>
      <c r="G8">
        <f t="shared" si="5"/>
        <v>-0.22497461047293779</v>
      </c>
      <c r="H8">
        <f t="shared" si="6"/>
        <v>0.59879921131822389</v>
      </c>
      <c r="J8">
        <f t="shared" si="7"/>
        <v>-12.890095897580354</v>
      </c>
      <c r="K8">
        <f t="shared" si="7"/>
        <v>34.308668169539324</v>
      </c>
      <c r="L8" t="e">
        <f t="shared" si="8"/>
        <v>#NUM!</v>
      </c>
      <c r="M8">
        <f t="shared" si="9"/>
        <v>0.58595942948580748</v>
      </c>
      <c r="N8">
        <f t="shared" si="10"/>
        <v>75.302058298640404</v>
      </c>
      <c r="O8" t="e">
        <f t="shared" si="11"/>
        <v>#NUM!</v>
      </c>
      <c r="P8">
        <f t="shared" si="11"/>
        <v>33.57300284812402</v>
      </c>
      <c r="Q8">
        <f t="shared" si="12"/>
        <v>68.581429262994988</v>
      </c>
      <c r="R8" t="e">
        <f t="shared" si="12"/>
        <v>#NUM!</v>
      </c>
      <c r="S8">
        <f t="shared" si="13"/>
        <v>0.82601303601510268</v>
      </c>
      <c r="U8">
        <v>0</v>
      </c>
      <c r="V8">
        <v>80</v>
      </c>
      <c r="W8">
        <f t="shared" si="1"/>
        <v>1.196971725946397</v>
      </c>
      <c r="X8">
        <f t="shared" si="14"/>
        <v>-20.390728659116508</v>
      </c>
      <c r="Y8">
        <f t="shared" si="15"/>
        <v>84.758480401668365</v>
      </c>
      <c r="Z8">
        <f t="shared" si="16"/>
        <v>-0.33667481938672716</v>
      </c>
      <c r="AA8">
        <f t="shared" si="17"/>
        <v>0.7104994202303303</v>
      </c>
      <c r="AB8">
        <f t="shared" si="18"/>
        <v>-13.641964142997729</v>
      </c>
      <c r="AC8">
        <f t="shared" si="19"/>
        <v>62.740312450011984</v>
      </c>
      <c r="AE8">
        <v>29.999999535898773</v>
      </c>
      <c r="AF8">
        <v>51.961524495015283</v>
      </c>
      <c r="AH8" s="1">
        <v>2</v>
      </c>
      <c r="AI8" s="1">
        <f t="shared" si="20"/>
        <v>0</v>
      </c>
      <c r="AJ8" s="1">
        <f t="shared" si="20"/>
        <v>80</v>
      </c>
      <c r="AK8" s="2">
        <f t="shared" si="21"/>
        <v>68.581429262994988</v>
      </c>
      <c r="AL8" s="2" t="e">
        <f t="shared" si="21"/>
        <v>#NUM!</v>
      </c>
      <c r="AY8">
        <v>-10.476366362152248</v>
      </c>
      <c r="AZ8">
        <v>60.654567778201482</v>
      </c>
    </row>
    <row r="9" spans="1:67" x14ac:dyDescent="0.25">
      <c r="A9">
        <v>3</v>
      </c>
      <c r="B9">
        <f t="shared" si="2"/>
        <v>-30.258942524896298</v>
      </c>
      <c r="C9">
        <f t="shared" si="2"/>
        <v>60.538394252448924</v>
      </c>
      <c r="D9">
        <f t="shared" si="0"/>
        <v>0.81943918349825007</v>
      </c>
      <c r="E9" t="e">
        <f t="shared" si="3"/>
        <v>#NUM!</v>
      </c>
      <c r="F9">
        <f t="shared" si="4"/>
        <v>60.580524923408561</v>
      </c>
      <c r="G9">
        <f t="shared" si="5"/>
        <v>3.7296909086035973E-2</v>
      </c>
      <c r="H9">
        <f t="shared" si="6"/>
        <v>0.71406023420571396</v>
      </c>
      <c r="J9">
        <f t="shared" si="7"/>
        <v>2.1369555159655249</v>
      </c>
      <c r="K9">
        <f t="shared" si="7"/>
        <v>40.912638436004876</v>
      </c>
      <c r="L9" t="e">
        <f t="shared" si="8"/>
        <v>#NUM!</v>
      </c>
      <c r="M9">
        <f t="shared" si="9"/>
        <v>0.76621278340582133</v>
      </c>
      <c r="N9">
        <f t="shared" si="10"/>
        <v>84.017864545488848</v>
      </c>
      <c r="O9" t="e">
        <f t="shared" si="11"/>
        <v>#NUM!</v>
      </c>
      <c r="P9">
        <f t="shared" si="11"/>
        <v>43.900759446991266</v>
      </c>
      <c r="Q9">
        <f t="shared" si="12"/>
        <v>46.950407582983544</v>
      </c>
      <c r="R9" t="e">
        <f t="shared" si="12"/>
        <v>#NUM!</v>
      </c>
      <c r="S9">
        <f t="shared" si="13"/>
        <v>0.75570903450925941</v>
      </c>
      <c r="U9">
        <v>-20</v>
      </c>
      <c r="V9">
        <v>80</v>
      </c>
      <c r="W9">
        <f t="shared" si="1"/>
        <v>0.81943918349993361</v>
      </c>
      <c r="X9">
        <f t="shared" si="14"/>
        <v>1.5707951631888193</v>
      </c>
      <c r="Y9">
        <f t="shared" si="15"/>
        <v>80.39900496896712</v>
      </c>
      <c r="Z9">
        <f t="shared" si="16"/>
        <v>-9.9668652491162038E-2</v>
      </c>
      <c r="AA9">
        <f t="shared" si="17"/>
        <v>0.8510257957812285</v>
      </c>
      <c r="AB9">
        <f t="shared" si="18"/>
        <v>-30.258942524896298</v>
      </c>
      <c r="AC9">
        <f t="shared" si="19"/>
        <v>60.538394252448924</v>
      </c>
      <c r="AE9">
        <v>42.426406302787257</v>
      </c>
      <c r="AF9">
        <v>42.426407439598435</v>
      </c>
      <c r="AH9" s="1">
        <v>3</v>
      </c>
      <c r="AI9" s="1">
        <f t="shared" si="20"/>
        <v>-20</v>
      </c>
      <c r="AJ9" s="1">
        <f t="shared" si="20"/>
        <v>80</v>
      </c>
      <c r="AK9" s="2">
        <f t="shared" si="21"/>
        <v>46.950407582983544</v>
      </c>
      <c r="AL9" s="2" t="e">
        <f t="shared" si="21"/>
        <v>#NUM!</v>
      </c>
      <c r="AY9">
        <v>-25.334503129260767</v>
      </c>
      <c r="AZ9">
        <v>58.656544882186154</v>
      </c>
    </row>
    <row r="10" spans="1:67" x14ac:dyDescent="0.25">
      <c r="A10">
        <v>4</v>
      </c>
      <c r="B10">
        <f t="shared" si="2"/>
        <v>-45.038795011103623</v>
      </c>
      <c r="C10">
        <f t="shared" si="2"/>
        <v>58.584805748294059</v>
      </c>
      <c r="D10">
        <f t="shared" si="0"/>
        <v>0.58615765004738207</v>
      </c>
      <c r="E10" t="e">
        <f t="shared" si="3"/>
        <v>#NUM!</v>
      </c>
      <c r="F10">
        <f t="shared" si="4"/>
        <v>61.012293843091641</v>
      </c>
      <c r="G10">
        <f t="shared" si="5"/>
        <v>0.2830319283356531</v>
      </c>
      <c r="H10">
        <f t="shared" si="6"/>
        <v>0.70160674840696491</v>
      </c>
      <c r="J10">
        <f t="shared" si="7"/>
        <v>16.216535237706363</v>
      </c>
      <c r="K10">
        <f t="shared" si="7"/>
        <v>40.199106247338911</v>
      </c>
      <c r="L10" t="e">
        <f t="shared" si="8"/>
        <v>#NUM!</v>
      </c>
      <c r="M10">
        <f t="shared" si="9"/>
        <v>0.89477297305838577</v>
      </c>
      <c r="N10">
        <f t="shared" si="10"/>
        <v>93.63143190851757</v>
      </c>
      <c r="O10" t="e">
        <f t="shared" si="11"/>
        <v>#NUM!</v>
      </c>
      <c r="P10">
        <f t="shared" si="11"/>
        <v>51.266715853134308</v>
      </c>
      <c r="Q10">
        <f t="shared" si="12"/>
        <v>33.584360049908689</v>
      </c>
      <c r="R10" t="e">
        <f t="shared" si="12"/>
        <v>#NUM!</v>
      </c>
      <c r="S10">
        <f t="shared" si="13"/>
        <v>0.76380610471360544</v>
      </c>
      <c r="U10">
        <v>-40</v>
      </c>
      <c r="V10">
        <v>80</v>
      </c>
      <c r="W10">
        <f t="shared" si="1"/>
        <v>0.58615765004906539</v>
      </c>
      <c r="X10">
        <f t="shared" si="14"/>
        <v>23.532319062965925</v>
      </c>
      <c r="Y10">
        <f t="shared" si="15"/>
        <v>80.894993664626739</v>
      </c>
      <c r="Z10">
        <f t="shared" si="16"/>
        <v>0.14888994760949725</v>
      </c>
      <c r="AA10">
        <f t="shared" si="17"/>
        <v>0.8357487291314375</v>
      </c>
      <c r="AB10">
        <f t="shared" si="18"/>
        <v>-45.038795011103623</v>
      </c>
      <c r="AC10">
        <f t="shared" si="19"/>
        <v>58.584805748294059</v>
      </c>
      <c r="AE10">
        <v>51.961523691168374</v>
      </c>
      <c r="AF10">
        <v>30.000000928202446</v>
      </c>
      <c r="AH10" s="1">
        <v>4</v>
      </c>
      <c r="AI10" s="1">
        <f t="shared" si="20"/>
        <v>-40</v>
      </c>
      <c r="AJ10" s="1">
        <f t="shared" si="20"/>
        <v>80</v>
      </c>
      <c r="AK10" s="2">
        <f t="shared" si="21"/>
        <v>33.584360049908689</v>
      </c>
      <c r="AL10" s="2" t="e">
        <f t="shared" si="21"/>
        <v>#NUM!</v>
      </c>
      <c r="AY10">
        <v>-38.852682394788737</v>
      </c>
      <c r="AZ10">
        <v>58.029937134483291</v>
      </c>
    </row>
    <row r="11" spans="1:67" x14ac:dyDescent="0.25">
      <c r="A11">
        <v>5</v>
      </c>
      <c r="B11">
        <f t="shared" si="2"/>
        <v>20.595521206660788</v>
      </c>
      <c r="C11">
        <f t="shared" si="2"/>
        <v>49.633409299080292</v>
      </c>
      <c r="D11">
        <f t="shared" si="0"/>
        <v>1.9400896346724108</v>
      </c>
      <c r="E11">
        <f t="shared" si="3"/>
        <v>2.4067049548562283</v>
      </c>
      <c r="F11">
        <f t="shared" si="4"/>
        <v>69.462219947227766</v>
      </c>
      <c r="G11">
        <f t="shared" si="5"/>
        <v>-0.77483254422421666</v>
      </c>
      <c r="H11">
        <f t="shared" si="6"/>
        <v>0.405539236341806</v>
      </c>
      <c r="J11">
        <f t="shared" si="7"/>
        <v>-44.394635370722163</v>
      </c>
      <c r="K11">
        <f t="shared" si="7"/>
        <v>23.235687065701988</v>
      </c>
      <c r="L11">
        <f t="shared" si="8"/>
        <v>0.98399983752586506</v>
      </c>
      <c r="M11">
        <f t="shared" si="9"/>
        <v>0.14809118266963686</v>
      </c>
      <c r="N11">
        <f t="shared" si="10"/>
        <v>50.182682519481162</v>
      </c>
      <c r="O11">
        <f t="shared" si="11"/>
        <v>56.379038693513515</v>
      </c>
      <c r="P11">
        <f t="shared" si="11"/>
        <v>8.4849998948096061</v>
      </c>
      <c r="Q11">
        <f t="shared" si="12"/>
        <v>111.15894983997414</v>
      </c>
      <c r="R11">
        <f t="shared" si="12"/>
        <v>137.89403879870392</v>
      </c>
      <c r="S11">
        <f t="shared" si="13"/>
        <v>0.91888979431474727</v>
      </c>
      <c r="U11">
        <v>40</v>
      </c>
      <c r="V11">
        <v>60</v>
      </c>
      <c r="W11">
        <f t="shared" si="1"/>
        <v>1.9400896346740943</v>
      </c>
      <c r="X11">
        <f t="shared" si="14"/>
        <v>43.997201530347233</v>
      </c>
      <c r="Y11">
        <f t="shared" si="15"/>
        <v>90.686272390037075</v>
      </c>
      <c r="Z11">
        <f t="shared" si="16"/>
        <v>-0.84781697339340567</v>
      </c>
      <c r="AA11">
        <f t="shared" si="17"/>
        <v>0.47852366550931147</v>
      </c>
      <c r="AB11">
        <f t="shared" si="18"/>
        <v>20.595521206660788</v>
      </c>
      <c r="AC11">
        <f t="shared" si="19"/>
        <v>49.633409299080292</v>
      </c>
      <c r="AE11">
        <v>57.955549230592602</v>
      </c>
      <c r="AF11">
        <v>15.529144000245365</v>
      </c>
      <c r="AH11" s="1">
        <v>5</v>
      </c>
      <c r="AI11" s="1">
        <f t="shared" si="20"/>
        <v>40</v>
      </c>
      <c r="AJ11" s="1">
        <f t="shared" si="20"/>
        <v>60</v>
      </c>
      <c r="AK11" s="2">
        <f t="shared" si="21"/>
        <v>111.15894983997414</v>
      </c>
      <c r="AL11" s="2">
        <f t="shared" si="21"/>
        <v>137.89403879870392</v>
      </c>
    </row>
    <row r="12" spans="1:67" x14ac:dyDescent="0.25">
      <c r="A12">
        <v>6</v>
      </c>
      <c r="B12">
        <f t="shared" si="2"/>
        <v>0.43512526590064482</v>
      </c>
      <c r="C12">
        <f t="shared" si="2"/>
        <v>49.939399787223095</v>
      </c>
      <c r="D12">
        <f t="shared" si="0"/>
        <v>1.288434235864055</v>
      </c>
      <c r="E12">
        <f t="shared" si="3"/>
        <v>1.8777177415324584</v>
      </c>
      <c r="F12">
        <f t="shared" si="4"/>
        <v>57.467382052739794</v>
      </c>
      <c r="G12">
        <f t="shared" si="5"/>
        <v>-0.51760996771247281</v>
      </c>
      <c r="H12">
        <f t="shared" si="6"/>
        <v>0.79997205863841792</v>
      </c>
      <c r="J12">
        <f t="shared" si="7"/>
        <v>-29.656867089719114</v>
      </c>
      <c r="K12">
        <f t="shared" si="7"/>
        <v>45.83502347023456</v>
      </c>
      <c r="L12">
        <f t="shared" si="8"/>
        <v>0.81127317250038467</v>
      </c>
      <c r="M12">
        <f t="shared" si="9"/>
        <v>0.50435173096792618</v>
      </c>
      <c r="N12">
        <f t="shared" si="10"/>
        <v>57.041791435882224</v>
      </c>
      <c r="O12">
        <f t="shared" si="11"/>
        <v>46.482529609367312</v>
      </c>
      <c r="P12">
        <f t="shared" si="11"/>
        <v>28.897226067513245</v>
      </c>
      <c r="Q12">
        <f t="shared" si="12"/>
        <v>73.82184515443852</v>
      </c>
      <c r="R12">
        <f t="shared" si="12"/>
        <v>107.58530354185406</v>
      </c>
      <c r="S12">
        <f t="shared" si="13"/>
        <v>0.69672675298111542</v>
      </c>
      <c r="U12">
        <v>20</v>
      </c>
      <c r="V12">
        <v>60</v>
      </c>
      <c r="W12">
        <f t="shared" si="1"/>
        <v>1.2884342358657381</v>
      </c>
      <c r="X12">
        <f t="shared" si="14"/>
        <v>61.57079469230618</v>
      </c>
      <c r="Y12">
        <f t="shared" si="15"/>
        <v>76.837490849194182</v>
      </c>
      <c r="Z12">
        <f t="shared" si="16"/>
        <v>-0.67474094222355274</v>
      </c>
      <c r="AA12">
        <f t="shared" si="17"/>
        <v>0.95710303314781475</v>
      </c>
      <c r="AB12">
        <f t="shared" si="18"/>
        <v>0.43512526590064482</v>
      </c>
      <c r="AC12">
        <f t="shared" si="19"/>
        <v>49.939399787223095</v>
      </c>
      <c r="AE12">
        <v>59.999999999999979</v>
      </c>
      <c r="AF12">
        <v>1.6076937967568483E-6</v>
      </c>
      <c r="AH12" s="1">
        <v>6</v>
      </c>
      <c r="AI12" s="1">
        <f t="shared" si="20"/>
        <v>20</v>
      </c>
      <c r="AJ12" s="1">
        <f t="shared" si="20"/>
        <v>60</v>
      </c>
      <c r="AK12" s="2">
        <f t="shared" si="21"/>
        <v>73.82184515443852</v>
      </c>
      <c r="AL12" s="2">
        <f t="shared" si="21"/>
        <v>107.58530354185406</v>
      </c>
    </row>
    <row r="13" spans="1:67" x14ac:dyDescent="0.25">
      <c r="A13">
        <v>7</v>
      </c>
      <c r="B13">
        <f t="shared" si="2"/>
        <v>-17.662976938920252</v>
      </c>
      <c r="C13">
        <f t="shared" si="2"/>
        <v>46.884389238106266</v>
      </c>
      <c r="D13">
        <f t="shared" si="0"/>
        <v>0.75141271717926839</v>
      </c>
      <c r="E13">
        <f t="shared" si="3"/>
        <v>1.3610813632727765</v>
      </c>
      <c r="F13">
        <f t="shared" si="4"/>
        <v>48.010415536584858</v>
      </c>
      <c r="G13">
        <f t="shared" si="5"/>
        <v>-0.21700714176849153</v>
      </c>
      <c r="H13">
        <f t="shared" si="6"/>
        <v>1.0363907513792232</v>
      </c>
      <c r="J13">
        <f t="shared" si="7"/>
        <v>-12.433593559625928</v>
      </c>
      <c r="K13">
        <f t="shared" si="7"/>
        <v>59.380816993349228</v>
      </c>
      <c r="L13">
        <f t="shared" si="8"/>
        <v>0.56248629366014136</v>
      </c>
      <c r="M13">
        <f t="shared" si="9"/>
        <v>0.77220123038736488</v>
      </c>
      <c r="N13">
        <f t="shared" si="10"/>
        <v>65.446569177876825</v>
      </c>
      <c r="O13">
        <f t="shared" si="11"/>
        <v>32.2280912104343</v>
      </c>
      <c r="P13">
        <f t="shared" si="11"/>
        <v>44.243872190724431</v>
      </c>
      <c r="Q13">
        <f t="shared" si="12"/>
        <v>43.052778101230672</v>
      </c>
      <c r="R13">
        <f t="shared" si="12"/>
        <v>77.984219019709855</v>
      </c>
      <c r="S13">
        <f t="shared" si="13"/>
        <v>0.50932958456268107</v>
      </c>
      <c r="U13">
        <v>0</v>
      </c>
      <c r="V13">
        <v>60</v>
      </c>
      <c r="W13">
        <f t="shared" si="1"/>
        <v>0.75141271718095148</v>
      </c>
      <c r="X13">
        <f t="shared" si="14"/>
        <v>75.055487257215589</v>
      </c>
      <c r="Y13">
        <f t="shared" si="15"/>
        <v>66.211781428987393</v>
      </c>
      <c r="Z13">
        <f t="shared" si="16"/>
        <v>-0.43662715981354133</v>
      </c>
      <c r="AA13">
        <f t="shared" si="17"/>
        <v>1.2560107694225897</v>
      </c>
      <c r="AB13">
        <f t="shared" si="18"/>
        <v>-17.662976938920252</v>
      </c>
      <c r="AC13">
        <f t="shared" si="19"/>
        <v>46.884389238106266</v>
      </c>
      <c r="AE13">
        <v>57.955550062796135</v>
      </c>
      <c r="AF13">
        <v>-15.529140894419459</v>
      </c>
      <c r="AH13" s="1">
        <v>7</v>
      </c>
      <c r="AI13" s="1">
        <f t="shared" si="20"/>
        <v>0</v>
      </c>
      <c r="AJ13" s="1">
        <f t="shared" si="20"/>
        <v>60</v>
      </c>
      <c r="AK13" s="2">
        <f t="shared" si="21"/>
        <v>43.052778101230672</v>
      </c>
      <c r="AL13" s="2">
        <f t="shared" si="21"/>
        <v>77.984219019709855</v>
      </c>
    </row>
    <row r="14" spans="1:67" x14ac:dyDescent="0.25">
      <c r="A14">
        <v>8</v>
      </c>
      <c r="B14">
        <f t="shared" si="2"/>
        <v>-33.303282787786259</v>
      </c>
      <c r="C14">
        <f t="shared" si="2"/>
        <v>42.47793770498447</v>
      </c>
      <c r="D14">
        <f t="shared" si="0"/>
        <v>0.28596693057134193</v>
      </c>
      <c r="E14" t="e">
        <f t="shared" si="3"/>
        <v>#NUM!</v>
      </c>
      <c r="F14">
        <f t="shared" si="4"/>
        <v>42.807709585958591</v>
      </c>
      <c r="G14">
        <f t="shared" si="5"/>
        <v>0.12420526579593749</v>
      </c>
      <c r="H14">
        <f t="shared" si="6"/>
        <v>1.1606241304227205</v>
      </c>
      <c r="J14">
        <f t="shared" si="7"/>
        <v>7.1164376448011586</v>
      </c>
      <c r="K14">
        <f t="shared" si="7"/>
        <v>66.498865408611437</v>
      </c>
      <c r="L14" t="e">
        <f t="shared" si="8"/>
        <v>#NUM!</v>
      </c>
      <c r="M14">
        <f t="shared" si="9"/>
        <v>0.96484153178353516</v>
      </c>
      <c r="N14">
        <f t="shared" si="10"/>
        <v>74.581952724689586</v>
      </c>
      <c r="O14" t="e">
        <f t="shared" si="11"/>
        <v>#NUM!</v>
      </c>
      <c r="P14">
        <f t="shared" si="11"/>
        <v>55.281348613132181</v>
      </c>
      <c r="Q14">
        <f t="shared" si="12"/>
        <v>16.384698481541349</v>
      </c>
      <c r="R14" t="e">
        <f t="shared" si="12"/>
        <v>#NUM!</v>
      </c>
      <c r="S14">
        <f t="shared" si="13"/>
        <v>0.39876724695247823</v>
      </c>
      <c r="U14">
        <v>-20</v>
      </c>
      <c r="V14">
        <v>60</v>
      </c>
      <c r="W14">
        <f t="shared" si="1"/>
        <v>0.28596693057302525</v>
      </c>
      <c r="X14">
        <f t="shared" si="14"/>
        <v>83.532319742457247</v>
      </c>
      <c r="Y14">
        <f t="shared" si="15"/>
        <v>60.530983801686226</v>
      </c>
      <c r="Z14">
        <f t="shared" si="16"/>
        <v>-0.13255153229667402</v>
      </c>
      <c r="AA14">
        <f t="shared" si="17"/>
        <v>1.4173809285136487</v>
      </c>
      <c r="AB14">
        <f t="shared" si="18"/>
        <v>-33.303282787786259</v>
      </c>
      <c r="AC14">
        <f t="shared" si="19"/>
        <v>42.47793770498447</v>
      </c>
      <c r="AE14">
        <v>51.961525298862163</v>
      </c>
      <c r="AF14">
        <v>-29.999998143595079</v>
      </c>
      <c r="AH14" s="1">
        <v>8</v>
      </c>
      <c r="AI14" s="1">
        <f t="shared" si="20"/>
        <v>-20</v>
      </c>
      <c r="AJ14" s="1">
        <f t="shared" si="20"/>
        <v>60</v>
      </c>
      <c r="AK14" s="2">
        <f t="shared" si="21"/>
        <v>16.384698481541349</v>
      </c>
      <c r="AL14" s="2" t="e">
        <f t="shared" si="21"/>
        <v>#NUM!</v>
      </c>
    </row>
    <row r="15" spans="1:67" x14ac:dyDescent="0.25">
      <c r="A15">
        <v>9</v>
      </c>
      <c r="B15">
        <f t="shared" si="2"/>
        <v>-46.871579051513621</v>
      </c>
      <c r="C15">
        <f t="shared" si="2"/>
        <v>39.100684189643161</v>
      </c>
      <c r="D15">
        <f t="shared" si="0"/>
        <v>-2.4940386444617602E-2</v>
      </c>
      <c r="E15" t="e">
        <f t="shared" si="3"/>
        <v>#NUM!</v>
      </c>
      <c r="F15">
        <f t="shared" si="4"/>
        <v>43.416586692135738</v>
      </c>
      <c r="G15">
        <f t="shared" si="5"/>
        <v>0.44966392316176546</v>
      </c>
      <c r="H15">
        <f t="shared" si="6"/>
        <v>1.1460727900728522</v>
      </c>
      <c r="J15">
        <f t="shared" si="7"/>
        <v>25.763845435947925</v>
      </c>
      <c r="K15">
        <f t="shared" si="7"/>
        <v>65.665135006083659</v>
      </c>
      <c r="L15" t="e">
        <f t="shared" si="8"/>
        <v>#NUM!</v>
      </c>
      <c r="M15">
        <f t="shared" si="9"/>
        <v>1.089518043323201</v>
      </c>
      <c r="N15">
        <f t="shared" si="10"/>
        <v>84.46666119697916</v>
      </c>
      <c r="O15" t="e">
        <f t="shared" si="11"/>
        <v>#NUM!</v>
      </c>
      <c r="P15">
        <f t="shared" si="11"/>
        <v>62.424786650623055</v>
      </c>
      <c r="Q15">
        <f t="shared" si="12"/>
        <v>-1.4289789070776293</v>
      </c>
      <c r="R15" t="e">
        <f t="shared" si="12"/>
        <v>#NUM!</v>
      </c>
      <c r="S15">
        <f t="shared" si="13"/>
        <v>0.41206889723493684</v>
      </c>
      <c r="U15">
        <v>-40</v>
      </c>
      <c r="V15">
        <v>60</v>
      </c>
      <c r="W15">
        <f t="shared" si="1"/>
        <v>-2.4940386442934503E-2</v>
      </c>
      <c r="X15">
        <f t="shared" si="14"/>
        <v>86.423610042385633</v>
      </c>
      <c r="Y15">
        <f t="shared" si="15"/>
        <v>61.188234163113421</v>
      </c>
      <c r="Z15">
        <f t="shared" si="16"/>
        <v>0.19739555984988078</v>
      </c>
      <c r="AA15">
        <f t="shared" si="17"/>
        <v>1.3983411533830536</v>
      </c>
      <c r="AB15">
        <f t="shared" si="18"/>
        <v>-46.871579051513621</v>
      </c>
      <c r="AC15">
        <f t="shared" si="19"/>
        <v>39.100684189643161</v>
      </c>
      <c r="AE15">
        <v>42.4264085764096</v>
      </c>
      <c r="AF15">
        <v>-42.426405165976036</v>
      </c>
      <c r="AH15" s="1">
        <v>9</v>
      </c>
      <c r="AI15" s="1">
        <f t="shared" si="20"/>
        <v>-40</v>
      </c>
      <c r="AJ15" s="1">
        <f t="shared" si="20"/>
        <v>60</v>
      </c>
      <c r="AK15" s="2">
        <f t="shared" si="21"/>
        <v>-1.4289789070776293</v>
      </c>
      <c r="AL15" s="2" t="e">
        <f t="shared" si="21"/>
        <v>#NUM!</v>
      </c>
    </row>
    <row r="16" spans="1:67" x14ac:dyDescent="0.25">
      <c r="A16">
        <v>10</v>
      </c>
      <c r="B16">
        <f t="shared" si="2"/>
        <v>-36.956547508765681</v>
      </c>
      <c r="C16">
        <f t="shared" si="2"/>
        <v>31.532705350472821</v>
      </c>
      <c r="D16">
        <f t="shared" si="0"/>
        <v>-0.1166090571493843</v>
      </c>
      <c r="E16">
        <f t="shared" si="3"/>
        <v>0.70527130602070454</v>
      </c>
      <c r="F16">
        <f t="shared" si="4"/>
        <v>32.780043471547046</v>
      </c>
      <c r="G16">
        <f t="shared" si="5"/>
        <v>0.27675098863763087</v>
      </c>
      <c r="H16">
        <f t="shared" si="6"/>
        <v>1.4106543953017534</v>
      </c>
      <c r="J16">
        <f t="shared" si="7"/>
        <v>15.856663895494773</v>
      </c>
      <c r="K16">
        <f t="shared" si="7"/>
        <v>80.824544581087821</v>
      </c>
      <c r="L16">
        <f t="shared" si="8"/>
        <v>0.25333694469149992</v>
      </c>
      <c r="M16">
        <f t="shared" si="9"/>
        <v>1.1188619386707954</v>
      </c>
      <c r="N16">
        <f t="shared" si="10"/>
        <v>72.205710099536233</v>
      </c>
      <c r="O16">
        <f t="shared" si="11"/>
        <v>14.51513797316367</v>
      </c>
      <c r="P16">
        <f t="shared" si="11"/>
        <v>64.106068037193353</v>
      </c>
      <c r="Q16">
        <f t="shared" si="12"/>
        <v>-6.6812069416286421</v>
      </c>
      <c r="R16">
        <f t="shared" si="12"/>
        <v>40.409069935970315</v>
      </c>
      <c r="S16">
        <f t="shared" si="13"/>
        <v>0.15945832365147991</v>
      </c>
      <c r="U16">
        <f t="shared" ref="U16:U29" si="22">U15+15</f>
        <v>-25</v>
      </c>
      <c r="V16">
        <v>50</v>
      </c>
      <c r="W16">
        <f t="shared" si="1"/>
        <v>-0.11660905714770098</v>
      </c>
      <c r="X16">
        <f t="shared" si="14"/>
        <v>83.532321507827518</v>
      </c>
      <c r="Y16">
        <f t="shared" si="15"/>
        <v>50.089919145472777</v>
      </c>
      <c r="Z16">
        <f t="shared" si="16"/>
        <v>-5.9928155121207881E-2</v>
      </c>
      <c r="AA16">
        <f t="shared" si="17"/>
        <v>1.7473335390589089</v>
      </c>
      <c r="AB16">
        <f t="shared" si="18"/>
        <v>-36.956547508765681</v>
      </c>
      <c r="AC16">
        <f t="shared" si="19"/>
        <v>31.532705350472821</v>
      </c>
      <c r="AE16">
        <v>30.000002320506066</v>
      </c>
      <c r="AF16">
        <v>-51.961522887321451</v>
      </c>
      <c r="AH16" s="1">
        <v>10</v>
      </c>
      <c r="AI16" s="1">
        <f t="shared" si="20"/>
        <v>-25</v>
      </c>
      <c r="AJ16" s="1">
        <f t="shared" si="20"/>
        <v>50</v>
      </c>
      <c r="AK16" s="2">
        <f t="shared" si="21"/>
        <v>-6.6812069416286421</v>
      </c>
      <c r="AL16" s="2">
        <f t="shared" si="21"/>
        <v>40.409069935970315</v>
      </c>
    </row>
    <row r="17" spans="1:55" x14ac:dyDescent="0.25">
      <c r="A17">
        <v>11</v>
      </c>
      <c r="B17">
        <f t="shared" si="2"/>
        <v>-26.781398345189444</v>
      </c>
      <c r="C17">
        <f t="shared" si="2"/>
        <v>35.773803404211108</v>
      </c>
      <c r="D17">
        <f t="shared" si="0"/>
        <v>0.27257203106504502</v>
      </c>
      <c r="E17">
        <f t="shared" si="3"/>
        <v>1.1416400017338517</v>
      </c>
      <c r="F17">
        <f t="shared" si="4"/>
        <v>35.794552658138549</v>
      </c>
      <c r="G17">
        <f t="shared" si="5"/>
        <v>-3.4050912324451087E-2</v>
      </c>
      <c r="H17">
        <f t="shared" si="6"/>
        <v>1.332275208049406</v>
      </c>
      <c r="J17">
        <f t="shared" si="7"/>
        <v>-1.9509735980410685</v>
      </c>
      <c r="K17">
        <f t="shared" si="7"/>
        <v>76.333747873258005</v>
      </c>
      <c r="L17">
        <f t="shared" si="8"/>
        <v>0.56313889561544861</v>
      </c>
      <c r="M17">
        <f t="shared" si="9"/>
        <v>0.9922951938815967</v>
      </c>
      <c r="N17">
        <f t="shared" si="10"/>
        <v>65.427567696327145</v>
      </c>
      <c r="O17">
        <f t="shared" si="11"/>
        <v>32.265482548813218</v>
      </c>
      <c r="P17">
        <f t="shared" si="11"/>
        <v>56.854327610361509</v>
      </c>
      <c r="Q17">
        <f t="shared" si="12"/>
        <v>15.617227259737021</v>
      </c>
      <c r="R17">
        <f t="shared" si="12"/>
        <v>65.411154938451702</v>
      </c>
      <c r="S17">
        <f t="shared" si="13"/>
        <v>0.23626587348951278</v>
      </c>
      <c r="U17">
        <f t="shared" si="22"/>
        <v>-10</v>
      </c>
      <c r="V17">
        <v>50</v>
      </c>
      <c r="W17">
        <f t="shared" si="1"/>
        <v>0.27257203106672812</v>
      </c>
      <c r="X17">
        <f t="shared" si="14"/>
        <v>75.055490667649082</v>
      </c>
      <c r="Y17">
        <f t="shared" si="15"/>
        <v>53.141321022345693</v>
      </c>
      <c r="Z17">
        <f t="shared" si="16"/>
        <v>-0.34555558058171215</v>
      </c>
      <c r="AA17">
        <f t="shared" si="17"/>
        <v>1.643779876304984</v>
      </c>
      <c r="AB17">
        <f t="shared" si="18"/>
        <v>-26.781398345189444</v>
      </c>
      <c r="AC17">
        <f t="shared" si="19"/>
        <v>35.773803404211108</v>
      </c>
      <c r="AE17">
        <v>15.529145553158294</v>
      </c>
      <c r="AF17">
        <v>-57.955548814490783</v>
      </c>
      <c r="AH17" s="1">
        <v>11</v>
      </c>
      <c r="AI17" s="1">
        <f t="shared" si="20"/>
        <v>-10</v>
      </c>
      <c r="AJ17" s="1">
        <f t="shared" si="20"/>
        <v>50</v>
      </c>
      <c r="AK17" s="2">
        <f t="shared" si="21"/>
        <v>15.617227259737021</v>
      </c>
      <c r="AL17" s="2">
        <f t="shared" si="21"/>
        <v>65.411154938451702</v>
      </c>
    </row>
    <row r="18" spans="1:55" x14ac:dyDescent="0.25">
      <c r="A18">
        <v>12</v>
      </c>
      <c r="B18">
        <f t="shared" si="2"/>
        <v>-14.623566879673085</v>
      </c>
      <c r="C18">
        <f t="shared" si="2"/>
        <v>40.054366640520293</v>
      </c>
      <c r="D18">
        <f t="shared" si="0"/>
        <v>0.71862658982385663</v>
      </c>
      <c r="E18">
        <f t="shared" si="3"/>
        <v>1.5267453575412253</v>
      </c>
      <c r="F18">
        <f t="shared" si="4"/>
        <v>42.22891485695321</v>
      </c>
      <c r="G18">
        <f t="shared" si="5"/>
        <v>-0.32231168195856352</v>
      </c>
      <c r="H18">
        <f t="shared" si="6"/>
        <v>1.1744814189247068</v>
      </c>
      <c r="J18">
        <f t="shared" si="7"/>
        <v>-18.467099379003322</v>
      </c>
      <c r="K18">
        <f t="shared" si="7"/>
        <v>67.292829568813985</v>
      </c>
      <c r="L18">
        <f t="shared" si="8"/>
        <v>0.77241202422661348</v>
      </c>
      <c r="M18">
        <f t="shared" si="9"/>
        <v>0.81646296668538798</v>
      </c>
      <c r="N18">
        <f t="shared" si="10"/>
        <v>58.49034741322015</v>
      </c>
      <c r="O18">
        <f t="shared" si="11"/>
        <v>44.255949788266754</v>
      </c>
      <c r="P18">
        <f t="shared" si="11"/>
        <v>46.779882917781833</v>
      </c>
      <c r="Q18">
        <f t="shared" si="12"/>
        <v>41.174271345143282</v>
      </c>
      <c r="R18">
        <f t="shared" si="12"/>
        <v>87.476066870484914</v>
      </c>
      <c r="S18">
        <f t="shared" si="13"/>
        <v>0.38602151124184858</v>
      </c>
      <c r="U18">
        <f t="shared" si="22"/>
        <v>5</v>
      </c>
      <c r="V18">
        <v>50</v>
      </c>
      <c r="W18">
        <f t="shared" si="1"/>
        <v>0.71862658982553995</v>
      </c>
      <c r="X18">
        <f t="shared" si="14"/>
        <v>61.570799515387513</v>
      </c>
      <c r="Y18">
        <f t="shared" si="15"/>
        <v>59.908263203000637</v>
      </c>
      <c r="Z18">
        <f t="shared" si="16"/>
        <v>-0.58337300699385597</v>
      </c>
      <c r="AA18">
        <f t="shared" si="17"/>
        <v>1.4355427439583162</v>
      </c>
      <c r="AB18">
        <f t="shared" si="18"/>
        <v>-14.623566879673085</v>
      </c>
      <c r="AC18">
        <f t="shared" si="19"/>
        <v>40.054366640520293</v>
      </c>
      <c r="AE18">
        <v>3.2153875902064446E-6</v>
      </c>
      <c r="AF18">
        <v>-59.999999999999922</v>
      </c>
      <c r="AH18" s="1">
        <v>12</v>
      </c>
      <c r="AI18" s="1">
        <f t="shared" si="20"/>
        <v>5</v>
      </c>
      <c r="AJ18" s="1">
        <f t="shared" si="20"/>
        <v>50</v>
      </c>
      <c r="AK18" s="2">
        <f t="shared" si="21"/>
        <v>41.174271345143282</v>
      </c>
      <c r="AL18" s="2">
        <f t="shared" si="21"/>
        <v>87.476066870484914</v>
      </c>
    </row>
    <row r="19" spans="1:55" x14ac:dyDescent="0.25">
      <c r="A19">
        <v>13</v>
      </c>
      <c r="B19">
        <f t="shared" si="2"/>
        <v>-0.83099303753695608</v>
      </c>
      <c r="C19">
        <f t="shared" si="2"/>
        <v>42.924003315966743</v>
      </c>
      <c r="D19">
        <f t="shared" si="0"/>
        <v>1.1661141376289046</v>
      </c>
      <c r="E19">
        <f t="shared" si="3"/>
        <v>1.9260861675344507</v>
      </c>
      <c r="F19">
        <f t="shared" si="4"/>
        <v>50.799852361945788</v>
      </c>
      <c r="G19">
        <f t="shared" si="5"/>
        <v>-0.56430006293687607</v>
      </c>
      <c r="H19">
        <f t="shared" si="6"/>
        <v>0.96898225209797151</v>
      </c>
      <c r="J19">
        <f t="shared" si="7"/>
        <v>-32.3320125367744</v>
      </c>
      <c r="K19">
        <f t="shared" si="7"/>
        <v>55.518594415340438</v>
      </c>
      <c r="L19">
        <f t="shared" si="8"/>
        <v>0.94675197911908004</v>
      </c>
      <c r="M19">
        <f t="shared" si="9"/>
        <v>0.59146211158462925</v>
      </c>
      <c r="N19">
        <f t="shared" si="10"/>
        <v>51.707796512708107</v>
      </c>
      <c r="O19">
        <f t="shared" si="11"/>
        <v>54.244893574499251</v>
      </c>
      <c r="P19">
        <f t="shared" si="11"/>
        <v>33.888283313766799</v>
      </c>
      <c r="Q19">
        <f t="shared" si="12"/>
        <v>66.813419656387921</v>
      </c>
      <c r="R19">
        <f t="shared" si="12"/>
        <v>110.35661026073244</v>
      </c>
      <c r="S19">
        <f t="shared" si="13"/>
        <v>0.56613876394793383</v>
      </c>
      <c r="U19">
        <f t="shared" si="22"/>
        <v>20</v>
      </c>
      <c r="V19">
        <v>50</v>
      </c>
      <c r="W19">
        <f t="shared" si="1"/>
        <v>1.1661141376305881</v>
      </c>
      <c r="X19">
        <f t="shared" si="14"/>
        <v>61.570799515387513</v>
      </c>
      <c r="Y19">
        <f t="shared" si="15"/>
        <v>69.31089380465383</v>
      </c>
      <c r="Z19">
        <f t="shared" si="16"/>
        <v>-0.76499283271091023</v>
      </c>
      <c r="AA19">
        <f t="shared" si="17"/>
        <v>1.1696750218703222</v>
      </c>
      <c r="AB19">
        <f t="shared" si="18"/>
        <v>-0.83099303753695608</v>
      </c>
      <c r="AC19">
        <f t="shared" si="19"/>
        <v>42.924003315966743</v>
      </c>
      <c r="AE19">
        <v>3.2153875902064446E-6</v>
      </c>
      <c r="AF19">
        <v>-59.999999999999922</v>
      </c>
      <c r="AH19" s="1">
        <v>13</v>
      </c>
      <c r="AI19" s="1">
        <f t="shared" si="20"/>
        <v>20</v>
      </c>
      <c r="AJ19" s="1">
        <f t="shared" si="20"/>
        <v>50</v>
      </c>
      <c r="AK19" s="2">
        <f t="shared" si="21"/>
        <v>66.813419656387921</v>
      </c>
      <c r="AL19" s="2">
        <f t="shared" si="21"/>
        <v>110.35661026073244</v>
      </c>
      <c r="AY19">
        <v>-28</v>
      </c>
      <c r="BA19">
        <v>0</v>
      </c>
    </row>
    <row r="20" spans="1:55" x14ac:dyDescent="0.25">
      <c r="A20">
        <v>14</v>
      </c>
      <c r="B20">
        <f t="shared" si="2"/>
        <v>13.89205258645627</v>
      </c>
      <c r="C20">
        <f t="shared" si="2"/>
        <v>43.798826241000008</v>
      </c>
      <c r="D20">
        <f t="shared" si="0"/>
        <v>1.6206626806234152</v>
      </c>
      <c r="E20">
        <f t="shared" si="3"/>
        <v>2.3432856043047172</v>
      </c>
      <c r="F20">
        <f t="shared" si="4"/>
        <v>60.607600595929618</v>
      </c>
      <c r="G20">
        <f t="shared" si="5"/>
        <v>-0.76315006573904665</v>
      </c>
      <c r="H20">
        <f t="shared" si="6"/>
        <v>0.71328371190563145</v>
      </c>
      <c r="J20">
        <f t="shared" si="7"/>
        <v>-43.725278647851532</v>
      </c>
      <c r="K20">
        <f t="shared" si="7"/>
        <v>40.868146984753416</v>
      </c>
      <c r="L20">
        <f t="shared" si="8"/>
        <v>1.0841031671948049</v>
      </c>
      <c r="M20">
        <f t="shared" si="9"/>
        <v>0.31161386289008797</v>
      </c>
      <c r="N20">
        <f t="shared" si="10"/>
        <v>46.014903676011606</v>
      </c>
      <c r="O20">
        <f t="shared" si="11"/>
        <v>62.114537096587533</v>
      </c>
      <c r="P20">
        <f t="shared" si="11"/>
        <v>17.854159485929472</v>
      </c>
      <c r="Q20">
        <f t="shared" si="12"/>
        <v>92.857133198052082</v>
      </c>
      <c r="R20">
        <f t="shared" si="12"/>
        <v>134.26037761065808</v>
      </c>
      <c r="S20">
        <f t="shared" si="13"/>
        <v>0.75621735690789493</v>
      </c>
      <c r="U20">
        <f t="shared" si="22"/>
        <v>35</v>
      </c>
      <c r="V20">
        <v>50</v>
      </c>
      <c r="W20">
        <f t="shared" si="1"/>
        <v>1.6206626806250986</v>
      </c>
      <c r="X20">
        <f t="shared" si="14"/>
        <v>61.570799515387513</v>
      </c>
      <c r="Y20">
        <f t="shared" si="15"/>
        <v>80.430093870391573</v>
      </c>
      <c r="Z20">
        <f t="shared" si="16"/>
        <v>-0.89993886019412961</v>
      </c>
      <c r="AA20">
        <f t="shared" si="17"/>
        <v>0.85007250635903131</v>
      </c>
      <c r="AB20">
        <f t="shared" si="18"/>
        <v>13.89205258645627</v>
      </c>
      <c r="AC20">
        <f t="shared" si="19"/>
        <v>43.798826241000008</v>
      </c>
      <c r="AE20">
        <v>3.2153875902064446E-6</v>
      </c>
      <c r="AF20">
        <v>-59.999999999999922</v>
      </c>
      <c r="AH20" s="1">
        <v>14</v>
      </c>
      <c r="AI20" s="1">
        <f t="shared" si="20"/>
        <v>35</v>
      </c>
      <c r="AJ20" s="1">
        <f t="shared" si="20"/>
        <v>50</v>
      </c>
      <c r="AK20" s="2">
        <f t="shared" si="21"/>
        <v>92.857133198052082</v>
      </c>
      <c r="AL20" s="2">
        <f t="shared" si="21"/>
        <v>134.26037761065808</v>
      </c>
      <c r="AY20">
        <v>-20.21679081077513</v>
      </c>
      <c r="BA20">
        <v>31.03903437152589</v>
      </c>
    </row>
    <row r="21" spans="1:55" x14ac:dyDescent="0.25">
      <c r="A21">
        <v>15</v>
      </c>
      <c r="B21">
        <f t="shared" si="2"/>
        <v>29.607658587478962</v>
      </c>
      <c r="C21">
        <f t="shared" si="2"/>
        <v>41.744552603496025</v>
      </c>
      <c r="D21">
        <f t="shared" si="0"/>
        <v>2.1940138000086904</v>
      </c>
      <c r="E21">
        <f>2</f>
        <v>2</v>
      </c>
      <c r="F21">
        <f t="shared" si="4"/>
        <v>71.142462706864364</v>
      </c>
      <c r="G21">
        <f t="shared" si="5"/>
        <v>-0.94372711579053181</v>
      </c>
      <c r="H21">
        <f t="shared" si="6"/>
        <v>0.32050964257184167</v>
      </c>
      <c r="J21">
        <f t="shared" si="7"/>
        <v>-54.07158166921316</v>
      </c>
      <c r="K21">
        <f t="shared" si="7"/>
        <v>18.363850125866573</v>
      </c>
      <c r="L21">
        <f t="shared" si="8"/>
        <v>1.1853582754290009</v>
      </c>
      <c r="M21">
        <f t="shared" si="9"/>
        <v>-3.8492794599428559E-2</v>
      </c>
      <c r="N21">
        <f t="shared" si="10"/>
        <v>41.775498060465317</v>
      </c>
      <c r="O21">
        <f t="shared" si="11"/>
        <v>67.916027551510069</v>
      </c>
      <c r="P21">
        <f t="shared" si="11"/>
        <v>-2.2054747098325675</v>
      </c>
      <c r="Q21">
        <f t="shared" si="12"/>
        <v>125.70773307830056</v>
      </c>
      <c r="R21">
        <f t="shared" si="12"/>
        <v>114.59156098088593</v>
      </c>
      <c r="S21">
        <f t="shared" si="13"/>
        <v>0.94907497830332355</v>
      </c>
      <c r="U21">
        <f t="shared" si="22"/>
        <v>50</v>
      </c>
      <c r="V21">
        <v>50</v>
      </c>
      <c r="W21">
        <f t="shared" si="1"/>
        <v>2.1940138000103726</v>
      </c>
      <c r="X21">
        <f t="shared" si="14"/>
        <v>61.570799515387513</v>
      </c>
      <c r="Y21">
        <f t="shared" si="15"/>
        <v>92.649878575203758</v>
      </c>
      <c r="Z21">
        <f t="shared" si="16"/>
        <v>-1.0007558630951863</v>
      </c>
      <c r="AA21">
        <f t="shared" si="17"/>
        <v>0.3775383898748137</v>
      </c>
      <c r="AB21">
        <f t="shared" si="18"/>
        <v>29.607658587478962</v>
      </c>
      <c r="AC21">
        <f t="shared" si="19"/>
        <v>41.744552603496025</v>
      </c>
      <c r="AE21">
        <v>3.2153875902064446E-6</v>
      </c>
      <c r="AF21">
        <v>-59.999999999999922</v>
      </c>
      <c r="AH21" s="1">
        <v>15</v>
      </c>
      <c r="AI21" s="1">
        <f t="shared" si="20"/>
        <v>50</v>
      </c>
      <c r="AJ21" s="1">
        <f t="shared" si="20"/>
        <v>50</v>
      </c>
      <c r="AK21" s="2">
        <f t="shared" si="21"/>
        <v>125.70773307830056</v>
      </c>
      <c r="AL21" s="2">
        <f t="shared" si="21"/>
        <v>114.59156098088593</v>
      </c>
      <c r="AY21">
        <v>25.831728158814009</v>
      </c>
      <c r="BA21">
        <v>63.169668065207517</v>
      </c>
    </row>
    <row r="22" spans="1:55" x14ac:dyDescent="0.25">
      <c r="A22">
        <v>16</v>
      </c>
      <c r="B22">
        <f t="shared" si="2"/>
        <v>-53.08789034502162</v>
      </c>
      <c r="C22">
        <f t="shared" si="2"/>
        <v>18.083252142047325</v>
      </c>
      <c r="D22">
        <f t="shared" si="0"/>
        <v>-0.83669280717134564</v>
      </c>
      <c r="E22" t="e">
        <f t="shared" si="3"/>
        <v>#NUM!</v>
      </c>
      <c r="F22">
        <f t="shared" si="4"/>
        <v>30.925818501645001</v>
      </c>
      <c r="G22">
        <f t="shared" si="5"/>
        <v>0.9462492059083597</v>
      </c>
      <c r="H22">
        <f t="shared" si="6"/>
        <v>1.461239928052986</v>
      </c>
      <c r="J22">
        <f t="shared" si="7"/>
        <v>54.216086790981343</v>
      </c>
      <c r="K22">
        <f t="shared" si="7"/>
        <v>83.722882161594555</v>
      </c>
      <c r="L22" t="e">
        <f t="shared" si="8"/>
        <v>#NUM!</v>
      </c>
      <c r="M22">
        <f t="shared" si="9"/>
        <v>1.3513786599172433</v>
      </c>
      <c r="N22">
        <f t="shared" si="10"/>
        <v>83.07978074501105</v>
      </c>
      <c r="O22" t="e">
        <f t="shared" si="11"/>
        <v>#NUM!</v>
      </c>
      <c r="P22">
        <f t="shared" si="11"/>
        <v>77.428295058087343</v>
      </c>
      <c r="Q22">
        <f t="shared" si="12"/>
        <v>-47.938967417621946</v>
      </c>
      <c r="R22" t="e">
        <f t="shared" si="12"/>
        <v>#NUM!</v>
      </c>
      <c r="S22">
        <f t="shared" si="13"/>
        <v>0.10933736987489567</v>
      </c>
      <c r="U22">
        <v>-55</v>
      </c>
      <c r="V22">
        <v>40</v>
      </c>
      <c r="W22">
        <f t="shared" si="1"/>
        <v>-0.83669280716966221</v>
      </c>
      <c r="X22">
        <f t="shared" si="14"/>
        <v>61.570799515387513</v>
      </c>
      <c r="Y22">
        <f t="shared" si="15"/>
        <v>48.259714048054619</v>
      </c>
      <c r="Z22">
        <f t="shared" si="16"/>
        <v>0.59374966671077112</v>
      </c>
      <c r="AA22">
        <f t="shared" si="17"/>
        <v>1.8137394672488911</v>
      </c>
      <c r="AB22">
        <f t="shared" si="18"/>
        <v>-53.08789034502162</v>
      </c>
      <c r="AC22">
        <f t="shared" si="19"/>
        <v>18.083252142047325</v>
      </c>
      <c r="AE22">
        <v>3.2153875902064446E-6</v>
      </c>
      <c r="AF22">
        <v>-59.999999999999922</v>
      </c>
      <c r="AH22" s="1">
        <v>16</v>
      </c>
      <c r="AI22" s="1">
        <f t="shared" si="20"/>
        <v>-55</v>
      </c>
      <c r="AJ22" s="1">
        <f t="shared" si="20"/>
        <v>40</v>
      </c>
      <c r="AK22" s="2">
        <f t="shared" si="21"/>
        <v>-47.938967417621946</v>
      </c>
      <c r="AL22" s="2" t="e">
        <f t="shared" si="21"/>
        <v>#NUM!</v>
      </c>
      <c r="AY22">
        <v>51.513994255268372</v>
      </c>
      <c r="BA22">
        <v>21.704655587297538</v>
      </c>
    </row>
    <row r="23" spans="1:55" x14ac:dyDescent="0.25">
      <c r="A23">
        <v>17</v>
      </c>
      <c r="B23">
        <f t="shared" si="2"/>
        <v>-43.447939475546619</v>
      </c>
      <c r="C23">
        <f t="shared" si="2"/>
        <v>18.271868157287212</v>
      </c>
      <c r="D23">
        <f t="shared" si="0"/>
        <v>-0.81144786132691793</v>
      </c>
      <c r="E23">
        <f t="shared" si="3"/>
        <v>0.34509757961306819</v>
      </c>
      <c r="F23">
        <f t="shared" si="4"/>
        <v>23.926972227957258</v>
      </c>
      <c r="G23">
        <f t="shared" si="5"/>
        <v>0.70184625101710585</v>
      </c>
      <c r="H23">
        <f t="shared" si="6"/>
        <v>1.6803979370998121</v>
      </c>
      <c r="J23">
        <f t="shared" ref="J23:K62" si="23">G23*180/3.1415926</f>
        <v>40.212828736316432</v>
      </c>
      <c r="K23">
        <f t="shared" si="23"/>
        <v>96.279711340664022</v>
      </c>
      <c r="L23">
        <f t="shared" si="8"/>
        <v>9.4726922914770917E-2</v>
      </c>
      <c r="M23">
        <f t="shared" si="9"/>
        <v>1.3204256433017028</v>
      </c>
      <c r="N23">
        <f t="shared" si="10"/>
        <v>73.74733365524925</v>
      </c>
      <c r="O23">
        <f t="shared" ref="O23:P62" si="24">L23*180/3.1415926</f>
        <v>5.4274529818598261</v>
      </c>
      <c r="P23">
        <f t="shared" si="24"/>
        <v>75.654817812566307</v>
      </c>
      <c r="Q23">
        <f t="shared" ref="Q23:R62" si="25">D23*180/3.1415926</f>
        <v>-46.492538542026487</v>
      </c>
      <c r="R23">
        <f t="shared" si="25"/>
        <v>19.772635169293522</v>
      </c>
      <c r="S23">
        <f t="shared" si="13"/>
        <v>-0.10938231026916154</v>
      </c>
      <c r="U23">
        <f>U22+15</f>
        <v>-40</v>
      </c>
      <c r="V23">
        <v>40</v>
      </c>
      <c r="W23">
        <f t="shared" si="1"/>
        <v>-0.81144786132523494</v>
      </c>
      <c r="X23">
        <f t="shared" si="14"/>
        <v>61.570799515387513</v>
      </c>
      <c r="Y23">
        <f t="shared" si="15"/>
        <v>41.761226035642203</v>
      </c>
      <c r="Z23">
        <f t="shared" si="16"/>
        <v>0.2914567944778671</v>
      </c>
      <c r="AA23">
        <f t="shared" si="17"/>
        <v>2.0907873936373678</v>
      </c>
      <c r="AB23">
        <f t="shared" si="18"/>
        <v>-43.447939475546619</v>
      </c>
      <c r="AC23">
        <f t="shared" si="19"/>
        <v>18.271868157287212</v>
      </c>
      <c r="AE23">
        <v>3.2153875902064446E-6</v>
      </c>
      <c r="AF23">
        <v>-59.999999999999922</v>
      </c>
      <c r="AH23" s="1">
        <v>17</v>
      </c>
      <c r="AI23" s="1">
        <f t="shared" ref="AI23:AJ86" si="26">U23</f>
        <v>-40</v>
      </c>
      <c r="AJ23" s="1">
        <f t="shared" si="26"/>
        <v>40</v>
      </c>
      <c r="AK23" s="2">
        <f t="shared" ref="AK23:AL86" si="27">D23*180/3.1415926</f>
        <v>-46.492538542026487</v>
      </c>
      <c r="AL23" s="2">
        <f t="shared" si="27"/>
        <v>19.772635169293522</v>
      </c>
      <c r="AY23">
        <v>28</v>
      </c>
      <c r="BA23">
        <v>0</v>
      </c>
    </row>
    <row r="24" spans="1:55" x14ac:dyDescent="0.25">
      <c r="A24">
        <v>18</v>
      </c>
      <c r="B24">
        <f t="shared" si="2"/>
        <v>-35.513750041976451</v>
      </c>
      <c r="C24">
        <f t="shared" si="2"/>
        <v>20.674859378103854</v>
      </c>
      <c r="D24">
        <f t="shared" si="0"/>
        <v>-0.53150462043217894</v>
      </c>
      <c r="E24">
        <f t="shared" si="3"/>
        <v>0.82917666812570356</v>
      </c>
      <c r="F24">
        <f t="shared" si="4"/>
        <v>21.997869214941478</v>
      </c>
      <c r="G24">
        <f t="shared" si="5"/>
        <v>0.34858385374869078</v>
      </c>
      <c r="H24">
        <f t="shared" si="6"/>
        <v>1.7537170934734883</v>
      </c>
      <c r="J24">
        <f t="shared" si="23"/>
        <v>19.972383966897663</v>
      </c>
      <c r="K24">
        <f t="shared" si="23"/>
        <v>100.48058962999463</v>
      </c>
      <c r="L24">
        <f t="shared" si="8"/>
        <v>0.51447648927237166</v>
      </c>
      <c r="M24">
        <f t="shared" si="9"/>
        <v>1.2560961211466681</v>
      </c>
      <c r="N24">
        <f t="shared" si="10"/>
        <v>66.794058528427755</v>
      </c>
      <c r="O24">
        <f t="shared" si="24"/>
        <v>29.477331996843542</v>
      </c>
      <c r="P24">
        <f t="shared" si="24"/>
        <v>71.969007632116345</v>
      </c>
      <c r="Q24">
        <f t="shared" si="25"/>
        <v>-30.452972061938333</v>
      </c>
      <c r="R24">
        <f t="shared" si="25"/>
        <v>47.508324364727187</v>
      </c>
      <c r="S24">
        <f t="shared" si="13"/>
        <v>-0.18190238357579278</v>
      </c>
      <c r="U24">
        <f t="shared" si="22"/>
        <v>-25</v>
      </c>
      <c r="V24">
        <v>40</v>
      </c>
      <c r="W24">
        <f t="shared" si="1"/>
        <v>-0.53150462043049584</v>
      </c>
      <c r="X24">
        <f t="shared" si="14"/>
        <v>61.570799515387513</v>
      </c>
      <c r="Y24">
        <f t="shared" si="15"/>
        <v>40.11234224026316</v>
      </c>
      <c r="Z24">
        <f t="shared" si="16"/>
        <v>-7.4859847710766855E-2</v>
      </c>
      <c r="AA24">
        <f t="shared" si="17"/>
        <v>2.1771607949312628</v>
      </c>
      <c r="AB24">
        <f t="shared" si="18"/>
        <v>-35.513750041976451</v>
      </c>
      <c r="AC24">
        <f t="shared" si="19"/>
        <v>20.674859378103854</v>
      </c>
      <c r="AE24">
        <v>3.2153875902064446E-6</v>
      </c>
      <c r="AF24">
        <v>-59.999999999999922</v>
      </c>
      <c r="AH24" s="1">
        <v>18</v>
      </c>
      <c r="AI24" s="1">
        <f t="shared" si="26"/>
        <v>-25</v>
      </c>
      <c r="AJ24" s="1">
        <f t="shared" si="26"/>
        <v>40</v>
      </c>
      <c r="AK24" s="2">
        <f t="shared" si="27"/>
        <v>-30.452972061938333</v>
      </c>
      <c r="AL24" s="2">
        <f t="shared" si="27"/>
        <v>47.508324364727187</v>
      </c>
      <c r="AY24">
        <v>-28</v>
      </c>
      <c r="BB24">
        <v>0</v>
      </c>
    </row>
    <row r="25" spans="1:55" x14ac:dyDescent="0.25">
      <c r="A25">
        <v>19</v>
      </c>
      <c r="B25">
        <f t="shared" si="2"/>
        <v>-27.187486581690621</v>
      </c>
      <c r="C25">
        <f t="shared" si="2"/>
        <v>26.267181461706876</v>
      </c>
      <c r="D25">
        <f t="shared" si="0"/>
        <v>1.5619516976919101E-3</v>
      </c>
      <c r="E25">
        <f t="shared" si="3"/>
        <v>1.1427169780038908</v>
      </c>
      <c r="F25">
        <f t="shared" si="4"/>
        <v>26.279745051981955</v>
      </c>
      <c r="G25">
        <f t="shared" si="5"/>
        <v>-3.0922785637103895E-2</v>
      </c>
      <c r="H25">
        <f t="shared" si="6"/>
        <v>1.6001571607294121</v>
      </c>
      <c r="J25">
        <f t="shared" si="23"/>
        <v>-1.7717451380165272</v>
      </c>
      <c r="K25">
        <f t="shared" si="23"/>
        <v>91.682253431362867</v>
      </c>
      <c r="L25">
        <f t="shared" si="8"/>
        <v>0.69848353873578073</v>
      </c>
      <c r="M25">
        <f t="shared" si="9"/>
        <v>1.12656286073189</v>
      </c>
      <c r="N25">
        <f t="shared" si="10"/>
        <v>61.119747194720297</v>
      </c>
      <c r="O25">
        <f t="shared" si="24"/>
        <v>40.020159511593107</v>
      </c>
      <c r="P25">
        <f t="shared" si="24"/>
        <v>64.547298377179843</v>
      </c>
      <c r="Q25">
        <f t="shared" si="25"/>
        <v>8.9493241607630419E-2</v>
      </c>
      <c r="R25">
        <f t="shared" si="25"/>
        <v>65.472861134413264</v>
      </c>
      <c r="S25">
        <f t="shared" si="13"/>
        <v>-2.9356615656590382E-2</v>
      </c>
      <c r="U25">
        <f t="shared" si="22"/>
        <v>-10</v>
      </c>
      <c r="V25">
        <v>40</v>
      </c>
      <c r="W25">
        <f t="shared" si="1"/>
        <v>1.5619516993752303E-3</v>
      </c>
      <c r="X25">
        <f t="shared" si="14"/>
        <v>61.570799515387513</v>
      </c>
      <c r="Y25">
        <f t="shared" si="15"/>
        <v>43.863424398922618</v>
      </c>
      <c r="Z25">
        <f t="shared" si="16"/>
        <v>-0.42285392613294071</v>
      </c>
      <c r="AA25">
        <f t="shared" si="17"/>
        <v>1.9920883012235655</v>
      </c>
      <c r="AB25">
        <f t="shared" si="18"/>
        <v>-27.187486581690621</v>
      </c>
      <c r="AC25">
        <f t="shared" si="19"/>
        <v>26.267181461706876</v>
      </c>
      <c r="AE25">
        <v>3.2153875902064446E-6</v>
      </c>
      <c r="AF25">
        <v>-59.999999999999922</v>
      </c>
      <c r="AH25" s="1">
        <v>19</v>
      </c>
      <c r="AI25" s="1">
        <f t="shared" si="26"/>
        <v>-10</v>
      </c>
      <c r="AJ25" s="1">
        <f t="shared" si="26"/>
        <v>40</v>
      </c>
      <c r="AK25" s="2">
        <f t="shared" si="27"/>
        <v>8.9493241607630419E-2</v>
      </c>
      <c r="AL25" s="2">
        <f t="shared" si="27"/>
        <v>65.472861134413264</v>
      </c>
      <c r="AY25">
        <v>-39.008519624966944</v>
      </c>
      <c r="BB25">
        <v>30.046838363906406</v>
      </c>
    </row>
    <row r="26" spans="1:55" x14ac:dyDescent="0.25">
      <c r="A26">
        <v>20</v>
      </c>
      <c r="B26">
        <f t="shared" si="2"/>
        <v>-15.580020577486465</v>
      </c>
      <c r="C26">
        <f t="shared" si="2"/>
        <v>32.224220101356977</v>
      </c>
      <c r="D26">
        <f t="shared" si="0"/>
        <v>0.57413765860240984</v>
      </c>
      <c r="E26">
        <f t="shared" si="3"/>
        <v>1.5213747508718241</v>
      </c>
      <c r="F26">
        <f t="shared" si="4"/>
        <v>34.534855580939649</v>
      </c>
      <c r="G26">
        <f t="shared" si="5"/>
        <v>-0.3678778287040585</v>
      </c>
      <c r="H26">
        <f t="shared" si="6"/>
        <v>1.3645364968916487</v>
      </c>
      <c r="J26">
        <f t="shared" si="23"/>
        <v>-21.077847320728512</v>
      </c>
      <c r="K26">
        <f t="shared" si="23"/>
        <v>78.182183597101911</v>
      </c>
      <c r="L26">
        <f t="shared" si="8"/>
        <v>0.88467515324970403</v>
      </c>
      <c r="M26">
        <f t="shared" si="9"/>
        <v>0.93409670237788001</v>
      </c>
      <c r="N26">
        <f t="shared" si="10"/>
        <v>54.199802164536017</v>
      </c>
      <c r="O26">
        <f t="shared" si="24"/>
        <v>50.688153385944041</v>
      </c>
      <c r="P26">
        <f t="shared" si="24"/>
        <v>53.519799616289653</v>
      </c>
      <c r="Q26">
        <f t="shared" si="25"/>
        <v>32.895665258580557</v>
      </c>
      <c r="R26">
        <f t="shared" si="25"/>
        <v>87.168353769654388</v>
      </c>
      <c r="S26">
        <f t="shared" si="13"/>
        <v>0.20480044833593189</v>
      </c>
      <c r="U26">
        <f t="shared" si="22"/>
        <v>5</v>
      </c>
      <c r="V26">
        <v>40</v>
      </c>
      <c r="W26">
        <f t="shared" si="1"/>
        <v>0.57413765860409294</v>
      </c>
      <c r="X26">
        <f t="shared" si="14"/>
        <v>61.570799515387513</v>
      </c>
      <c r="Y26">
        <f t="shared" si="15"/>
        <v>51.855568649856693</v>
      </c>
      <c r="Z26">
        <f t="shared" si="16"/>
        <v>-0.6898000447336079</v>
      </c>
      <c r="AA26">
        <f t="shared" si="17"/>
        <v>1.686458712919515</v>
      </c>
      <c r="AB26">
        <f t="shared" si="18"/>
        <v>-15.580020577486465</v>
      </c>
      <c r="AC26">
        <f t="shared" si="19"/>
        <v>32.224220101356977</v>
      </c>
      <c r="AE26">
        <v>3.2153875902064446E-6</v>
      </c>
      <c r="AF26">
        <v>-59.999999999999922</v>
      </c>
      <c r="AH26" s="1">
        <v>20</v>
      </c>
      <c r="AI26" s="1">
        <f t="shared" si="26"/>
        <v>5</v>
      </c>
      <c r="AJ26" s="1">
        <f t="shared" si="26"/>
        <v>40</v>
      </c>
      <c r="AK26" s="2">
        <f t="shared" si="27"/>
        <v>32.895665258580557</v>
      </c>
      <c r="AL26" s="2">
        <f t="shared" si="27"/>
        <v>87.168353769654388</v>
      </c>
      <c r="AY26">
        <v>6.2470713789350008</v>
      </c>
      <c r="BB26">
        <v>62.828600687599199</v>
      </c>
    </row>
    <row r="27" spans="1:55" x14ac:dyDescent="0.25">
      <c r="A27">
        <v>21</v>
      </c>
      <c r="B27">
        <f t="shared" si="2"/>
        <v>-1.6297244876121013</v>
      </c>
      <c r="C27">
        <f t="shared" si="2"/>
        <v>35.980669385052231</v>
      </c>
      <c r="D27">
        <f t="shared" si="0"/>
        <v>1.0856491140948286</v>
      </c>
      <c r="E27">
        <f t="shared" si="3"/>
        <v>1.9517856065229409</v>
      </c>
      <c r="F27">
        <f t="shared" si="4"/>
        <v>44.609416046342503</v>
      </c>
      <c r="G27">
        <f t="shared" si="5"/>
        <v>-0.63246776088576717</v>
      </c>
      <c r="H27">
        <f t="shared" si="6"/>
        <v>1.1176149735809384</v>
      </c>
      <c r="J27">
        <f t="shared" si="23"/>
        <v>-36.237733994992887</v>
      </c>
      <c r="K27">
        <f t="shared" si="23"/>
        <v>64.034622199125664</v>
      </c>
      <c r="L27">
        <f t="shared" si="8"/>
        <v>1.0698902603552141</v>
      </c>
      <c r="M27">
        <f t="shared" si="9"/>
        <v>0.68890095383227334</v>
      </c>
      <c r="N27">
        <f t="shared" si="10"/>
        <v>46.610397365912199</v>
      </c>
      <c r="O27">
        <f t="shared" si="24"/>
        <v>61.300197506175216</v>
      </c>
      <c r="P27">
        <f t="shared" si="24"/>
        <v>39.471117830430721</v>
      </c>
      <c r="Q27">
        <f t="shared" si="25"/>
        <v>62.203113330821168</v>
      </c>
      <c r="R27">
        <f t="shared" si="25"/>
        <v>111.82907967574451</v>
      </c>
      <c r="S27">
        <f t="shared" si="13"/>
        <v>0.4378279684190991</v>
      </c>
      <c r="U27">
        <f t="shared" si="22"/>
        <v>20</v>
      </c>
      <c r="V27">
        <v>40</v>
      </c>
      <c r="W27">
        <f t="shared" si="1"/>
        <v>1.0856491140965121</v>
      </c>
      <c r="X27">
        <f t="shared" si="14"/>
        <v>61.570799515387513</v>
      </c>
      <c r="Y27">
        <f t="shared" si="15"/>
        <v>62.481997407253232</v>
      </c>
      <c r="Z27">
        <f t="shared" si="16"/>
        <v>-0.87605805059819342</v>
      </c>
      <c r="AA27">
        <f t="shared" si="17"/>
        <v>1.3612052632916816</v>
      </c>
      <c r="AB27">
        <f t="shared" si="18"/>
        <v>-1.6297244876121013</v>
      </c>
      <c r="AC27">
        <f t="shared" si="19"/>
        <v>35.980669385052231</v>
      </c>
      <c r="AE27">
        <v>3.2153875902064446E-6</v>
      </c>
      <c r="AF27">
        <v>-59.999999999999922</v>
      </c>
      <c r="AH27" s="1">
        <v>21</v>
      </c>
      <c r="AI27" s="1">
        <f t="shared" si="26"/>
        <v>20</v>
      </c>
      <c r="AJ27" s="1">
        <f t="shared" si="26"/>
        <v>40</v>
      </c>
      <c r="AK27" s="2">
        <f t="shared" si="27"/>
        <v>62.203113330821168</v>
      </c>
      <c r="AL27" s="2">
        <f t="shared" si="27"/>
        <v>111.82907967574451</v>
      </c>
      <c r="AY27">
        <v>46.114448516120859</v>
      </c>
      <c r="BB27">
        <v>26.379286475505864</v>
      </c>
    </row>
    <row r="28" spans="1:55" x14ac:dyDescent="0.25">
      <c r="A28">
        <v>22</v>
      </c>
      <c r="B28">
        <f t="shared" si="2"/>
        <v>13.172719250604402</v>
      </c>
      <c r="C28">
        <f t="shared" si="2"/>
        <v>37.248670305212407</v>
      </c>
      <c r="D28">
        <f t="shared" si="0"/>
        <v>1.5552474503200795</v>
      </c>
      <c r="E28">
        <f t="shared" si="3"/>
        <v>2.4179434779092865</v>
      </c>
      <c r="F28">
        <f t="shared" si="4"/>
        <v>55.521673695913584</v>
      </c>
      <c r="G28">
        <f t="shared" si="5"/>
        <v>-0.83539445734959394</v>
      </c>
      <c r="H28">
        <f t="shared" si="6"/>
        <v>0.85094333381951437</v>
      </c>
      <c r="J28">
        <f t="shared" si="23"/>
        <v>-47.86457745123505</v>
      </c>
      <c r="K28">
        <f t="shared" si="23"/>
        <v>48.75546246432863</v>
      </c>
      <c r="L28">
        <f t="shared" si="8"/>
        <v>1.2259817624501985</v>
      </c>
      <c r="M28">
        <f t="shared" si="9"/>
        <v>0.37883458454091212</v>
      </c>
      <c r="N28">
        <f t="shared" si="10"/>
        <v>40.0912919962404</v>
      </c>
      <c r="O28">
        <f t="shared" si="24"/>
        <v>70.243581946632972</v>
      </c>
      <c r="P28">
        <f t="shared" si="24"/>
        <v>21.705623198044261</v>
      </c>
      <c r="Q28">
        <f t="shared" si="25"/>
        <v>89.109116521860372</v>
      </c>
      <c r="R28">
        <f t="shared" si="25"/>
        <v>138.53795874858872</v>
      </c>
      <c r="S28">
        <f t="shared" si="13"/>
        <v>0.65927414412353702</v>
      </c>
      <c r="U28">
        <f t="shared" si="22"/>
        <v>35</v>
      </c>
      <c r="V28">
        <v>40</v>
      </c>
      <c r="W28">
        <f t="shared" si="1"/>
        <v>1.5552474503217626</v>
      </c>
      <c r="X28">
        <f t="shared" si="14"/>
        <v>61.570799515387513</v>
      </c>
      <c r="Y28">
        <f t="shared" si="15"/>
        <v>74.625732827222535</v>
      </c>
      <c r="Z28">
        <f t="shared" si="16"/>
        <v>-1.0050948581387189</v>
      </c>
      <c r="AA28">
        <f t="shared" si="17"/>
        <v>1.0206437346069563</v>
      </c>
      <c r="AB28">
        <f t="shared" si="18"/>
        <v>13.172719250604402</v>
      </c>
      <c r="AC28">
        <f t="shared" si="19"/>
        <v>37.248670305212407</v>
      </c>
      <c r="AE28">
        <v>3.2153875902064446E-6</v>
      </c>
      <c r="AF28">
        <v>-59.999999999999922</v>
      </c>
      <c r="AH28" s="1">
        <v>22</v>
      </c>
      <c r="AI28" s="1">
        <f t="shared" si="26"/>
        <v>35</v>
      </c>
      <c r="AJ28" s="1">
        <f t="shared" si="26"/>
        <v>40</v>
      </c>
      <c r="AK28" s="2">
        <f t="shared" si="27"/>
        <v>89.109116521860372</v>
      </c>
      <c r="AL28" s="2">
        <f t="shared" si="27"/>
        <v>138.53795874858872</v>
      </c>
      <c r="AY28">
        <v>28</v>
      </c>
      <c r="BB28">
        <v>0</v>
      </c>
    </row>
    <row r="29" spans="1:55" x14ac:dyDescent="0.25">
      <c r="A29">
        <v>23</v>
      </c>
      <c r="B29">
        <f t="shared" si="2"/>
        <v>28.376109828534592</v>
      </c>
      <c r="C29">
        <f t="shared" si="2"/>
        <v>35.949398334290343</v>
      </c>
      <c r="D29">
        <f t="shared" si="0"/>
        <v>2.0620047803984569</v>
      </c>
      <c r="E29">
        <f t="shared" si="3"/>
        <v>2.9095597801365485</v>
      </c>
      <c r="F29">
        <f t="shared" si="4"/>
        <v>66.862732519666523</v>
      </c>
      <c r="G29">
        <f t="shared" si="5"/>
        <v>-1.0031372762198933</v>
      </c>
      <c r="H29">
        <f t="shared" si="6"/>
        <v>0.51192882261143646</v>
      </c>
      <c r="J29">
        <f t="shared" si="23"/>
        <v>-57.475533180075864</v>
      </c>
      <c r="K29">
        <f t="shared" si="23"/>
        <v>29.331361447075778</v>
      </c>
      <c r="L29">
        <f t="shared" si="8"/>
        <v>1.3283016609083276</v>
      </c>
      <c r="M29">
        <f t="shared" si="9"/>
        <v>-1.0461819228220969E-2</v>
      </c>
      <c r="N29">
        <f t="shared" si="10"/>
        <v>35.951365748752821</v>
      </c>
      <c r="O29">
        <f t="shared" si="24"/>
        <v>76.106080388494348</v>
      </c>
      <c r="P29">
        <f t="shared" si="24"/>
        <v>-0.59941809803084412</v>
      </c>
      <c r="Q29">
        <f t="shared" si="25"/>
        <v>118.14417326795403</v>
      </c>
      <c r="R29">
        <f t="shared" si="25"/>
        <v>166.70549848652519</v>
      </c>
      <c r="S29">
        <f t="shared" si="13"/>
        <v>0.87180127745750691</v>
      </c>
      <c r="U29">
        <f t="shared" si="22"/>
        <v>50</v>
      </c>
      <c r="V29">
        <v>40</v>
      </c>
      <c r="W29">
        <f t="shared" si="1"/>
        <v>2.0620047804001405</v>
      </c>
      <c r="X29">
        <f t="shared" si="14"/>
        <v>61.570799515387513</v>
      </c>
      <c r="Y29">
        <f t="shared" si="15"/>
        <v>87.658428003244509</v>
      </c>
      <c r="Z29">
        <f t="shared" si="16"/>
        <v>-1.0969449903001363</v>
      </c>
      <c r="AA29">
        <f t="shared" si="17"/>
        <v>0.60573653668999594</v>
      </c>
      <c r="AB29">
        <f t="shared" si="18"/>
        <v>28.376109828534592</v>
      </c>
      <c r="AC29">
        <f t="shared" si="19"/>
        <v>35.949398334290343</v>
      </c>
      <c r="AE29">
        <v>3.2153875902064446E-6</v>
      </c>
      <c r="AF29">
        <v>-59.999999999999922</v>
      </c>
      <c r="AH29" s="1">
        <v>23</v>
      </c>
      <c r="AI29" s="1">
        <f t="shared" si="26"/>
        <v>50</v>
      </c>
      <c r="AJ29" s="1">
        <f t="shared" si="26"/>
        <v>40</v>
      </c>
      <c r="AK29" s="2">
        <f t="shared" si="27"/>
        <v>118.14417326795403</v>
      </c>
      <c r="AL29" s="2">
        <f t="shared" si="27"/>
        <v>166.70549848652519</v>
      </c>
      <c r="AY29">
        <v>-28</v>
      </c>
      <c r="BC29">
        <v>0</v>
      </c>
    </row>
    <row r="30" spans="1:55" x14ac:dyDescent="0.25">
      <c r="A30">
        <v>24</v>
      </c>
      <c r="B30">
        <f t="shared" si="2"/>
        <v>-48.389491361873375</v>
      </c>
      <c r="C30">
        <f t="shared" si="2"/>
        <v>9.016645274253861</v>
      </c>
      <c r="D30">
        <f t="shared" si="0"/>
        <v>-1.3255506380784843</v>
      </c>
      <c r="E30" t="e">
        <f t="shared" si="3"/>
        <v>#NUM!</v>
      </c>
      <c r="F30">
        <f t="shared" si="4"/>
        <v>22.294197675575443</v>
      </c>
      <c r="G30">
        <f t="shared" si="5"/>
        <v>1.1544308749544241</v>
      </c>
      <c r="H30">
        <f t="shared" si="6"/>
        <v>1.7419160899140602</v>
      </c>
      <c r="J30">
        <f t="shared" si="23"/>
        <v>66.144018002778694</v>
      </c>
      <c r="K30">
        <f t="shared" si="23"/>
        <v>99.80444192048671</v>
      </c>
      <c r="L30" t="e">
        <f t="shared" si="8"/>
        <v>#NUM!</v>
      </c>
      <c r="M30">
        <f t="shared" si="9"/>
        <v>1.4533048038613849</v>
      </c>
      <c r="N30">
        <f t="shared" si="10"/>
        <v>76.919791227794249</v>
      </c>
      <c r="O30" t="e">
        <f t="shared" si="24"/>
        <v>#NUM!</v>
      </c>
      <c r="P30">
        <f t="shared" si="24"/>
        <v>83.268233027748181</v>
      </c>
      <c r="Q30">
        <f t="shared" si="25"/>
        <v>-75.948458388311451</v>
      </c>
      <c r="R30" t="e">
        <f t="shared" si="25"/>
        <v>#NUM!</v>
      </c>
      <c r="S30">
        <f t="shared" si="13"/>
        <v>-0.17028586424288025</v>
      </c>
      <c r="U30">
        <v>-55</v>
      </c>
      <c r="V30">
        <v>30</v>
      </c>
      <c r="W30">
        <f t="shared" si="1"/>
        <v>-1.3255506380768012</v>
      </c>
      <c r="X30">
        <f t="shared" si="14"/>
        <v>61.570799515387513</v>
      </c>
      <c r="Y30">
        <f t="shared" si="15"/>
        <v>40.36087214122113</v>
      </c>
      <c r="Z30">
        <f t="shared" si="16"/>
        <v>0.73281510178650655</v>
      </c>
      <c r="AA30">
        <f t="shared" si="17"/>
        <v>2.1635318630802947</v>
      </c>
      <c r="AB30">
        <f t="shared" si="18"/>
        <v>-48.389491361873375</v>
      </c>
      <c r="AC30">
        <f t="shared" si="19"/>
        <v>9.016645274253861</v>
      </c>
      <c r="AE30">
        <v>3.2153875902064446E-6</v>
      </c>
      <c r="AF30">
        <v>-59.999999999999922</v>
      </c>
      <c r="AH30" s="1">
        <v>24</v>
      </c>
      <c r="AI30" s="1">
        <f t="shared" si="26"/>
        <v>-55</v>
      </c>
      <c r="AJ30" s="1">
        <f t="shared" si="26"/>
        <v>30</v>
      </c>
      <c r="AK30" s="2">
        <f t="shared" si="27"/>
        <v>-75.948458388311451</v>
      </c>
      <c r="AL30" s="2" t="e">
        <f t="shared" si="27"/>
        <v>#NUM!</v>
      </c>
      <c r="AY30">
        <v>-49.476702144482829</v>
      </c>
      <c r="BC30">
        <v>23.72237899109545</v>
      </c>
    </row>
    <row r="31" spans="1:55" x14ac:dyDescent="0.25">
      <c r="A31">
        <v>25</v>
      </c>
      <c r="B31">
        <f t="shared" si="2"/>
        <v>-33.865233683213766</v>
      </c>
      <c r="C31">
        <f t="shared" si="2"/>
        <v>8.8726565267031496</v>
      </c>
      <c r="D31">
        <f t="shared" si="0"/>
        <v>-1.7545344355983583</v>
      </c>
      <c r="E31">
        <f t="shared" si="3"/>
        <v>0.79993558229138406</v>
      </c>
      <c r="F31">
        <f t="shared" si="4"/>
        <v>10.636023693070326</v>
      </c>
      <c r="G31">
        <f t="shared" si="5"/>
        <v>0.58410123867814834</v>
      </c>
      <c r="H31">
        <f t="shared" si="6"/>
        <v>2.74122952371021</v>
      </c>
      <c r="J31">
        <f t="shared" si="23"/>
        <v>33.466536355499024</v>
      </c>
      <c r="K31">
        <f t="shared" si="23"/>
        <v>157.06088506442174</v>
      </c>
      <c r="L31">
        <f t="shared" si="8"/>
        <v>0.65748787367560868</v>
      </c>
      <c r="M31">
        <f t="shared" si="9"/>
        <v>1.4283485913842244</v>
      </c>
      <c r="N31">
        <f t="shared" si="10"/>
        <v>62.498249355637917</v>
      </c>
      <c r="O31">
        <f t="shared" si="24"/>
        <v>37.671280885245771</v>
      </c>
      <c r="P31">
        <f t="shared" si="24"/>
        <v>81.838347355783938</v>
      </c>
      <c r="Q31">
        <f t="shared" si="25"/>
        <v>-100.52741988496679</v>
      </c>
      <c r="R31">
        <f t="shared" si="25"/>
        <v>45.832933529461812</v>
      </c>
      <c r="S31">
        <f t="shared" si="13"/>
        <v>-0.920919523843168</v>
      </c>
      <c r="U31">
        <f>U30+15</f>
        <v>-40</v>
      </c>
      <c r="V31">
        <v>30</v>
      </c>
      <c r="W31">
        <f t="shared" si="1"/>
        <v>-1.7545344355966765</v>
      </c>
      <c r="X31">
        <f t="shared" si="14"/>
        <v>61.570799515387513</v>
      </c>
      <c r="Y31">
        <f t="shared" si="15"/>
        <v>32.310988842807021</v>
      </c>
      <c r="Z31">
        <f t="shared" si="16"/>
        <v>0.3805063771123649</v>
      </c>
      <c r="AA31">
        <f t="shared" si="17"/>
        <v>2.9448243852743117</v>
      </c>
      <c r="AB31">
        <f t="shared" si="18"/>
        <v>-33.865233683213766</v>
      </c>
      <c r="AC31">
        <f t="shared" si="19"/>
        <v>8.8726565267031496</v>
      </c>
      <c r="AE31">
        <v>3.2153875902064446E-6</v>
      </c>
      <c r="AF31">
        <v>-59.999999999999922</v>
      </c>
      <c r="AH31" s="1">
        <v>25</v>
      </c>
      <c r="AI31" s="1">
        <f t="shared" si="26"/>
        <v>-40</v>
      </c>
      <c r="AJ31" s="1">
        <f t="shared" si="26"/>
        <v>30</v>
      </c>
      <c r="AK31" s="2">
        <f t="shared" si="27"/>
        <v>-100.52741988496679</v>
      </c>
      <c r="AL31" s="2">
        <f t="shared" si="27"/>
        <v>45.832933529461812</v>
      </c>
      <c r="AY31">
        <v>-10.476366362152248</v>
      </c>
      <c r="BC31">
        <v>60.654567778201482</v>
      </c>
    </row>
    <row r="32" spans="1:55" x14ac:dyDescent="0.25">
      <c r="A32">
        <v>26</v>
      </c>
      <c r="B32" t="e">
        <f t="shared" si="2"/>
        <v>#NUM!</v>
      </c>
      <c r="C32" t="e">
        <f t="shared" si="2"/>
        <v>#NUM!</v>
      </c>
      <c r="D32" t="e">
        <f t="shared" si="0"/>
        <v>#NUM!</v>
      </c>
      <c r="E32" t="e">
        <f t="shared" si="3"/>
        <v>#NUM!</v>
      </c>
      <c r="F32" t="e">
        <f t="shared" si="4"/>
        <v>#NUM!</v>
      </c>
      <c r="G32" t="e">
        <f t="shared" si="5"/>
        <v>#NUM!</v>
      </c>
      <c r="H32" t="e">
        <f t="shared" si="6"/>
        <v>#NUM!</v>
      </c>
      <c r="J32" t="e">
        <f t="shared" si="23"/>
        <v>#NUM!</v>
      </c>
      <c r="K32" t="e">
        <f t="shared" si="23"/>
        <v>#NUM!</v>
      </c>
      <c r="L32" t="e">
        <f t="shared" si="8"/>
        <v>#NUM!</v>
      </c>
      <c r="M32" t="e">
        <f t="shared" si="9"/>
        <v>#NUM!</v>
      </c>
      <c r="N32" t="e">
        <f t="shared" si="10"/>
        <v>#NUM!</v>
      </c>
      <c r="O32" t="e">
        <f t="shared" si="24"/>
        <v>#NUM!</v>
      </c>
      <c r="P32" t="e">
        <f t="shared" si="24"/>
        <v>#NUM!</v>
      </c>
      <c r="Q32" t="e">
        <f t="shared" si="25"/>
        <v>#NUM!</v>
      </c>
      <c r="R32" t="e">
        <f t="shared" si="25"/>
        <v>#NUM!</v>
      </c>
      <c r="S32" t="e">
        <f t="shared" si="13"/>
        <v>#NUM!</v>
      </c>
      <c r="U32">
        <f t="shared" ref="U32:U37" si="28">U31+15</f>
        <v>-25</v>
      </c>
      <c r="V32">
        <v>30</v>
      </c>
      <c r="W32" t="e">
        <f t="shared" si="1"/>
        <v>#NUM!</v>
      </c>
      <c r="X32">
        <f t="shared" si="14"/>
        <v>61.570799515387513</v>
      </c>
      <c r="Y32">
        <f t="shared" si="15"/>
        <v>30.14962686336267</v>
      </c>
      <c r="Z32">
        <f t="shared" si="16"/>
        <v>-9.9668652491162038E-2</v>
      </c>
      <c r="AA32" t="e">
        <f t="shared" si="17"/>
        <v>#NUM!</v>
      </c>
      <c r="AB32" t="e">
        <f t="shared" si="18"/>
        <v>#NUM!</v>
      </c>
      <c r="AC32" t="e">
        <f t="shared" si="19"/>
        <v>#NUM!</v>
      </c>
      <c r="AE32">
        <v>3.2153875902064446E-6</v>
      </c>
      <c r="AF32">
        <v>-59.999999999999922</v>
      </c>
      <c r="AH32" s="1">
        <v>26</v>
      </c>
      <c r="AI32" s="1">
        <f t="shared" si="26"/>
        <v>-25</v>
      </c>
      <c r="AJ32" s="1">
        <f t="shared" si="26"/>
        <v>30</v>
      </c>
      <c r="AK32" s="2" t="e">
        <f t="shared" si="27"/>
        <v>#NUM!</v>
      </c>
      <c r="AL32" s="2" t="e">
        <f t="shared" si="27"/>
        <v>#NUM!</v>
      </c>
      <c r="AY32">
        <v>37.740003922390386</v>
      </c>
      <c r="BC32">
        <v>30.481671929076004</v>
      </c>
    </row>
    <row r="33" spans="1:57" x14ac:dyDescent="0.25">
      <c r="A33">
        <v>27</v>
      </c>
      <c r="B33">
        <f t="shared" si="2"/>
        <v>-27.020832927627175</v>
      </c>
      <c r="C33">
        <f t="shared" si="2"/>
        <v>21.061160505588589</v>
      </c>
      <c r="D33">
        <f t="shared" si="0"/>
        <v>-0.1742984163552741</v>
      </c>
      <c r="E33">
        <f t="shared" si="3"/>
        <v>1.1263976602319694</v>
      </c>
      <c r="F33">
        <f t="shared" si="4"/>
        <v>21.083909741738694</v>
      </c>
      <c r="G33">
        <f t="shared" si="5"/>
        <v>-4.6458147730208621E-2</v>
      </c>
      <c r="H33">
        <f t="shared" si="6"/>
        <v>1.7915528908754828</v>
      </c>
      <c r="J33">
        <f t="shared" si="23"/>
        <v>-2.6618558343426044</v>
      </c>
      <c r="K33">
        <f t="shared" si="23"/>
        <v>102.64842117262019</v>
      </c>
      <c r="L33">
        <f t="shared" si="8"/>
        <v>0.76081916668229721</v>
      </c>
      <c r="M33">
        <f t="shared" si="9"/>
        <v>1.2052178064503281</v>
      </c>
      <c r="N33">
        <f t="shared" si="10"/>
        <v>58.914043638949344</v>
      </c>
      <c r="O33">
        <f t="shared" si="24"/>
        <v>43.591727967150639</v>
      </c>
      <c r="P33">
        <f t="shared" si="24"/>
        <v>69.053894881551173</v>
      </c>
      <c r="Q33">
        <f t="shared" si="25"/>
        <v>-9.9865638033236195</v>
      </c>
      <c r="R33">
        <f t="shared" si="25"/>
        <v>64.537833085599488</v>
      </c>
      <c r="S33">
        <f t="shared" si="13"/>
        <v>-0.21896788951079574</v>
      </c>
      <c r="U33">
        <f t="shared" si="28"/>
        <v>-10</v>
      </c>
      <c r="V33">
        <v>35</v>
      </c>
      <c r="W33">
        <f t="shared" si="1"/>
        <v>-0.174298416353591</v>
      </c>
      <c r="X33">
        <f t="shared" si="14"/>
        <v>61.570799515387513</v>
      </c>
      <c r="Y33">
        <f t="shared" si="15"/>
        <v>39.357337308308857</v>
      </c>
      <c r="Z33">
        <f t="shared" si="16"/>
        <v>-0.47501075626509681</v>
      </c>
      <c r="AA33">
        <f t="shared" si="17"/>
        <v>2.220105499408688</v>
      </c>
      <c r="AB33">
        <f t="shared" si="18"/>
        <v>-27.020832927627175</v>
      </c>
      <c r="AC33">
        <f t="shared" si="19"/>
        <v>21.061160505588589</v>
      </c>
      <c r="AE33">
        <v>3.2153875902064446E-6</v>
      </c>
      <c r="AF33">
        <v>-59.999999999999922</v>
      </c>
      <c r="AH33" s="1">
        <v>27</v>
      </c>
      <c r="AI33" s="1">
        <f t="shared" si="26"/>
        <v>-10</v>
      </c>
      <c r="AJ33" s="1">
        <f t="shared" si="26"/>
        <v>35</v>
      </c>
      <c r="AK33" s="2">
        <f t="shared" si="27"/>
        <v>-9.9865638033236195</v>
      </c>
      <c r="AL33" s="2">
        <f t="shared" si="27"/>
        <v>64.537833085599488</v>
      </c>
      <c r="AY33">
        <v>28</v>
      </c>
      <c r="BC33">
        <v>0</v>
      </c>
    </row>
    <row r="34" spans="1:57" x14ac:dyDescent="0.25">
      <c r="A34">
        <v>28</v>
      </c>
      <c r="B34">
        <f t="shared" si="2"/>
        <v>-16.278134372034707</v>
      </c>
      <c r="C34">
        <f t="shared" si="2"/>
        <v>24.410635309164093</v>
      </c>
      <c r="D34">
        <f t="shared" si="0"/>
        <v>0.44380166019151379</v>
      </c>
      <c r="E34">
        <f t="shared" si="3"/>
        <v>1.4786407771514034</v>
      </c>
      <c r="F34">
        <f t="shared" si="4"/>
        <v>27.079166346050666</v>
      </c>
      <c r="G34">
        <f t="shared" si="5"/>
        <v>-0.44767846830875235</v>
      </c>
      <c r="H34">
        <f t="shared" si="6"/>
        <v>1.5746731349072387</v>
      </c>
      <c r="J34">
        <f t="shared" si="23"/>
        <v>-25.650087250516005</v>
      </c>
      <c r="K34">
        <f t="shared" si="23"/>
        <v>90.222126281842833</v>
      </c>
      <c r="L34">
        <f t="shared" si="8"/>
        <v>0.97479833124197923</v>
      </c>
      <c r="M34">
        <f t="shared" si="9"/>
        <v>1.0669538540905756</v>
      </c>
      <c r="N34">
        <f t="shared" si="10"/>
        <v>50.561173835908619</v>
      </c>
      <c r="O34">
        <f t="shared" si="24"/>
        <v>55.851831209290559</v>
      </c>
      <c r="P34">
        <f t="shared" si="24"/>
        <v>61.13195381740573</v>
      </c>
      <c r="Q34">
        <f t="shared" si="25"/>
        <v>25.427962503627136</v>
      </c>
      <c r="R34">
        <f t="shared" si="25"/>
        <v>84.719877391884808</v>
      </c>
      <c r="S34">
        <f t="shared" si="13"/>
        <v>-3.8767984011770927E-3</v>
      </c>
      <c r="U34">
        <f t="shared" si="28"/>
        <v>5</v>
      </c>
      <c r="V34">
        <v>30</v>
      </c>
      <c r="W34">
        <f t="shared" si="1"/>
        <v>0.44380166019319667</v>
      </c>
      <c r="X34">
        <f t="shared" si="14"/>
        <v>61.570799515387513</v>
      </c>
      <c r="Y34">
        <f t="shared" si="15"/>
        <v>44.598206241955516</v>
      </c>
      <c r="Z34">
        <f t="shared" si="16"/>
        <v>-0.83298126667443173</v>
      </c>
      <c r="AA34">
        <f t="shared" si="17"/>
        <v>1.959975933271235</v>
      </c>
      <c r="AB34">
        <f t="shared" si="18"/>
        <v>-16.278134372034707</v>
      </c>
      <c r="AC34">
        <f t="shared" si="19"/>
        <v>24.410635309164093</v>
      </c>
      <c r="AE34">
        <v>3.2153875902064446E-6</v>
      </c>
      <c r="AF34">
        <v>-59.999999999999922</v>
      </c>
      <c r="AH34" s="1">
        <v>28</v>
      </c>
      <c r="AI34" s="1">
        <f t="shared" si="26"/>
        <v>5</v>
      </c>
      <c r="AJ34" s="1">
        <f t="shared" si="26"/>
        <v>30</v>
      </c>
      <c r="AK34" s="2">
        <f t="shared" si="27"/>
        <v>25.427962503627136</v>
      </c>
      <c r="AL34" s="2">
        <f t="shared" si="27"/>
        <v>84.719877391884808</v>
      </c>
      <c r="AY34">
        <v>-28</v>
      </c>
      <c r="BD34">
        <v>0</v>
      </c>
    </row>
    <row r="35" spans="1:57" x14ac:dyDescent="0.25">
      <c r="A35">
        <v>29</v>
      </c>
      <c r="B35">
        <f t="shared" si="2"/>
        <v>-1.9862292169489706</v>
      </c>
      <c r="C35">
        <f t="shared" si="2"/>
        <v>29.221716747016792</v>
      </c>
      <c r="D35">
        <f t="shared" si="0"/>
        <v>1.048642506301932</v>
      </c>
      <c r="E35">
        <f t="shared" si="3"/>
        <v>1.9555801757488862</v>
      </c>
      <c r="F35">
        <f t="shared" si="4"/>
        <v>39.123202834072785</v>
      </c>
      <c r="G35">
        <f t="shared" si="5"/>
        <v>-0.72738570478988041</v>
      </c>
      <c r="H35">
        <f t="shared" si="6"/>
        <v>1.2495395252779486</v>
      </c>
      <c r="J35">
        <f t="shared" si="23"/>
        <v>-41.676131673527138</v>
      </c>
      <c r="K35">
        <f t="shared" si="23"/>
        <v>71.593342354457661</v>
      </c>
      <c r="L35">
        <f t="shared" si="8"/>
        <v>1.183093650470294</v>
      </c>
      <c r="M35">
        <f t="shared" si="9"/>
        <v>0.79830977472140785</v>
      </c>
      <c r="N35">
        <f t="shared" si="10"/>
        <v>41.869830096315006</v>
      </c>
      <c r="O35">
        <f t="shared" si="24"/>
        <v>67.786274096982822</v>
      </c>
      <c r="P35">
        <f t="shared" si="24"/>
        <v>45.739781615812767</v>
      </c>
      <c r="Q35">
        <f t="shared" si="25"/>
        <v>60.082790854023457</v>
      </c>
      <c r="R35">
        <f t="shared" si="25"/>
        <v>112.04649248117006</v>
      </c>
      <c r="S35">
        <f t="shared" si="13"/>
        <v>0.31575931237865618</v>
      </c>
      <c r="U35">
        <f t="shared" si="28"/>
        <v>20</v>
      </c>
      <c r="V35">
        <v>30</v>
      </c>
      <c r="W35">
        <f t="shared" si="1"/>
        <v>1.0486425063036149</v>
      </c>
      <c r="X35">
        <f t="shared" si="14"/>
        <v>61.570799515387513</v>
      </c>
      <c r="Y35">
        <f t="shared" si="15"/>
        <v>56.603886792339623</v>
      </c>
      <c r="Z35">
        <f t="shared" si="16"/>
        <v>-1.0121970114513341</v>
      </c>
      <c r="AA35">
        <f t="shared" si="17"/>
        <v>1.5343508319377193</v>
      </c>
      <c r="AB35">
        <f t="shared" si="18"/>
        <v>-1.9862292169489706</v>
      </c>
      <c r="AC35">
        <f t="shared" si="19"/>
        <v>29.221716747016792</v>
      </c>
      <c r="AE35">
        <v>3.2153875902064446E-6</v>
      </c>
      <c r="AF35">
        <v>-59.999999999999922</v>
      </c>
      <c r="AH35" s="1">
        <v>29</v>
      </c>
      <c r="AI35" s="1">
        <f t="shared" si="26"/>
        <v>20</v>
      </c>
      <c r="AJ35" s="1">
        <f t="shared" si="26"/>
        <v>30</v>
      </c>
      <c r="AK35" s="2">
        <f t="shared" si="27"/>
        <v>60.082790854023457</v>
      </c>
      <c r="AL35" s="2">
        <f t="shared" si="27"/>
        <v>112.04649248117006</v>
      </c>
      <c r="AY35">
        <v>-54.518554557879654</v>
      </c>
      <c r="BD35">
        <v>17.90994874813326</v>
      </c>
    </row>
    <row r="36" spans="1:57" x14ac:dyDescent="0.25">
      <c r="A36">
        <v>30</v>
      </c>
      <c r="B36">
        <f t="shared" si="2"/>
        <v>13.010587611292753</v>
      </c>
      <c r="C36">
        <f t="shared" si="2"/>
        <v>30.68245351617054</v>
      </c>
      <c r="D36">
        <f t="shared" si="0"/>
        <v>1.5405042043840129</v>
      </c>
      <c r="E36">
        <f t="shared" si="3"/>
        <v>2.4909368336403244</v>
      </c>
      <c r="F36">
        <f t="shared" si="4"/>
        <v>51.21797780072427</v>
      </c>
      <c r="G36">
        <f t="shared" si="5"/>
        <v>-0.92847429164771822</v>
      </c>
      <c r="H36">
        <f t="shared" si="6"/>
        <v>0.95876641405370511</v>
      </c>
      <c r="J36">
        <f t="shared" si="23"/>
        <v>-53.197659205267186</v>
      </c>
      <c r="K36">
        <f t="shared" si="23"/>
        <v>54.933270001230241</v>
      </c>
      <c r="L36">
        <f t="shared" si="8"/>
        <v>1.3745730932861462</v>
      </c>
      <c r="M36">
        <f t="shared" si="9"/>
        <v>0.45443255964582197</v>
      </c>
      <c r="N36">
        <f t="shared" si="10"/>
        <v>34.148139591062588</v>
      </c>
      <c r="O36">
        <f t="shared" si="24"/>
        <v>78.757238220992207</v>
      </c>
      <c r="P36">
        <f t="shared" si="24"/>
        <v>26.037068185177148</v>
      </c>
      <c r="Q36">
        <f t="shared" si="25"/>
        <v>88.264390738990897</v>
      </c>
      <c r="R36">
        <f t="shared" si="25"/>
        <v>142.72017003581507</v>
      </c>
      <c r="S36">
        <f t="shared" si="13"/>
        <v>0.57453009264968147</v>
      </c>
      <c r="U36">
        <f t="shared" si="28"/>
        <v>35</v>
      </c>
      <c r="V36">
        <v>30</v>
      </c>
      <c r="W36">
        <f t="shared" si="1"/>
        <v>1.540504204385696</v>
      </c>
      <c r="X36">
        <f t="shared" si="14"/>
        <v>61.570799515387513</v>
      </c>
      <c r="Y36">
        <f t="shared" si="15"/>
        <v>69.778220097678044</v>
      </c>
      <c r="Z36">
        <f t="shared" si="16"/>
        <v>-1.1263771168937977</v>
      </c>
      <c r="AA36">
        <f t="shared" si="17"/>
        <v>1.1566692392981015</v>
      </c>
      <c r="AB36">
        <f t="shared" si="18"/>
        <v>13.010587611292753</v>
      </c>
      <c r="AC36">
        <f t="shared" si="19"/>
        <v>30.68245351617054</v>
      </c>
      <c r="AE36">
        <v>3.2153875902064446E-6</v>
      </c>
      <c r="AF36">
        <v>-59.999999999999922</v>
      </c>
      <c r="AH36" s="1">
        <v>30</v>
      </c>
      <c r="AI36" s="1">
        <f t="shared" si="26"/>
        <v>35</v>
      </c>
      <c r="AJ36" s="1">
        <f t="shared" si="26"/>
        <v>30</v>
      </c>
      <c r="AK36" s="2">
        <f t="shared" si="27"/>
        <v>88.264390738990897</v>
      </c>
      <c r="AL36" s="2">
        <f t="shared" si="27"/>
        <v>142.72017003581507</v>
      </c>
      <c r="AY36">
        <v>-25.334503129260767</v>
      </c>
      <c r="BD36">
        <v>58.656544882186154</v>
      </c>
    </row>
    <row r="37" spans="1:57" x14ac:dyDescent="0.25">
      <c r="A37">
        <v>31</v>
      </c>
      <c r="B37">
        <f t="shared" si="2"/>
        <v>28.004068443275273</v>
      </c>
      <c r="C37">
        <f t="shared" si="2"/>
        <v>29.576922047381981</v>
      </c>
      <c r="D37">
        <f t="shared" si="0"/>
        <v>2.0240242737752201</v>
      </c>
      <c r="E37">
        <f t="shared" si="3"/>
        <v>3.0704602394376255</v>
      </c>
      <c r="F37">
        <f t="shared" si="4"/>
        <v>63.334429815037979</v>
      </c>
      <c r="G37">
        <f t="shared" si="5"/>
        <v>-1.084905861004301</v>
      </c>
      <c r="H37">
        <f t="shared" si="6"/>
        <v>0.63167791401908058</v>
      </c>
      <c r="J37">
        <f t="shared" si="23"/>
        <v>-62.160528064897456</v>
      </c>
      <c r="K37">
        <f t="shared" si="23"/>
        <v>36.192479102298144</v>
      </c>
      <c r="L37">
        <f t="shared" si="8"/>
        <v>1.4995263847846061</v>
      </c>
      <c r="M37">
        <f t="shared" si="9"/>
        <v>-1.3755465301950635E-4</v>
      </c>
      <c r="N37">
        <f t="shared" si="10"/>
        <v>29.576922327198634</v>
      </c>
      <c r="O37">
        <f t="shared" si="24"/>
        <v>85.9165345822463</v>
      </c>
      <c r="P37">
        <f t="shared" si="24"/>
        <v>-7.8813012048446832E-3</v>
      </c>
      <c r="Q37">
        <f t="shared" si="25"/>
        <v>115.96805049755325</v>
      </c>
      <c r="R37">
        <f t="shared" si="25"/>
        <v>175.92441588345113</v>
      </c>
      <c r="S37">
        <f t="shared" si="13"/>
        <v>0.80703783706916454</v>
      </c>
      <c r="U37">
        <f t="shared" si="28"/>
        <v>50</v>
      </c>
      <c r="V37">
        <v>30</v>
      </c>
      <c r="W37">
        <f t="shared" si="1"/>
        <v>2.0240242737769036</v>
      </c>
      <c r="X37">
        <f t="shared" si="14"/>
        <v>61.570799515387513</v>
      </c>
      <c r="Y37">
        <f t="shared" si="15"/>
        <v>83.570329663104715</v>
      </c>
      <c r="Z37">
        <f t="shared" si="16"/>
        <v>-1.2036224929766774</v>
      </c>
      <c r="AA37">
        <f t="shared" si="17"/>
        <v>0.75039454598977395</v>
      </c>
      <c r="AB37">
        <f t="shared" si="18"/>
        <v>28.004068443275273</v>
      </c>
      <c r="AC37">
        <f t="shared" si="19"/>
        <v>29.576922047381981</v>
      </c>
      <c r="AE37">
        <v>3.2153875902064446E-6</v>
      </c>
      <c r="AF37">
        <v>-59.999999999999922</v>
      </c>
      <c r="AH37" s="1">
        <v>31</v>
      </c>
      <c r="AI37" s="1">
        <f t="shared" si="26"/>
        <v>50</v>
      </c>
      <c r="AJ37" s="1">
        <f t="shared" si="26"/>
        <v>30</v>
      </c>
      <c r="AK37" s="2">
        <f t="shared" si="27"/>
        <v>115.96805049755325</v>
      </c>
      <c r="AL37" s="2">
        <f t="shared" si="27"/>
        <v>175.92441588345113</v>
      </c>
      <c r="AY37">
        <v>26.074345174939772</v>
      </c>
      <c r="BD37">
        <v>31.942007662241931</v>
      </c>
    </row>
    <row r="38" spans="1:57" x14ac:dyDescent="0.25">
      <c r="A38">
        <v>32</v>
      </c>
      <c r="B38">
        <f t="shared" si="2"/>
        <v>33.051149979585645</v>
      </c>
      <c r="C38">
        <f t="shared" si="2"/>
        <v>28.500672556392558</v>
      </c>
      <c r="D38">
        <f t="shared" si="0"/>
        <v>2.2122989296955131</v>
      </c>
      <c r="E38">
        <f t="shared" si="3"/>
        <v>3.26418007559483</v>
      </c>
      <c r="F38">
        <f t="shared" si="4"/>
        <v>67.376043591150179</v>
      </c>
      <c r="G38">
        <f t="shared" si="5"/>
        <v>-1.1340328428437201</v>
      </c>
      <c r="H38">
        <f t="shared" si="6"/>
        <v>0.49253023993820699</v>
      </c>
      <c r="J38">
        <f t="shared" si="23"/>
        <v>-64.975296832526794</v>
      </c>
      <c r="K38">
        <f t="shared" si="23"/>
        <v>28.219904512404714</v>
      </c>
      <c r="L38">
        <f t="shared" si="8"/>
        <v>1.5179760197569896</v>
      </c>
      <c r="M38">
        <f t="shared" si="9"/>
        <v>-0.17540775583784043</v>
      </c>
      <c r="N38">
        <f t="shared" si="10"/>
        <v>28.944817364823294</v>
      </c>
      <c r="O38">
        <f t="shared" si="24"/>
        <v>86.973620817752803</v>
      </c>
      <c r="P38">
        <f t="shared" si="24"/>
        <v>-10.050124274806121</v>
      </c>
      <c r="Q38">
        <f t="shared" si="25"/>
        <v>126.75539385507604</v>
      </c>
      <c r="R38">
        <f t="shared" si="25"/>
        <v>187.02374509255893</v>
      </c>
      <c r="S38">
        <f t="shared" si="13"/>
        <v>0.88113923906618818</v>
      </c>
      <c r="U38">
        <f t="shared" ref="U38:U41" si="29">U37+5</f>
        <v>55</v>
      </c>
      <c r="V38">
        <v>30</v>
      </c>
      <c r="W38">
        <f t="shared" si="1"/>
        <v>2.2122989296971958</v>
      </c>
      <c r="X38">
        <f t="shared" si="14"/>
        <v>61.570799515387513</v>
      </c>
      <c r="Y38">
        <f t="shared" si="15"/>
        <v>88.255311454892052</v>
      </c>
      <c r="Z38">
        <f t="shared" si="16"/>
        <v>-1.223961429213889</v>
      </c>
      <c r="AA38">
        <f t="shared" si="17"/>
        <v>0.58245882630669321</v>
      </c>
      <c r="AB38">
        <f t="shared" si="18"/>
        <v>33.051149979585645</v>
      </c>
      <c r="AC38">
        <f t="shared" si="19"/>
        <v>28.500672556392558</v>
      </c>
      <c r="AE38">
        <v>3.2153875902064446E-6</v>
      </c>
      <c r="AF38">
        <v>-59.999999999999922</v>
      </c>
      <c r="AH38" s="1">
        <v>32</v>
      </c>
      <c r="AI38" s="1">
        <f t="shared" si="26"/>
        <v>55</v>
      </c>
      <c r="AJ38" s="1">
        <f t="shared" si="26"/>
        <v>30</v>
      </c>
      <c r="AK38" s="2">
        <f t="shared" si="27"/>
        <v>126.75539385507604</v>
      </c>
      <c r="AL38" s="2">
        <f t="shared" si="27"/>
        <v>187.02374509255893</v>
      </c>
      <c r="AY38">
        <v>28</v>
      </c>
      <c r="BD38">
        <v>0</v>
      </c>
    </row>
    <row r="39" spans="1:57" x14ac:dyDescent="0.25">
      <c r="B39">
        <f t="shared" si="2"/>
        <v>38.254351368875902</v>
      </c>
      <c r="C39">
        <f t="shared" si="2"/>
        <v>26.664319317905438</v>
      </c>
      <c r="D39">
        <f t="shared" si="0"/>
        <v>2.4545464543088875</v>
      </c>
      <c r="E39">
        <f t="shared" si="3"/>
        <v>3.4670740527415327</v>
      </c>
      <c r="F39">
        <f t="shared" si="4"/>
        <v>71.41866002661834</v>
      </c>
      <c r="G39">
        <f t="shared" si="5"/>
        <v>-1.1881763464443582</v>
      </c>
      <c r="H39">
        <f t="shared" si="6"/>
        <v>0.3044262189254705</v>
      </c>
      <c r="J39">
        <f t="shared" si="23"/>
        <v>-68.077491129812458</v>
      </c>
      <c r="K39">
        <f t="shared" si="23"/>
        <v>17.442337815089292</v>
      </c>
      <c r="L39">
        <f t="shared" si="8"/>
        <v>1.5291416884519704</v>
      </c>
      <c r="M39">
        <f t="shared" si="9"/>
        <v>-0.36713606428956191</v>
      </c>
      <c r="N39">
        <f t="shared" si="10"/>
        <v>28.568122911447858</v>
      </c>
      <c r="O39">
        <f t="shared" si="24"/>
        <v>87.613366520329421</v>
      </c>
      <c r="P39">
        <f t="shared" si="24"/>
        <v>-21.035347349659894</v>
      </c>
      <c r="Q39">
        <f t="shared" si="25"/>
        <v>140.63515484967712</v>
      </c>
      <c r="R39">
        <f t="shared" si="25"/>
        <v>198.64871386998934</v>
      </c>
      <c r="S39">
        <f t="shared" si="13"/>
        <v>0.95401909808402374</v>
      </c>
      <c r="U39">
        <f t="shared" si="29"/>
        <v>60</v>
      </c>
      <c r="V39">
        <v>30</v>
      </c>
      <c r="W39">
        <f t="shared" si="1"/>
        <v>2.4545464543105711</v>
      </c>
      <c r="X39">
        <f t="shared" si="14"/>
        <v>61.570799515387513</v>
      </c>
      <c r="Y39">
        <f t="shared" si="15"/>
        <v>92.973114393355672</v>
      </c>
      <c r="Z39">
        <f t="shared" si="16"/>
        <v>-1.2422431562434455</v>
      </c>
      <c r="AA39">
        <f t="shared" si="17"/>
        <v>0.35849302872287425</v>
      </c>
      <c r="AB39">
        <f t="shared" si="18"/>
        <v>38.254351368875902</v>
      </c>
      <c r="AC39">
        <f t="shared" si="19"/>
        <v>26.664319317905438</v>
      </c>
      <c r="AE39">
        <v>3.2153875902064446E-6</v>
      </c>
      <c r="AF39">
        <v>-59.999999999999922</v>
      </c>
      <c r="AH39" s="1">
        <v>33</v>
      </c>
      <c r="AI39" s="1">
        <f t="shared" si="26"/>
        <v>60</v>
      </c>
      <c r="AJ39" s="1">
        <f t="shared" si="26"/>
        <v>30</v>
      </c>
      <c r="AK39" s="2">
        <f t="shared" si="27"/>
        <v>140.63515484967712</v>
      </c>
      <c r="AL39" s="2">
        <f t="shared" si="27"/>
        <v>198.64871386998934</v>
      </c>
      <c r="AY39">
        <v>-28</v>
      </c>
      <c r="BE39">
        <v>0</v>
      </c>
    </row>
    <row r="40" spans="1:57" x14ac:dyDescent="0.25">
      <c r="B40" t="e">
        <f t="shared" si="2"/>
        <v>#NUM!</v>
      </c>
      <c r="C40" t="e">
        <f t="shared" si="2"/>
        <v>#NUM!</v>
      </c>
      <c r="D40" t="e">
        <f t="shared" si="0"/>
        <v>#NUM!</v>
      </c>
      <c r="E40" t="e">
        <f t="shared" si="3"/>
        <v>#NUM!</v>
      </c>
      <c r="F40" t="e">
        <f t="shared" si="4"/>
        <v>#NUM!</v>
      </c>
      <c r="G40" t="e">
        <f t="shared" si="5"/>
        <v>#NUM!</v>
      </c>
      <c r="H40" t="e">
        <f t="shared" si="6"/>
        <v>#NUM!</v>
      </c>
      <c r="J40" t="e">
        <f t="shared" si="23"/>
        <v>#NUM!</v>
      </c>
      <c r="K40" t="e">
        <f t="shared" si="23"/>
        <v>#NUM!</v>
      </c>
      <c r="L40" t="e">
        <f t="shared" si="8"/>
        <v>#NUM!</v>
      </c>
      <c r="M40" t="e">
        <f t="shared" si="9"/>
        <v>#NUM!</v>
      </c>
      <c r="N40" t="e">
        <f t="shared" si="10"/>
        <v>#NUM!</v>
      </c>
      <c r="O40" t="e">
        <f t="shared" si="24"/>
        <v>#NUM!</v>
      </c>
      <c r="P40" t="e">
        <f t="shared" si="24"/>
        <v>#NUM!</v>
      </c>
      <c r="Q40" t="e">
        <f t="shared" si="25"/>
        <v>#NUM!</v>
      </c>
      <c r="R40" t="e">
        <f t="shared" si="25"/>
        <v>#NUM!</v>
      </c>
      <c r="S40" t="e">
        <f t="shared" si="13"/>
        <v>#NUM!</v>
      </c>
      <c r="U40">
        <f t="shared" si="29"/>
        <v>65</v>
      </c>
      <c r="V40">
        <v>81</v>
      </c>
      <c r="W40" t="e">
        <f t="shared" si="1"/>
        <v>#NUM!</v>
      </c>
      <c r="X40">
        <f t="shared" si="14"/>
        <v>61.570799515387513</v>
      </c>
      <c r="Y40">
        <f t="shared" si="15"/>
        <v>123.3288287465668</v>
      </c>
      <c r="Z40">
        <f t="shared" si="16"/>
        <v>-0.85425465269849288</v>
      </c>
      <c r="AA40" t="e">
        <f t="shared" si="17"/>
        <v>#NUM!</v>
      </c>
      <c r="AB40" t="e">
        <f t="shared" si="18"/>
        <v>#NUM!</v>
      </c>
      <c r="AC40" t="e">
        <f t="shared" si="19"/>
        <v>#NUM!</v>
      </c>
      <c r="AE40">
        <v>3.2153875902064446E-6</v>
      </c>
      <c r="AF40">
        <v>-59.999999999999922</v>
      </c>
      <c r="AH40" s="1">
        <v>34</v>
      </c>
      <c r="AI40" s="1">
        <f t="shared" si="26"/>
        <v>65</v>
      </c>
      <c r="AJ40" s="1">
        <f t="shared" si="26"/>
        <v>81</v>
      </c>
      <c r="AK40" s="2" t="e">
        <f t="shared" si="27"/>
        <v>#NUM!</v>
      </c>
      <c r="AL40" s="2" t="e">
        <f t="shared" si="27"/>
        <v>#NUM!</v>
      </c>
      <c r="AY40">
        <v>-55.662348784867049</v>
      </c>
      <c r="BE40">
        <v>16.087089845723014</v>
      </c>
    </row>
    <row r="41" spans="1:57" x14ac:dyDescent="0.25">
      <c r="B41" t="e">
        <f t="shared" si="2"/>
        <v>#NUM!</v>
      </c>
      <c r="C41" t="e">
        <f t="shared" si="2"/>
        <v>#NUM!</v>
      </c>
      <c r="D41" t="e">
        <f t="shared" si="0"/>
        <v>#NUM!</v>
      </c>
      <c r="E41" t="e">
        <f t="shared" si="3"/>
        <v>#NUM!</v>
      </c>
      <c r="F41" t="e">
        <f t="shared" si="4"/>
        <v>#NUM!</v>
      </c>
      <c r="G41" t="e">
        <f t="shared" si="5"/>
        <v>#NUM!</v>
      </c>
      <c r="H41" t="e">
        <f t="shared" si="6"/>
        <v>#NUM!</v>
      </c>
      <c r="J41" t="e">
        <f t="shared" si="23"/>
        <v>#NUM!</v>
      </c>
      <c r="K41" t="e">
        <f t="shared" si="23"/>
        <v>#NUM!</v>
      </c>
      <c r="L41" t="e">
        <f t="shared" si="8"/>
        <v>#NUM!</v>
      </c>
      <c r="M41" t="e">
        <f t="shared" si="9"/>
        <v>#NUM!</v>
      </c>
      <c r="N41" t="e">
        <f t="shared" si="10"/>
        <v>#NUM!</v>
      </c>
      <c r="O41" t="e">
        <f t="shared" si="24"/>
        <v>#NUM!</v>
      </c>
      <c r="P41" t="e">
        <f t="shared" si="24"/>
        <v>#NUM!</v>
      </c>
      <c r="Q41" t="e">
        <f t="shared" si="25"/>
        <v>#NUM!</v>
      </c>
      <c r="R41" t="e">
        <f t="shared" si="25"/>
        <v>#NUM!</v>
      </c>
      <c r="S41" t="e">
        <f t="shared" si="13"/>
        <v>#NUM!</v>
      </c>
      <c r="U41">
        <f t="shared" si="29"/>
        <v>70</v>
      </c>
      <c r="V41">
        <v>82</v>
      </c>
      <c r="W41" t="e">
        <f t="shared" si="1"/>
        <v>#NUM!</v>
      </c>
      <c r="X41">
        <f t="shared" si="14"/>
        <v>61.570799515387513</v>
      </c>
      <c r="Y41">
        <f t="shared" si="15"/>
        <v>127.7810627597063</v>
      </c>
      <c r="Z41">
        <f t="shared" si="16"/>
        <v>-0.87405404526488573</v>
      </c>
      <c r="AA41" t="e">
        <f t="shared" si="17"/>
        <v>#NUM!</v>
      </c>
      <c r="AB41" t="e">
        <f t="shared" si="18"/>
        <v>#NUM!</v>
      </c>
      <c r="AC41" t="e">
        <f t="shared" si="19"/>
        <v>#NUM!</v>
      </c>
      <c r="AE41">
        <v>3.2153875902064446E-6</v>
      </c>
      <c r="AF41">
        <v>-59.999999999999922</v>
      </c>
      <c r="AH41" s="1">
        <v>35</v>
      </c>
      <c r="AI41" s="1">
        <f t="shared" si="26"/>
        <v>70</v>
      </c>
      <c r="AJ41" s="1">
        <f t="shared" si="26"/>
        <v>82</v>
      </c>
      <c r="AK41" s="2" t="e">
        <f t="shared" si="27"/>
        <v>#NUM!</v>
      </c>
      <c r="AL41" s="2" t="e">
        <f t="shared" si="27"/>
        <v>#NUM!</v>
      </c>
      <c r="AY41">
        <v>-38.852682394788737</v>
      </c>
      <c r="BE41">
        <v>58.029937134483291</v>
      </c>
    </row>
    <row r="42" spans="1:57" x14ac:dyDescent="0.25">
      <c r="B42" t="e">
        <f t="shared" si="2"/>
        <v>#NUM!</v>
      </c>
      <c r="C42" t="e">
        <f t="shared" si="2"/>
        <v>#NUM!</v>
      </c>
      <c r="D42" t="e">
        <f t="shared" si="0"/>
        <v>#NUM!</v>
      </c>
      <c r="E42" t="e">
        <f t="shared" si="3"/>
        <v>#NUM!</v>
      </c>
      <c r="F42" t="e">
        <f t="shared" si="4"/>
        <v>#NUM!</v>
      </c>
      <c r="G42" t="e">
        <f t="shared" si="5"/>
        <v>#NUM!</v>
      </c>
      <c r="H42" t="e">
        <f t="shared" si="6"/>
        <v>#NUM!</v>
      </c>
      <c r="J42" t="e">
        <f t="shared" si="23"/>
        <v>#NUM!</v>
      </c>
      <c r="K42" t="e">
        <f t="shared" si="23"/>
        <v>#NUM!</v>
      </c>
      <c r="L42" t="e">
        <f t="shared" si="8"/>
        <v>#NUM!</v>
      </c>
      <c r="M42" t="e">
        <f t="shared" si="9"/>
        <v>#NUM!</v>
      </c>
      <c r="N42" t="e">
        <f t="shared" si="10"/>
        <v>#NUM!</v>
      </c>
      <c r="O42" t="e">
        <f t="shared" si="24"/>
        <v>#NUM!</v>
      </c>
      <c r="P42" t="e">
        <f t="shared" si="24"/>
        <v>#NUM!</v>
      </c>
      <c r="Q42" t="e">
        <f t="shared" si="25"/>
        <v>#NUM!</v>
      </c>
      <c r="R42" t="e">
        <f t="shared" si="25"/>
        <v>#NUM!</v>
      </c>
      <c r="S42" t="e">
        <f t="shared" si="13"/>
        <v>#NUM!</v>
      </c>
      <c r="W42" t="e">
        <f t="shared" si="1"/>
        <v>#NUM!</v>
      </c>
      <c r="X42">
        <f t="shared" si="14"/>
        <v>61.570799515387513</v>
      </c>
      <c r="Y42">
        <f t="shared" si="15"/>
        <v>28</v>
      </c>
      <c r="Z42">
        <f t="shared" si="16"/>
        <v>-1.5707963267948966</v>
      </c>
      <c r="AA42" t="e">
        <f t="shared" si="17"/>
        <v>#NUM!</v>
      </c>
      <c r="AB42" t="e">
        <f t="shared" si="18"/>
        <v>#NUM!</v>
      </c>
      <c r="AC42" t="e">
        <f t="shared" si="19"/>
        <v>#NUM!</v>
      </c>
      <c r="AE42">
        <v>3.2153875902064446E-6</v>
      </c>
      <c r="AF42">
        <v>-59.999999999999922</v>
      </c>
      <c r="AH42" s="1">
        <v>36</v>
      </c>
      <c r="AI42" s="1">
        <f t="shared" si="26"/>
        <v>0</v>
      </c>
      <c r="AJ42" s="1">
        <f t="shared" si="26"/>
        <v>0</v>
      </c>
      <c r="AK42" s="2" t="e">
        <f t="shared" si="27"/>
        <v>#NUM!</v>
      </c>
      <c r="AL42" s="2" t="e">
        <f t="shared" si="27"/>
        <v>#NUM!</v>
      </c>
    </row>
    <row r="43" spans="1:57" x14ac:dyDescent="0.25">
      <c r="B43" t="e">
        <f t="shared" si="2"/>
        <v>#NUM!</v>
      </c>
      <c r="C43" t="e">
        <f t="shared" si="2"/>
        <v>#NUM!</v>
      </c>
      <c r="D43" t="e">
        <f t="shared" si="0"/>
        <v>#NUM!</v>
      </c>
      <c r="E43" t="e">
        <f t="shared" si="3"/>
        <v>#NUM!</v>
      </c>
      <c r="F43" t="e">
        <f t="shared" si="4"/>
        <v>#NUM!</v>
      </c>
      <c r="G43" t="e">
        <f t="shared" si="5"/>
        <v>#NUM!</v>
      </c>
      <c r="H43" t="e">
        <f t="shared" si="6"/>
        <v>#NUM!</v>
      </c>
      <c r="J43" t="e">
        <f t="shared" si="23"/>
        <v>#NUM!</v>
      </c>
      <c r="K43" t="e">
        <f t="shared" si="23"/>
        <v>#NUM!</v>
      </c>
      <c r="L43" t="e">
        <f t="shared" si="8"/>
        <v>#NUM!</v>
      </c>
      <c r="M43" t="e">
        <f t="shared" si="9"/>
        <v>#NUM!</v>
      </c>
      <c r="N43" t="e">
        <f t="shared" si="10"/>
        <v>#NUM!</v>
      </c>
      <c r="O43" t="e">
        <f t="shared" si="24"/>
        <v>#NUM!</v>
      </c>
      <c r="P43" t="e">
        <f t="shared" si="24"/>
        <v>#NUM!</v>
      </c>
      <c r="Q43" t="e">
        <f t="shared" si="25"/>
        <v>#NUM!</v>
      </c>
      <c r="R43" t="e">
        <f t="shared" si="25"/>
        <v>#NUM!</v>
      </c>
      <c r="S43" t="e">
        <f t="shared" si="13"/>
        <v>#NUM!</v>
      </c>
      <c r="W43" t="e">
        <f t="shared" si="1"/>
        <v>#NUM!</v>
      </c>
      <c r="X43">
        <f t="shared" si="14"/>
        <v>61.570799515387513</v>
      </c>
      <c r="Y43">
        <f t="shared" si="15"/>
        <v>28</v>
      </c>
      <c r="Z43">
        <f t="shared" si="16"/>
        <v>-1.5707963267948966</v>
      </c>
      <c r="AA43" t="e">
        <f t="shared" si="17"/>
        <v>#NUM!</v>
      </c>
      <c r="AB43" t="e">
        <f t="shared" si="18"/>
        <v>#NUM!</v>
      </c>
      <c r="AC43" t="e">
        <f t="shared" si="19"/>
        <v>#NUM!</v>
      </c>
      <c r="AE43">
        <v>3.2153875902064446E-6</v>
      </c>
      <c r="AF43">
        <v>-59.999999999999922</v>
      </c>
      <c r="AH43" s="1">
        <v>37</v>
      </c>
      <c r="AI43" s="1">
        <f t="shared" si="26"/>
        <v>0</v>
      </c>
      <c r="AJ43" s="1">
        <f t="shared" si="26"/>
        <v>0</v>
      </c>
      <c r="AK43" s="2" t="e">
        <f t="shared" si="27"/>
        <v>#NUM!</v>
      </c>
      <c r="AL43" s="2" t="e">
        <f t="shared" si="27"/>
        <v>#NUM!</v>
      </c>
    </row>
    <row r="44" spans="1:57" x14ac:dyDescent="0.25">
      <c r="B44" t="e">
        <f t="shared" si="2"/>
        <v>#NUM!</v>
      </c>
      <c r="C44" t="e">
        <f t="shared" si="2"/>
        <v>#NUM!</v>
      </c>
      <c r="D44" t="e">
        <f t="shared" si="0"/>
        <v>#NUM!</v>
      </c>
      <c r="E44" t="e">
        <f t="shared" si="3"/>
        <v>#NUM!</v>
      </c>
      <c r="F44" t="e">
        <f t="shared" si="4"/>
        <v>#NUM!</v>
      </c>
      <c r="G44" t="e">
        <f t="shared" si="5"/>
        <v>#NUM!</v>
      </c>
      <c r="H44" t="e">
        <f t="shared" si="6"/>
        <v>#NUM!</v>
      </c>
      <c r="J44" t="e">
        <f t="shared" si="23"/>
        <v>#NUM!</v>
      </c>
      <c r="K44" t="e">
        <f t="shared" si="23"/>
        <v>#NUM!</v>
      </c>
      <c r="L44" t="e">
        <f t="shared" si="8"/>
        <v>#NUM!</v>
      </c>
      <c r="M44" t="e">
        <f t="shared" si="9"/>
        <v>#NUM!</v>
      </c>
      <c r="N44" t="e">
        <f t="shared" si="10"/>
        <v>#NUM!</v>
      </c>
      <c r="O44" t="e">
        <f t="shared" si="24"/>
        <v>#NUM!</v>
      </c>
      <c r="P44" t="e">
        <f t="shared" si="24"/>
        <v>#NUM!</v>
      </c>
      <c r="Q44" t="e">
        <f t="shared" si="25"/>
        <v>#NUM!</v>
      </c>
      <c r="R44" t="e">
        <f t="shared" si="25"/>
        <v>#NUM!</v>
      </c>
      <c r="S44" t="e">
        <f t="shared" si="13"/>
        <v>#NUM!</v>
      </c>
      <c r="W44" t="e">
        <f t="shared" si="1"/>
        <v>#NUM!</v>
      </c>
      <c r="X44">
        <f t="shared" si="14"/>
        <v>61.570799515387513</v>
      </c>
      <c r="Y44">
        <f t="shared" si="15"/>
        <v>28</v>
      </c>
      <c r="Z44">
        <f t="shared" si="16"/>
        <v>-1.5707963267948966</v>
      </c>
      <c r="AA44" t="e">
        <f t="shared" si="17"/>
        <v>#NUM!</v>
      </c>
      <c r="AB44" t="e">
        <f t="shared" si="18"/>
        <v>#NUM!</v>
      </c>
      <c r="AC44" t="e">
        <f t="shared" si="19"/>
        <v>#NUM!</v>
      </c>
      <c r="AE44">
        <v>3.2153875902064446E-6</v>
      </c>
      <c r="AF44">
        <v>-59.999999999999922</v>
      </c>
      <c r="AH44" s="1">
        <v>38</v>
      </c>
      <c r="AI44" s="1">
        <f t="shared" si="26"/>
        <v>0</v>
      </c>
      <c r="AJ44" s="1">
        <f t="shared" si="26"/>
        <v>0</v>
      </c>
      <c r="AK44" s="2" t="e">
        <f t="shared" si="27"/>
        <v>#NUM!</v>
      </c>
      <c r="AL44" s="2" t="e">
        <f t="shared" si="27"/>
        <v>#NUM!</v>
      </c>
    </row>
    <row r="45" spans="1:57" x14ac:dyDescent="0.25">
      <c r="B45" t="e">
        <f t="shared" si="2"/>
        <v>#NUM!</v>
      </c>
      <c r="C45" t="e">
        <f t="shared" si="2"/>
        <v>#NUM!</v>
      </c>
      <c r="D45" t="e">
        <f t="shared" si="0"/>
        <v>#NUM!</v>
      </c>
      <c r="E45" t="e">
        <f t="shared" si="3"/>
        <v>#NUM!</v>
      </c>
      <c r="F45" t="e">
        <f t="shared" si="4"/>
        <v>#NUM!</v>
      </c>
      <c r="G45" t="e">
        <f t="shared" si="5"/>
        <v>#NUM!</v>
      </c>
      <c r="H45" t="e">
        <f t="shared" si="6"/>
        <v>#NUM!</v>
      </c>
      <c r="J45" t="e">
        <f t="shared" si="23"/>
        <v>#NUM!</v>
      </c>
      <c r="K45" t="e">
        <f t="shared" si="23"/>
        <v>#NUM!</v>
      </c>
      <c r="L45" t="e">
        <f t="shared" si="8"/>
        <v>#NUM!</v>
      </c>
      <c r="M45" t="e">
        <f t="shared" si="9"/>
        <v>#NUM!</v>
      </c>
      <c r="N45" t="e">
        <f t="shared" si="10"/>
        <v>#NUM!</v>
      </c>
      <c r="O45" t="e">
        <f t="shared" si="24"/>
        <v>#NUM!</v>
      </c>
      <c r="P45" t="e">
        <f t="shared" si="24"/>
        <v>#NUM!</v>
      </c>
      <c r="Q45" t="e">
        <f t="shared" si="25"/>
        <v>#NUM!</v>
      </c>
      <c r="R45" t="e">
        <f t="shared" si="25"/>
        <v>#NUM!</v>
      </c>
      <c r="S45" t="e">
        <f t="shared" si="13"/>
        <v>#NUM!</v>
      </c>
      <c r="W45" t="e">
        <f t="shared" si="1"/>
        <v>#NUM!</v>
      </c>
      <c r="X45">
        <f t="shared" si="14"/>
        <v>61.570799515387513</v>
      </c>
      <c r="Y45">
        <f t="shared" si="15"/>
        <v>28</v>
      </c>
      <c r="Z45">
        <f t="shared" si="16"/>
        <v>-1.5707963267948966</v>
      </c>
      <c r="AA45" t="e">
        <f t="shared" si="17"/>
        <v>#NUM!</v>
      </c>
      <c r="AB45" t="e">
        <f t="shared" si="18"/>
        <v>#NUM!</v>
      </c>
      <c r="AC45" t="e">
        <f t="shared" si="19"/>
        <v>#NUM!</v>
      </c>
      <c r="AE45">
        <v>3.2153875902064446E-6</v>
      </c>
      <c r="AF45">
        <v>-59.999999999999922</v>
      </c>
      <c r="AH45" s="1">
        <v>39</v>
      </c>
      <c r="AI45" s="1">
        <f t="shared" si="26"/>
        <v>0</v>
      </c>
      <c r="AJ45" s="1">
        <f t="shared" si="26"/>
        <v>0</v>
      </c>
      <c r="AK45" s="2" t="e">
        <f t="shared" si="27"/>
        <v>#NUM!</v>
      </c>
      <c r="AL45" s="2" t="e">
        <f t="shared" si="27"/>
        <v>#NUM!</v>
      </c>
    </row>
    <row r="46" spans="1:57" x14ac:dyDescent="0.25">
      <c r="B46" t="e">
        <f t="shared" si="2"/>
        <v>#NUM!</v>
      </c>
      <c r="C46" t="e">
        <f t="shared" si="2"/>
        <v>#NUM!</v>
      </c>
      <c r="D46" t="e">
        <f t="shared" si="0"/>
        <v>#NUM!</v>
      </c>
      <c r="E46" t="e">
        <f t="shared" si="3"/>
        <v>#NUM!</v>
      </c>
      <c r="F46" t="e">
        <f t="shared" si="4"/>
        <v>#NUM!</v>
      </c>
      <c r="G46" t="e">
        <f t="shared" si="5"/>
        <v>#NUM!</v>
      </c>
      <c r="H46" t="e">
        <f t="shared" si="6"/>
        <v>#NUM!</v>
      </c>
      <c r="J46" t="e">
        <f t="shared" si="23"/>
        <v>#NUM!</v>
      </c>
      <c r="K46" t="e">
        <f t="shared" si="23"/>
        <v>#NUM!</v>
      </c>
      <c r="L46" t="e">
        <f t="shared" si="8"/>
        <v>#NUM!</v>
      </c>
      <c r="M46" t="e">
        <f t="shared" si="9"/>
        <v>#NUM!</v>
      </c>
      <c r="N46" t="e">
        <f t="shared" si="10"/>
        <v>#NUM!</v>
      </c>
      <c r="O46" t="e">
        <f t="shared" si="24"/>
        <v>#NUM!</v>
      </c>
      <c r="P46" t="e">
        <f t="shared" si="24"/>
        <v>#NUM!</v>
      </c>
      <c r="Q46" t="e">
        <f t="shared" si="25"/>
        <v>#NUM!</v>
      </c>
      <c r="R46" t="e">
        <f t="shared" si="25"/>
        <v>#NUM!</v>
      </c>
      <c r="S46" t="e">
        <f t="shared" si="13"/>
        <v>#NUM!</v>
      </c>
      <c r="W46" t="e">
        <f t="shared" si="1"/>
        <v>#NUM!</v>
      </c>
      <c r="X46">
        <f t="shared" si="14"/>
        <v>61.570799515387513</v>
      </c>
      <c r="Y46">
        <f t="shared" si="15"/>
        <v>28</v>
      </c>
      <c r="Z46">
        <f t="shared" si="16"/>
        <v>-1.5707963267948966</v>
      </c>
      <c r="AA46" t="e">
        <f t="shared" si="17"/>
        <v>#NUM!</v>
      </c>
      <c r="AB46" t="e">
        <f t="shared" si="18"/>
        <v>#NUM!</v>
      </c>
      <c r="AC46" t="e">
        <f t="shared" si="19"/>
        <v>#NUM!</v>
      </c>
      <c r="AE46">
        <v>3.2153875902064446E-6</v>
      </c>
      <c r="AF46">
        <v>-59.999999999999922</v>
      </c>
      <c r="AH46" s="1">
        <v>40</v>
      </c>
      <c r="AI46" s="1">
        <f t="shared" si="26"/>
        <v>0</v>
      </c>
      <c r="AJ46" s="1">
        <f t="shared" si="26"/>
        <v>0</v>
      </c>
      <c r="AK46" s="2" t="e">
        <f t="shared" si="27"/>
        <v>#NUM!</v>
      </c>
      <c r="AL46" s="2" t="e">
        <f t="shared" si="27"/>
        <v>#NUM!</v>
      </c>
    </row>
    <row r="47" spans="1:57" x14ac:dyDescent="0.25">
      <c r="B47" t="e">
        <f t="shared" si="2"/>
        <v>#NUM!</v>
      </c>
      <c r="C47" t="e">
        <f t="shared" si="2"/>
        <v>#NUM!</v>
      </c>
      <c r="D47" t="e">
        <f t="shared" si="0"/>
        <v>#NUM!</v>
      </c>
      <c r="E47" t="e">
        <f t="shared" si="3"/>
        <v>#NUM!</v>
      </c>
      <c r="F47" t="e">
        <f t="shared" si="4"/>
        <v>#NUM!</v>
      </c>
      <c r="G47" t="e">
        <f t="shared" si="5"/>
        <v>#NUM!</v>
      </c>
      <c r="H47" t="e">
        <f t="shared" si="6"/>
        <v>#NUM!</v>
      </c>
      <c r="J47" t="e">
        <f t="shared" si="23"/>
        <v>#NUM!</v>
      </c>
      <c r="K47" t="e">
        <f t="shared" si="23"/>
        <v>#NUM!</v>
      </c>
      <c r="L47" t="e">
        <f t="shared" si="8"/>
        <v>#NUM!</v>
      </c>
      <c r="M47" t="e">
        <f t="shared" si="9"/>
        <v>#NUM!</v>
      </c>
      <c r="N47" t="e">
        <f t="shared" si="10"/>
        <v>#NUM!</v>
      </c>
      <c r="O47" t="e">
        <f t="shared" si="24"/>
        <v>#NUM!</v>
      </c>
      <c r="P47" t="e">
        <f t="shared" si="24"/>
        <v>#NUM!</v>
      </c>
      <c r="Q47" t="e">
        <f t="shared" si="25"/>
        <v>#NUM!</v>
      </c>
      <c r="R47" t="e">
        <f t="shared" si="25"/>
        <v>#NUM!</v>
      </c>
      <c r="S47" t="e">
        <f t="shared" si="13"/>
        <v>#NUM!</v>
      </c>
      <c r="W47" t="e">
        <f t="shared" si="1"/>
        <v>#NUM!</v>
      </c>
      <c r="X47">
        <f t="shared" si="14"/>
        <v>61.570799515387513</v>
      </c>
      <c r="Y47">
        <f t="shared" si="15"/>
        <v>28</v>
      </c>
      <c r="Z47">
        <f t="shared" si="16"/>
        <v>-1.5707963267948966</v>
      </c>
      <c r="AA47" t="e">
        <f t="shared" si="17"/>
        <v>#NUM!</v>
      </c>
      <c r="AB47" t="e">
        <f t="shared" si="18"/>
        <v>#NUM!</v>
      </c>
      <c r="AC47" t="e">
        <f t="shared" si="19"/>
        <v>#NUM!</v>
      </c>
      <c r="AE47">
        <v>3.2153875902064446E-6</v>
      </c>
      <c r="AF47">
        <v>-59.999999999999922</v>
      </c>
      <c r="AH47" s="1">
        <v>41</v>
      </c>
      <c r="AI47" s="1">
        <f t="shared" si="26"/>
        <v>0</v>
      </c>
      <c r="AJ47" s="1">
        <f t="shared" si="26"/>
        <v>0</v>
      </c>
      <c r="AK47" s="2" t="e">
        <f t="shared" si="27"/>
        <v>#NUM!</v>
      </c>
      <c r="AL47" s="2" t="e">
        <f t="shared" si="27"/>
        <v>#NUM!</v>
      </c>
    </row>
    <row r="48" spans="1:57" x14ac:dyDescent="0.25">
      <c r="B48" t="e">
        <f t="shared" si="2"/>
        <v>#NUM!</v>
      </c>
      <c r="C48" t="e">
        <f t="shared" si="2"/>
        <v>#NUM!</v>
      </c>
      <c r="D48" t="e">
        <f t="shared" si="0"/>
        <v>#NUM!</v>
      </c>
      <c r="E48" t="e">
        <f t="shared" si="3"/>
        <v>#NUM!</v>
      </c>
      <c r="F48" t="e">
        <f t="shared" si="4"/>
        <v>#NUM!</v>
      </c>
      <c r="G48" t="e">
        <f t="shared" si="5"/>
        <v>#NUM!</v>
      </c>
      <c r="H48" t="e">
        <f t="shared" si="6"/>
        <v>#NUM!</v>
      </c>
      <c r="J48" t="e">
        <f t="shared" si="23"/>
        <v>#NUM!</v>
      </c>
      <c r="K48" t="e">
        <f t="shared" si="23"/>
        <v>#NUM!</v>
      </c>
      <c r="L48" t="e">
        <f t="shared" si="8"/>
        <v>#NUM!</v>
      </c>
      <c r="M48" t="e">
        <f t="shared" si="9"/>
        <v>#NUM!</v>
      </c>
      <c r="N48" t="e">
        <f t="shared" si="10"/>
        <v>#NUM!</v>
      </c>
      <c r="O48" t="e">
        <f t="shared" si="24"/>
        <v>#NUM!</v>
      </c>
      <c r="P48" t="e">
        <f t="shared" si="24"/>
        <v>#NUM!</v>
      </c>
      <c r="Q48" t="e">
        <f t="shared" si="25"/>
        <v>#NUM!</v>
      </c>
      <c r="R48" t="e">
        <f t="shared" si="25"/>
        <v>#NUM!</v>
      </c>
      <c r="S48" t="e">
        <f t="shared" si="13"/>
        <v>#NUM!</v>
      </c>
      <c r="W48" t="e">
        <f t="shared" si="1"/>
        <v>#NUM!</v>
      </c>
      <c r="X48">
        <f t="shared" si="14"/>
        <v>61.570799515387513</v>
      </c>
      <c r="Y48">
        <f t="shared" si="15"/>
        <v>28</v>
      </c>
      <c r="Z48">
        <f t="shared" si="16"/>
        <v>-1.5707963267948966</v>
      </c>
      <c r="AA48" t="e">
        <f t="shared" si="17"/>
        <v>#NUM!</v>
      </c>
      <c r="AB48" t="e">
        <f t="shared" si="18"/>
        <v>#NUM!</v>
      </c>
      <c r="AC48" t="e">
        <f t="shared" si="19"/>
        <v>#NUM!</v>
      </c>
      <c r="AE48">
        <v>3.2153875902064446E-6</v>
      </c>
      <c r="AF48">
        <v>-59.999999999999922</v>
      </c>
      <c r="AH48" s="1">
        <v>42</v>
      </c>
      <c r="AI48" s="1">
        <f t="shared" si="26"/>
        <v>0</v>
      </c>
      <c r="AJ48" s="1">
        <f t="shared" si="26"/>
        <v>0</v>
      </c>
      <c r="AK48" s="2" t="e">
        <f t="shared" si="27"/>
        <v>#NUM!</v>
      </c>
      <c r="AL48" s="2" t="e">
        <f t="shared" si="27"/>
        <v>#NUM!</v>
      </c>
    </row>
    <row r="49" spans="2:38" x14ac:dyDescent="0.25">
      <c r="B49" t="e">
        <f t="shared" si="2"/>
        <v>#NUM!</v>
      </c>
      <c r="C49" t="e">
        <f t="shared" si="2"/>
        <v>#NUM!</v>
      </c>
      <c r="D49" t="e">
        <f t="shared" si="0"/>
        <v>#NUM!</v>
      </c>
      <c r="E49" t="e">
        <f t="shared" si="3"/>
        <v>#NUM!</v>
      </c>
      <c r="F49" t="e">
        <f t="shared" si="4"/>
        <v>#NUM!</v>
      </c>
      <c r="G49" t="e">
        <f t="shared" si="5"/>
        <v>#NUM!</v>
      </c>
      <c r="H49" t="e">
        <f t="shared" si="6"/>
        <v>#NUM!</v>
      </c>
      <c r="J49" t="e">
        <f t="shared" si="23"/>
        <v>#NUM!</v>
      </c>
      <c r="K49" t="e">
        <f t="shared" si="23"/>
        <v>#NUM!</v>
      </c>
      <c r="L49" t="e">
        <f t="shared" si="8"/>
        <v>#NUM!</v>
      </c>
      <c r="M49" t="e">
        <f t="shared" si="9"/>
        <v>#NUM!</v>
      </c>
      <c r="N49" t="e">
        <f t="shared" si="10"/>
        <v>#NUM!</v>
      </c>
      <c r="O49" t="e">
        <f t="shared" si="24"/>
        <v>#NUM!</v>
      </c>
      <c r="P49" t="e">
        <f t="shared" si="24"/>
        <v>#NUM!</v>
      </c>
      <c r="Q49" t="e">
        <f t="shared" si="25"/>
        <v>#NUM!</v>
      </c>
      <c r="R49" t="e">
        <f t="shared" si="25"/>
        <v>#NUM!</v>
      </c>
      <c r="S49" t="e">
        <f t="shared" si="13"/>
        <v>#NUM!</v>
      </c>
      <c r="W49" t="e">
        <f t="shared" si="1"/>
        <v>#NUM!</v>
      </c>
      <c r="X49">
        <f t="shared" si="14"/>
        <v>61.570799515387513</v>
      </c>
      <c r="Y49">
        <f t="shared" si="15"/>
        <v>28</v>
      </c>
      <c r="Z49">
        <f t="shared" si="16"/>
        <v>-1.5707963267948966</v>
      </c>
      <c r="AA49" t="e">
        <f t="shared" si="17"/>
        <v>#NUM!</v>
      </c>
      <c r="AB49" t="e">
        <f t="shared" si="18"/>
        <v>#NUM!</v>
      </c>
      <c r="AC49" t="e">
        <f t="shared" si="19"/>
        <v>#NUM!</v>
      </c>
      <c r="AE49">
        <v>3.2153875902064446E-6</v>
      </c>
      <c r="AF49">
        <v>-59.999999999999922</v>
      </c>
      <c r="AH49" s="1">
        <v>43</v>
      </c>
      <c r="AI49" s="1">
        <f t="shared" si="26"/>
        <v>0</v>
      </c>
      <c r="AJ49" s="1">
        <f t="shared" si="26"/>
        <v>0</v>
      </c>
      <c r="AK49" s="2" t="e">
        <f t="shared" si="27"/>
        <v>#NUM!</v>
      </c>
      <c r="AL49" s="2" t="e">
        <f t="shared" si="27"/>
        <v>#NUM!</v>
      </c>
    </row>
    <row r="50" spans="2:38" x14ac:dyDescent="0.25">
      <c r="B50" t="e">
        <f t="shared" si="2"/>
        <v>#NUM!</v>
      </c>
      <c r="C50" t="e">
        <f t="shared" si="2"/>
        <v>#NUM!</v>
      </c>
      <c r="D50" t="e">
        <f t="shared" si="0"/>
        <v>#NUM!</v>
      </c>
      <c r="E50" t="e">
        <f t="shared" si="3"/>
        <v>#NUM!</v>
      </c>
      <c r="F50" t="e">
        <f t="shared" si="4"/>
        <v>#NUM!</v>
      </c>
      <c r="G50" t="e">
        <f t="shared" si="5"/>
        <v>#NUM!</v>
      </c>
      <c r="H50" t="e">
        <f t="shared" si="6"/>
        <v>#NUM!</v>
      </c>
      <c r="J50" t="e">
        <f t="shared" si="23"/>
        <v>#NUM!</v>
      </c>
      <c r="K50" t="e">
        <f t="shared" si="23"/>
        <v>#NUM!</v>
      </c>
      <c r="L50" t="e">
        <f t="shared" si="8"/>
        <v>#NUM!</v>
      </c>
      <c r="M50" t="e">
        <f t="shared" si="9"/>
        <v>#NUM!</v>
      </c>
      <c r="N50" t="e">
        <f t="shared" si="10"/>
        <v>#NUM!</v>
      </c>
      <c r="O50" t="e">
        <f t="shared" si="24"/>
        <v>#NUM!</v>
      </c>
      <c r="P50" t="e">
        <f t="shared" si="24"/>
        <v>#NUM!</v>
      </c>
      <c r="Q50" t="e">
        <f t="shared" si="25"/>
        <v>#NUM!</v>
      </c>
      <c r="R50" t="e">
        <f t="shared" si="25"/>
        <v>#NUM!</v>
      </c>
      <c r="S50" t="e">
        <f t="shared" si="13"/>
        <v>#NUM!</v>
      </c>
      <c r="W50" t="e">
        <f t="shared" si="1"/>
        <v>#NUM!</v>
      </c>
      <c r="X50">
        <f t="shared" si="14"/>
        <v>61.570799515387513</v>
      </c>
      <c r="Y50">
        <f t="shared" si="15"/>
        <v>28</v>
      </c>
      <c r="Z50">
        <f t="shared" si="16"/>
        <v>-1.5707963267948966</v>
      </c>
      <c r="AA50" t="e">
        <f t="shared" si="17"/>
        <v>#NUM!</v>
      </c>
      <c r="AB50" t="e">
        <f t="shared" si="18"/>
        <v>#NUM!</v>
      </c>
      <c r="AC50" t="e">
        <f t="shared" si="19"/>
        <v>#NUM!</v>
      </c>
      <c r="AE50">
        <v>3.2153875902064446E-6</v>
      </c>
      <c r="AF50">
        <v>-59.999999999999922</v>
      </c>
      <c r="AH50" s="1">
        <v>44</v>
      </c>
      <c r="AI50" s="1">
        <f t="shared" si="26"/>
        <v>0</v>
      </c>
      <c r="AJ50" s="1">
        <f t="shared" si="26"/>
        <v>0</v>
      </c>
      <c r="AK50" s="2" t="e">
        <f t="shared" si="27"/>
        <v>#NUM!</v>
      </c>
      <c r="AL50" s="2" t="e">
        <f t="shared" si="27"/>
        <v>#NUM!</v>
      </c>
    </row>
    <row r="51" spans="2:38" x14ac:dyDescent="0.25">
      <c r="B51" t="e">
        <f t="shared" si="2"/>
        <v>#NUM!</v>
      </c>
      <c r="C51" t="e">
        <f t="shared" si="2"/>
        <v>#NUM!</v>
      </c>
      <c r="D51" t="e">
        <f t="shared" si="0"/>
        <v>#NUM!</v>
      </c>
      <c r="E51" t="e">
        <f t="shared" si="3"/>
        <v>#NUM!</v>
      </c>
      <c r="F51" t="e">
        <f t="shared" si="4"/>
        <v>#NUM!</v>
      </c>
      <c r="G51" t="e">
        <f t="shared" si="5"/>
        <v>#NUM!</v>
      </c>
      <c r="H51" t="e">
        <f t="shared" si="6"/>
        <v>#NUM!</v>
      </c>
      <c r="J51" t="e">
        <f t="shared" si="23"/>
        <v>#NUM!</v>
      </c>
      <c r="K51" t="e">
        <f t="shared" si="23"/>
        <v>#NUM!</v>
      </c>
      <c r="L51" t="e">
        <f t="shared" si="8"/>
        <v>#NUM!</v>
      </c>
      <c r="M51" t="e">
        <f t="shared" si="9"/>
        <v>#NUM!</v>
      </c>
      <c r="N51" t="e">
        <f t="shared" si="10"/>
        <v>#NUM!</v>
      </c>
      <c r="O51" t="e">
        <f t="shared" si="24"/>
        <v>#NUM!</v>
      </c>
      <c r="P51" t="e">
        <f t="shared" si="24"/>
        <v>#NUM!</v>
      </c>
      <c r="Q51" t="e">
        <f t="shared" si="25"/>
        <v>#NUM!</v>
      </c>
      <c r="R51" t="e">
        <f t="shared" si="25"/>
        <v>#NUM!</v>
      </c>
      <c r="S51" t="e">
        <f t="shared" si="13"/>
        <v>#NUM!</v>
      </c>
      <c r="W51" t="e">
        <f t="shared" si="1"/>
        <v>#NUM!</v>
      </c>
      <c r="X51">
        <f t="shared" si="14"/>
        <v>61.570799515387513</v>
      </c>
      <c r="Y51">
        <f t="shared" si="15"/>
        <v>28</v>
      </c>
      <c r="Z51">
        <f t="shared" si="16"/>
        <v>-1.5707963267948966</v>
      </c>
      <c r="AA51" t="e">
        <f t="shared" si="17"/>
        <v>#NUM!</v>
      </c>
      <c r="AB51" t="e">
        <f t="shared" si="18"/>
        <v>#NUM!</v>
      </c>
      <c r="AC51" t="e">
        <f t="shared" si="19"/>
        <v>#NUM!</v>
      </c>
      <c r="AE51">
        <v>3.2153875902064446E-6</v>
      </c>
      <c r="AF51">
        <v>-59.999999999999922</v>
      </c>
      <c r="AH51" s="1">
        <v>45</v>
      </c>
      <c r="AI51" s="1">
        <f t="shared" si="26"/>
        <v>0</v>
      </c>
      <c r="AJ51" s="1">
        <f t="shared" si="26"/>
        <v>0</v>
      </c>
      <c r="AK51" s="2" t="e">
        <f t="shared" si="27"/>
        <v>#NUM!</v>
      </c>
      <c r="AL51" s="2" t="e">
        <f t="shared" si="27"/>
        <v>#NUM!</v>
      </c>
    </row>
    <row r="52" spans="2:38" x14ac:dyDescent="0.25">
      <c r="B52" t="e">
        <f t="shared" si="2"/>
        <v>#NUM!</v>
      </c>
      <c r="C52" t="e">
        <f t="shared" si="2"/>
        <v>#NUM!</v>
      </c>
      <c r="D52" t="e">
        <f t="shared" si="0"/>
        <v>#NUM!</v>
      </c>
      <c r="E52" t="e">
        <f t="shared" si="3"/>
        <v>#NUM!</v>
      </c>
      <c r="F52" t="e">
        <f t="shared" si="4"/>
        <v>#NUM!</v>
      </c>
      <c r="G52" t="e">
        <f t="shared" si="5"/>
        <v>#NUM!</v>
      </c>
      <c r="H52" t="e">
        <f t="shared" si="6"/>
        <v>#NUM!</v>
      </c>
      <c r="J52" t="e">
        <f t="shared" si="23"/>
        <v>#NUM!</v>
      </c>
      <c r="K52" t="e">
        <f t="shared" si="23"/>
        <v>#NUM!</v>
      </c>
      <c r="L52" t="e">
        <f t="shared" si="8"/>
        <v>#NUM!</v>
      </c>
      <c r="M52" t="e">
        <f t="shared" si="9"/>
        <v>#NUM!</v>
      </c>
      <c r="N52" t="e">
        <f t="shared" si="10"/>
        <v>#NUM!</v>
      </c>
      <c r="O52" t="e">
        <f t="shared" si="24"/>
        <v>#NUM!</v>
      </c>
      <c r="P52" t="e">
        <f t="shared" si="24"/>
        <v>#NUM!</v>
      </c>
      <c r="Q52" t="e">
        <f t="shared" si="25"/>
        <v>#NUM!</v>
      </c>
      <c r="R52" t="e">
        <f t="shared" si="25"/>
        <v>#NUM!</v>
      </c>
      <c r="S52" t="e">
        <f t="shared" si="13"/>
        <v>#NUM!</v>
      </c>
      <c r="W52" t="e">
        <f t="shared" si="1"/>
        <v>#NUM!</v>
      </c>
      <c r="X52">
        <f t="shared" si="14"/>
        <v>61.570799515387513</v>
      </c>
      <c r="Y52">
        <f t="shared" si="15"/>
        <v>28</v>
      </c>
      <c r="Z52">
        <f t="shared" si="16"/>
        <v>-1.5707963267948966</v>
      </c>
      <c r="AA52" t="e">
        <f t="shared" si="17"/>
        <v>#NUM!</v>
      </c>
      <c r="AB52" t="e">
        <f t="shared" si="18"/>
        <v>#NUM!</v>
      </c>
      <c r="AC52" t="e">
        <f t="shared" si="19"/>
        <v>#NUM!</v>
      </c>
      <c r="AE52">
        <v>3.2153875902064446E-6</v>
      </c>
      <c r="AF52">
        <v>-59.999999999999922</v>
      </c>
      <c r="AH52" s="1">
        <v>46</v>
      </c>
      <c r="AI52" s="1">
        <f t="shared" si="26"/>
        <v>0</v>
      </c>
      <c r="AJ52" s="1">
        <f t="shared" si="26"/>
        <v>0</v>
      </c>
      <c r="AK52" s="2" t="e">
        <f t="shared" si="27"/>
        <v>#NUM!</v>
      </c>
      <c r="AL52" s="2" t="e">
        <f t="shared" si="27"/>
        <v>#NUM!</v>
      </c>
    </row>
    <row r="53" spans="2:38" x14ac:dyDescent="0.25">
      <c r="B53" t="e">
        <f t="shared" si="2"/>
        <v>#NUM!</v>
      </c>
      <c r="C53" t="e">
        <f t="shared" si="2"/>
        <v>#NUM!</v>
      </c>
      <c r="D53" t="e">
        <f t="shared" si="0"/>
        <v>#NUM!</v>
      </c>
      <c r="E53" t="e">
        <f t="shared" si="3"/>
        <v>#NUM!</v>
      </c>
      <c r="F53" t="e">
        <f t="shared" si="4"/>
        <v>#NUM!</v>
      </c>
      <c r="G53" t="e">
        <f t="shared" si="5"/>
        <v>#NUM!</v>
      </c>
      <c r="H53" t="e">
        <f t="shared" si="6"/>
        <v>#NUM!</v>
      </c>
      <c r="J53" t="e">
        <f t="shared" si="23"/>
        <v>#NUM!</v>
      </c>
      <c r="K53" t="e">
        <f t="shared" si="23"/>
        <v>#NUM!</v>
      </c>
      <c r="L53" t="e">
        <f t="shared" si="8"/>
        <v>#NUM!</v>
      </c>
      <c r="M53" t="e">
        <f t="shared" si="9"/>
        <v>#NUM!</v>
      </c>
      <c r="N53" t="e">
        <f t="shared" si="10"/>
        <v>#NUM!</v>
      </c>
      <c r="O53" t="e">
        <f t="shared" si="24"/>
        <v>#NUM!</v>
      </c>
      <c r="P53" t="e">
        <f t="shared" si="24"/>
        <v>#NUM!</v>
      </c>
      <c r="Q53" t="e">
        <f t="shared" si="25"/>
        <v>#NUM!</v>
      </c>
      <c r="R53" t="e">
        <f t="shared" si="25"/>
        <v>#NUM!</v>
      </c>
      <c r="S53" t="e">
        <f t="shared" si="13"/>
        <v>#NUM!</v>
      </c>
      <c r="W53" t="e">
        <f t="shared" si="1"/>
        <v>#NUM!</v>
      </c>
      <c r="X53">
        <f t="shared" si="14"/>
        <v>61.570799515387513</v>
      </c>
      <c r="Y53">
        <f t="shared" si="15"/>
        <v>28</v>
      </c>
      <c r="Z53">
        <f t="shared" si="16"/>
        <v>-1.5707963267948966</v>
      </c>
      <c r="AA53" t="e">
        <f t="shared" si="17"/>
        <v>#NUM!</v>
      </c>
      <c r="AB53" t="e">
        <f t="shared" si="18"/>
        <v>#NUM!</v>
      </c>
      <c r="AC53" t="e">
        <f t="shared" si="19"/>
        <v>#NUM!</v>
      </c>
      <c r="AE53">
        <v>3.2153875902064446E-6</v>
      </c>
      <c r="AF53">
        <v>-59.999999999999922</v>
      </c>
      <c r="AH53" s="1">
        <v>47</v>
      </c>
      <c r="AI53" s="1">
        <f t="shared" si="26"/>
        <v>0</v>
      </c>
      <c r="AJ53" s="1">
        <f t="shared" si="26"/>
        <v>0</v>
      </c>
      <c r="AK53" s="2" t="e">
        <f t="shared" si="27"/>
        <v>#NUM!</v>
      </c>
      <c r="AL53" s="2" t="e">
        <f t="shared" si="27"/>
        <v>#NUM!</v>
      </c>
    </row>
    <row r="54" spans="2:38" x14ac:dyDescent="0.25">
      <c r="B54" t="e">
        <f t="shared" si="2"/>
        <v>#NUM!</v>
      </c>
      <c r="C54" t="e">
        <f t="shared" si="2"/>
        <v>#NUM!</v>
      </c>
      <c r="D54" t="e">
        <f t="shared" si="0"/>
        <v>#NUM!</v>
      </c>
      <c r="E54" t="e">
        <f t="shared" si="3"/>
        <v>#NUM!</v>
      </c>
      <c r="F54" t="e">
        <f t="shared" si="4"/>
        <v>#NUM!</v>
      </c>
      <c r="G54" t="e">
        <f t="shared" si="5"/>
        <v>#NUM!</v>
      </c>
      <c r="H54" t="e">
        <f t="shared" si="6"/>
        <v>#NUM!</v>
      </c>
      <c r="J54" t="e">
        <f t="shared" si="23"/>
        <v>#NUM!</v>
      </c>
      <c r="K54" t="e">
        <f t="shared" si="23"/>
        <v>#NUM!</v>
      </c>
      <c r="L54" t="e">
        <f t="shared" si="8"/>
        <v>#NUM!</v>
      </c>
      <c r="M54" t="e">
        <f t="shared" si="9"/>
        <v>#NUM!</v>
      </c>
      <c r="N54" t="e">
        <f t="shared" si="10"/>
        <v>#NUM!</v>
      </c>
      <c r="O54" t="e">
        <f t="shared" si="24"/>
        <v>#NUM!</v>
      </c>
      <c r="P54" t="e">
        <f t="shared" si="24"/>
        <v>#NUM!</v>
      </c>
      <c r="Q54" t="e">
        <f t="shared" si="25"/>
        <v>#NUM!</v>
      </c>
      <c r="R54" t="e">
        <f t="shared" si="25"/>
        <v>#NUM!</v>
      </c>
      <c r="S54" t="e">
        <f t="shared" si="13"/>
        <v>#NUM!</v>
      </c>
      <c r="W54" t="e">
        <f t="shared" si="1"/>
        <v>#NUM!</v>
      </c>
      <c r="X54">
        <f t="shared" si="14"/>
        <v>61.570799515387513</v>
      </c>
      <c r="Y54">
        <f t="shared" si="15"/>
        <v>28</v>
      </c>
      <c r="Z54">
        <f t="shared" si="16"/>
        <v>-1.5707963267948966</v>
      </c>
      <c r="AA54" t="e">
        <f t="shared" si="17"/>
        <v>#NUM!</v>
      </c>
      <c r="AB54" t="e">
        <f t="shared" si="18"/>
        <v>#NUM!</v>
      </c>
      <c r="AC54" t="e">
        <f t="shared" si="19"/>
        <v>#NUM!</v>
      </c>
      <c r="AE54">
        <v>3.2153875902064446E-6</v>
      </c>
      <c r="AF54">
        <v>-59.999999999999922</v>
      </c>
      <c r="AH54" s="1">
        <v>48</v>
      </c>
      <c r="AI54" s="1">
        <f t="shared" si="26"/>
        <v>0</v>
      </c>
      <c r="AJ54" s="1">
        <f t="shared" si="26"/>
        <v>0</v>
      </c>
      <c r="AK54" s="2" t="e">
        <f t="shared" si="27"/>
        <v>#NUM!</v>
      </c>
      <c r="AL54" s="2" t="e">
        <f t="shared" si="27"/>
        <v>#NUM!</v>
      </c>
    </row>
    <row r="55" spans="2:38" x14ac:dyDescent="0.25">
      <c r="B55" t="e">
        <f t="shared" si="2"/>
        <v>#NUM!</v>
      </c>
      <c r="C55" t="e">
        <f t="shared" si="2"/>
        <v>#NUM!</v>
      </c>
      <c r="D55" t="e">
        <f t="shared" si="0"/>
        <v>#NUM!</v>
      </c>
      <c r="E55" t="e">
        <f t="shared" si="3"/>
        <v>#NUM!</v>
      </c>
      <c r="F55" t="e">
        <f t="shared" si="4"/>
        <v>#NUM!</v>
      </c>
      <c r="G55" t="e">
        <f t="shared" si="5"/>
        <v>#NUM!</v>
      </c>
      <c r="H55" t="e">
        <f t="shared" si="6"/>
        <v>#NUM!</v>
      </c>
      <c r="J55" t="e">
        <f t="shared" si="23"/>
        <v>#NUM!</v>
      </c>
      <c r="K55" t="e">
        <f t="shared" si="23"/>
        <v>#NUM!</v>
      </c>
      <c r="L55" t="e">
        <f t="shared" si="8"/>
        <v>#NUM!</v>
      </c>
      <c r="M55" t="e">
        <f t="shared" si="9"/>
        <v>#NUM!</v>
      </c>
      <c r="N55" t="e">
        <f t="shared" si="10"/>
        <v>#NUM!</v>
      </c>
      <c r="O55" t="e">
        <f t="shared" si="24"/>
        <v>#NUM!</v>
      </c>
      <c r="P55" t="e">
        <f t="shared" si="24"/>
        <v>#NUM!</v>
      </c>
      <c r="Q55" t="e">
        <f t="shared" si="25"/>
        <v>#NUM!</v>
      </c>
      <c r="R55" t="e">
        <f t="shared" si="25"/>
        <v>#NUM!</v>
      </c>
      <c r="S55" t="e">
        <f t="shared" si="13"/>
        <v>#NUM!</v>
      </c>
      <c r="W55" t="e">
        <f t="shared" si="1"/>
        <v>#NUM!</v>
      </c>
      <c r="X55">
        <f t="shared" si="14"/>
        <v>61.570799515387513</v>
      </c>
      <c r="Y55">
        <f t="shared" si="15"/>
        <v>28</v>
      </c>
      <c r="Z55">
        <f t="shared" si="16"/>
        <v>-1.5707963267948966</v>
      </c>
      <c r="AA55" t="e">
        <f t="shared" si="17"/>
        <v>#NUM!</v>
      </c>
      <c r="AB55" t="e">
        <f t="shared" si="18"/>
        <v>#NUM!</v>
      </c>
      <c r="AC55" t="e">
        <f t="shared" si="19"/>
        <v>#NUM!</v>
      </c>
      <c r="AE55">
        <v>3.2153875902064446E-6</v>
      </c>
      <c r="AF55">
        <v>-59.999999999999922</v>
      </c>
      <c r="AH55" s="1">
        <v>49</v>
      </c>
      <c r="AI55" s="1">
        <f t="shared" si="26"/>
        <v>0</v>
      </c>
      <c r="AJ55" s="1">
        <f t="shared" si="26"/>
        <v>0</v>
      </c>
      <c r="AK55" s="2" t="e">
        <f t="shared" si="27"/>
        <v>#NUM!</v>
      </c>
      <c r="AL55" s="2" t="e">
        <f t="shared" si="27"/>
        <v>#NUM!</v>
      </c>
    </row>
    <row r="56" spans="2:38" x14ac:dyDescent="0.25">
      <c r="B56" t="e">
        <f t="shared" si="2"/>
        <v>#NUM!</v>
      </c>
      <c r="C56" t="e">
        <f t="shared" si="2"/>
        <v>#NUM!</v>
      </c>
      <c r="D56" t="e">
        <f t="shared" si="0"/>
        <v>#NUM!</v>
      </c>
      <c r="E56" t="e">
        <f t="shared" si="3"/>
        <v>#NUM!</v>
      </c>
      <c r="F56" t="e">
        <f t="shared" si="4"/>
        <v>#NUM!</v>
      </c>
      <c r="G56" t="e">
        <f t="shared" si="5"/>
        <v>#NUM!</v>
      </c>
      <c r="H56" t="e">
        <f t="shared" si="6"/>
        <v>#NUM!</v>
      </c>
      <c r="J56" t="e">
        <f t="shared" si="23"/>
        <v>#NUM!</v>
      </c>
      <c r="K56" t="e">
        <f t="shared" si="23"/>
        <v>#NUM!</v>
      </c>
      <c r="L56" t="e">
        <f t="shared" si="8"/>
        <v>#NUM!</v>
      </c>
      <c r="M56" t="e">
        <f t="shared" si="9"/>
        <v>#NUM!</v>
      </c>
      <c r="N56" t="e">
        <f t="shared" si="10"/>
        <v>#NUM!</v>
      </c>
      <c r="O56" t="e">
        <f t="shared" si="24"/>
        <v>#NUM!</v>
      </c>
      <c r="P56" t="e">
        <f t="shared" si="24"/>
        <v>#NUM!</v>
      </c>
      <c r="Q56" t="e">
        <f t="shared" si="25"/>
        <v>#NUM!</v>
      </c>
      <c r="R56" t="e">
        <f t="shared" si="25"/>
        <v>#NUM!</v>
      </c>
      <c r="S56" t="e">
        <f t="shared" si="13"/>
        <v>#NUM!</v>
      </c>
      <c r="W56" t="e">
        <f t="shared" si="1"/>
        <v>#NUM!</v>
      </c>
      <c r="X56">
        <f t="shared" si="14"/>
        <v>61.570799515387513</v>
      </c>
      <c r="Y56">
        <f t="shared" si="15"/>
        <v>28</v>
      </c>
      <c r="Z56">
        <f t="shared" si="16"/>
        <v>-1.5707963267948966</v>
      </c>
      <c r="AA56" t="e">
        <f t="shared" si="17"/>
        <v>#NUM!</v>
      </c>
      <c r="AB56" t="e">
        <f t="shared" si="18"/>
        <v>#NUM!</v>
      </c>
      <c r="AC56" t="e">
        <f t="shared" si="19"/>
        <v>#NUM!</v>
      </c>
      <c r="AE56">
        <v>3.2153875902064446E-6</v>
      </c>
      <c r="AF56">
        <v>-59.999999999999922</v>
      </c>
      <c r="AH56" s="1">
        <v>50</v>
      </c>
      <c r="AI56" s="1">
        <f t="shared" si="26"/>
        <v>0</v>
      </c>
      <c r="AJ56" s="1">
        <f t="shared" si="26"/>
        <v>0</v>
      </c>
      <c r="AK56" s="2" t="e">
        <f t="shared" si="27"/>
        <v>#NUM!</v>
      </c>
      <c r="AL56" s="2" t="e">
        <f t="shared" si="27"/>
        <v>#NUM!</v>
      </c>
    </row>
    <row r="57" spans="2:38" x14ac:dyDescent="0.25">
      <c r="B57" t="e">
        <f t="shared" si="2"/>
        <v>#NUM!</v>
      </c>
      <c r="C57" t="e">
        <f t="shared" si="2"/>
        <v>#NUM!</v>
      </c>
      <c r="D57" t="e">
        <f t="shared" si="0"/>
        <v>#NUM!</v>
      </c>
      <c r="E57" t="e">
        <f t="shared" si="3"/>
        <v>#NUM!</v>
      </c>
      <c r="F57" t="e">
        <f t="shared" si="4"/>
        <v>#NUM!</v>
      </c>
      <c r="G57" t="e">
        <f t="shared" si="5"/>
        <v>#NUM!</v>
      </c>
      <c r="H57" t="e">
        <f t="shared" si="6"/>
        <v>#NUM!</v>
      </c>
      <c r="J57" t="e">
        <f t="shared" si="23"/>
        <v>#NUM!</v>
      </c>
      <c r="K57" t="e">
        <f t="shared" si="23"/>
        <v>#NUM!</v>
      </c>
      <c r="L57" t="e">
        <f t="shared" si="8"/>
        <v>#NUM!</v>
      </c>
      <c r="M57" t="e">
        <f t="shared" si="9"/>
        <v>#NUM!</v>
      </c>
      <c r="N57" t="e">
        <f t="shared" si="10"/>
        <v>#NUM!</v>
      </c>
      <c r="O57" t="e">
        <f t="shared" si="24"/>
        <v>#NUM!</v>
      </c>
      <c r="P57" t="e">
        <f t="shared" si="24"/>
        <v>#NUM!</v>
      </c>
      <c r="Q57" t="e">
        <f t="shared" si="25"/>
        <v>#NUM!</v>
      </c>
      <c r="R57" t="e">
        <f t="shared" si="25"/>
        <v>#NUM!</v>
      </c>
      <c r="S57" t="e">
        <f t="shared" si="13"/>
        <v>#NUM!</v>
      </c>
      <c r="W57" t="e">
        <f t="shared" si="1"/>
        <v>#NUM!</v>
      </c>
      <c r="X57">
        <f t="shared" si="14"/>
        <v>61.570799515387513</v>
      </c>
      <c r="Y57">
        <f t="shared" si="15"/>
        <v>28</v>
      </c>
      <c r="Z57">
        <f t="shared" si="16"/>
        <v>-1.5707963267948966</v>
      </c>
      <c r="AA57" t="e">
        <f t="shared" si="17"/>
        <v>#NUM!</v>
      </c>
      <c r="AB57" t="e">
        <f t="shared" si="18"/>
        <v>#NUM!</v>
      </c>
      <c r="AC57" t="e">
        <f t="shared" si="19"/>
        <v>#NUM!</v>
      </c>
      <c r="AE57">
        <v>3.2153875902064446E-6</v>
      </c>
      <c r="AF57">
        <v>-59.999999999999922</v>
      </c>
      <c r="AH57" s="1">
        <v>51</v>
      </c>
      <c r="AI57" s="1">
        <f t="shared" si="26"/>
        <v>0</v>
      </c>
      <c r="AJ57" s="1">
        <f t="shared" si="26"/>
        <v>0</v>
      </c>
      <c r="AK57" s="2" t="e">
        <f t="shared" si="27"/>
        <v>#NUM!</v>
      </c>
      <c r="AL57" s="2" t="e">
        <f t="shared" si="27"/>
        <v>#NUM!</v>
      </c>
    </row>
    <row r="58" spans="2:38" x14ac:dyDescent="0.25">
      <c r="B58" t="e">
        <f t="shared" si="2"/>
        <v>#NUM!</v>
      </c>
      <c r="C58" t="e">
        <f t="shared" si="2"/>
        <v>#NUM!</v>
      </c>
      <c r="D58" t="e">
        <f t="shared" si="0"/>
        <v>#NUM!</v>
      </c>
      <c r="E58" t="e">
        <f t="shared" si="3"/>
        <v>#NUM!</v>
      </c>
      <c r="F58" t="e">
        <f t="shared" si="4"/>
        <v>#NUM!</v>
      </c>
      <c r="G58" t="e">
        <f t="shared" si="5"/>
        <v>#NUM!</v>
      </c>
      <c r="H58" t="e">
        <f t="shared" si="6"/>
        <v>#NUM!</v>
      </c>
      <c r="J58" t="e">
        <f t="shared" si="23"/>
        <v>#NUM!</v>
      </c>
      <c r="K58" t="e">
        <f t="shared" si="23"/>
        <v>#NUM!</v>
      </c>
      <c r="L58" t="e">
        <f t="shared" si="8"/>
        <v>#NUM!</v>
      </c>
      <c r="M58" t="e">
        <f t="shared" si="9"/>
        <v>#NUM!</v>
      </c>
      <c r="N58" t="e">
        <f t="shared" si="10"/>
        <v>#NUM!</v>
      </c>
      <c r="O58" t="e">
        <f t="shared" si="24"/>
        <v>#NUM!</v>
      </c>
      <c r="P58" t="e">
        <f t="shared" si="24"/>
        <v>#NUM!</v>
      </c>
      <c r="Q58" t="e">
        <f t="shared" si="25"/>
        <v>#NUM!</v>
      </c>
      <c r="R58" t="e">
        <f t="shared" si="25"/>
        <v>#NUM!</v>
      </c>
      <c r="S58" t="e">
        <f t="shared" si="13"/>
        <v>#NUM!</v>
      </c>
      <c r="W58" t="e">
        <f t="shared" si="1"/>
        <v>#NUM!</v>
      </c>
      <c r="X58">
        <f t="shared" si="14"/>
        <v>61.570799515387513</v>
      </c>
      <c r="Y58">
        <f t="shared" si="15"/>
        <v>28</v>
      </c>
      <c r="Z58">
        <f t="shared" si="16"/>
        <v>-1.5707963267948966</v>
      </c>
      <c r="AA58" t="e">
        <f t="shared" si="17"/>
        <v>#NUM!</v>
      </c>
      <c r="AB58" t="e">
        <f t="shared" si="18"/>
        <v>#NUM!</v>
      </c>
      <c r="AC58" t="e">
        <f t="shared" si="19"/>
        <v>#NUM!</v>
      </c>
      <c r="AE58">
        <v>3.2153875902064446E-6</v>
      </c>
      <c r="AF58">
        <v>-59.999999999999922</v>
      </c>
      <c r="AH58" s="1">
        <v>52</v>
      </c>
      <c r="AI58" s="1">
        <f t="shared" si="26"/>
        <v>0</v>
      </c>
      <c r="AJ58" s="1">
        <f t="shared" si="26"/>
        <v>0</v>
      </c>
      <c r="AK58" s="2" t="e">
        <f t="shared" si="27"/>
        <v>#NUM!</v>
      </c>
      <c r="AL58" s="2" t="e">
        <f t="shared" si="27"/>
        <v>#NUM!</v>
      </c>
    </row>
    <row r="59" spans="2:38" x14ac:dyDescent="0.25">
      <c r="B59" t="e">
        <f t="shared" si="2"/>
        <v>#NUM!</v>
      </c>
      <c r="C59" t="e">
        <f t="shared" si="2"/>
        <v>#NUM!</v>
      </c>
      <c r="D59" t="e">
        <f t="shared" si="0"/>
        <v>#NUM!</v>
      </c>
      <c r="E59" t="e">
        <f t="shared" si="3"/>
        <v>#NUM!</v>
      </c>
      <c r="F59" t="e">
        <f t="shared" si="4"/>
        <v>#NUM!</v>
      </c>
      <c r="G59" t="e">
        <f t="shared" si="5"/>
        <v>#NUM!</v>
      </c>
      <c r="H59" t="e">
        <f t="shared" si="6"/>
        <v>#NUM!</v>
      </c>
      <c r="J59" t="e">
        <f t="shared" si="23"/>
        <v>#NUM!</v>
      </c>
      <c r="K59" t="e">
        <f t="shared" si="23"/>
        <v>#NUM!</v>
      </c>
      <c r="L59" t="e">
        <f t="shared" si="8"/>
        <v>#NUM!</v>
      </c>
      <c r="M59" t="e">
        <f t="shared" si="9"/>
        <v>#NUM!</v>
      </c>
      <c r="N59" t="e">
        <f t="shared" si="10"/>
        <v>#NUM!</v>
      </c>
      <c r="O59" t="e">
        <f t="shared" si="24"/>
        <v>#NUM!</v>
      </c>
      <c r="P59" t="e">
        <f t="shared" si="24"/>
        <v>#NUM!</v>
      </c>
      <c r="Q59" t="e">
        <f t="shared" si="25"/>
        <v>#NUM!</v>
      </c>
      <c r="R59" t="e">
        <f t="shared" si="25"/>
        <v>#NUM!</v>
      </c>
      <c r="S59" t="e">
        <f t="shared" si="13"/>
        <v>#NUM!</v>
      </c>
      <c r="W59" t="e">
        <f t="shared" si="1"/>
        <v>#NUM!</v>
      </c>
      <c r="X59">
        <f t="shared" si="14"/>
        <v>61.570799515387513</v>
      </c>
      <c r="Y59">
        <f t="shared" si="15"/>
        <v>28</v>
      </c>
      <c r="Z59">
        <f t="shared" si="16"/>
        <v>-1.5707963267948966</v>
      </c>
      <c r="AA59" t="e">
        <f t="shared" si="17"/>
        <v>#NUM!</v>
      </c>
      <c r="AB59" t="e">
        <f t="shared" si="18"/>
        <v>#NUM!</v>
      </c>
      <c r="AC59" t="e">
        <f t="shared" si="19"/>
        <v>#NUM!</v>
      </c>
      <c r="AE59">
        <v>3.2153875902064446E-6</v>
      </c>
      <c r="AF59">
        <v>-59.999999999999922</v>
      </c>
      <c r="AH59" s="1">
        <v>53</v>
      </c>
      <c r="AI59" s="1">
        <f t="shared" si="26"/>
        <v>0</v>
      </c>
      <c r="AJ59" s="1">
        <f t="shared" si="26"/>
        <v>0</v>
      </c>
      <c r="AK59" s="2" t="e">
        <f t="shared" si="27"/>
        <v>#NUM!</v>
      </c>
      <c r="AL59" s="2" t="e">
        <f t="shared" si="27"/>
        <v>#NUM!</v>
      </c>
    </row>
    <row r="60" spans="2:38" x14ac:dyDescent="0.25">
      <c r="B60" t="e">
        <f t="shared" si="2"/>
        <v>#NUM!</v>
      </c>
      <c r="C60" t="e">
        <f t="shared" si="2"/>
        <v>#NUM!</v>
      </c>
      <c r="D60" t="e">
        <f t="shared" si="0"/>
        <v>#NUM!</v>
      </c>
      <c r="E60" t="e">
        <f t="shared" si="3"/>
        <v>#NUM!</v>
      </c>
      <c r="F60" t="e">
        <f t="shared" si="4"/>
        <v>#NUM!</v>
      </c>
      <c r="G60" t="e">
        <f t="shared" si="5"/>
        <v>#NUM!</v>
      </c>
      <c r="H60" t="e">
        <f t="shared" si="6"/>
        <v>#NUM!</v>
      </c>
      <c r="J60" t="e">
        <f t="shared" si="23"/>
        <v>#NUM!</v>
      </c>
      <c r="K60" t="e">
        <f t="shared" si="23"/>
        <v>#NUM!</v>
      </c>
      <c r="L60" t="e">
        <f t="shared" si="8"/>
        <v>#NUM!</v>
      </c>
      <c r="M60" t="e">
        <f t="shared" si="9"/>
        <v>#NUM!</v>
      </c>
      <c r="N60" t="e">
        <f t="shared" si="10"/>
        <v>#NUM!</v>
      </c>
      <c r="O60" t="e">
        <f t="shared" si="24"/>
        <v>#NUM!</v>
      </c>
      <c r="P60" t="e">
        <f t="shared" si="24"/>
        <v>#NUM!</v>
      </c>
      <c r="Q60" t="e">
        <f t="shared" si="25"/>
        <v>#NUM!</v>
      </c>
      <c r="R60" t="e">
        <f t="shared" si="25"/>
        <v>#NUM!</v>
      </c>
      <c r="S60" t="e">
        <f t="shared" si="13"/>
        <v>#NUM!</v>
      </c>
      <c r="W60" t="e">
        <f t="shared" si="1"/>
        <v>#NUM!</v>
      </c>
      <c r="X60">
        <f t="shared" si="14"/>
        <v>61.570799515387513</v>
      </c>
      <c r="Y60">
        <f t="shared" si="15"/>
        <v>28</v>
      </c>
      <c r="Z60">
        <f t="shared" si="16"/>
        <v>-1.5707963267948966</v>
      </c>
      <c r="AA60" t="e">
        <f t="shared" si="17"/>
        <v>#NUM!</v>
      </c>
      <c r="AB60" t="e">
        <f t="shared" si="18"/>
        <v>#NUM!</v>
      </c>
      <c r="AC60" t="e">
        <f t="shared" si="19"/>
        <v>#NUM!</v>
      </c>
      <c r="AE60">
        <v>3.2153875902064446E-6</v>
      </c>
      <c r="AF60">
        <v>-59.999999999999922</v>
      </c>
      <c r="AH60" s="1">
        <v>54</v>
      </c>
      <c r="AI60" s="1">
        <f t="shared" si="26"/>
        <v>0</v>
      </c>
      <c r="AJ60" s="1">
        <f t="shared" si="26"/>
        <v>0</v>
      </c>
      <c r="AK60" s="2" t="e">
        <f t="shared" si="27"/>
        <v>#NUM!</v>
      </c>
      <c r="AL60" s="2" t="e">
        <f t="shared" si="27"/>
        <v>#NUM!</v>
      </c>
    </row>
    <row r="61" spans="2:38" x14ac:dyDescent="0.25">
      <c r="B61" t="e">
        <f t="shared" si="2"/>
        <v>#NUM!</v>
      </c>
      <c r="C61" t="e">
        <f t="shared" si="2"/>
        <v>#NUM!</v>
      </c>
      <c r="D61" t="e">
        <f t="shared" si="0"/>
        <v>#NUM!</v>
      </c>
      <c r="E61" t="e">
        <f t="shared" si="3"/>
        <v>#NUM!</v>
      </c>
      <c r="F61" t="e">
        <f t="shared" si="4"/>
        <v>#NUM!</v>
      </c>
      <c r="G61" t="e">
        <f t="shared" si="5"/>
        <v>#NUM!</v>
      </c>
      <c r="H61" t="e">
        <f t="shared" si="6"/>
        <v>#NUM!</v>
      </c>
      <c r="J61" t="e">
        <f t="shared" si="23"/>
        <v>#NUM!</v>
      </c>
      <c r="K61" t="e">
        <f t="shared" si="23"/>
        <v>#NUM!</v>
      </c>
      <c r="L61" t="e">
        <f t="shared" si="8"/>
        <v>#NUM!</v>
      </c>
      <c r="M61" t="e">
        <f t="shared" si="9"/>
        <v>#NUM!</v>
      </c>
      <c r="N61" t="e">
        <f t="shared" si="10"/>
        <v>#NUM!</v>
      </c>
      <c r="O61" t="e">
        <f t="shared" si="24"/>
        <v>#NUM!</v>
      </c>
      <c r="P61" t="e">
        <f t="shared" si="24"/>
        <v>#NUM!</v>
      </c>
      <c r="Q61" t="e">
        <f t="shared" si="25"/>
        <v>#NUM!</v>
      </c>
      <c r="R61" t="e">
        <f t="shared" si="25"/>
        <v>#NUM!</v>
      </c>
      <c r="S61" t="e">
        <f t="shared" si="13"/>
        <v>#NUM!</v>
      </c>
      <c r="W61" t="e">
        <f t="shared" si="1"/>
        <v>#NUM!</v>
      </c>
      <c r="X61">
        <f t="shared" si="14"/>
        <v>61.570799515387513</v>
      </c>
      <c r="Y61">
        <f t="shared" si="15"/>
        <v>28</v>
      </c>
      <c r="Z61">
        <f t="shared" si="16"/>
        <v>-1.5707963267948966</v>
      </c>
      <c r="AA61" t="e">
        <f t="shared" si="17"/>
        <v>#NUM!</v>
      </c>
      <c r="AB61" t="e">
        <f t="shared" si="18"/>
        <v>#NUM!</v>
      </c>
      <c r="AC61" t="e">
        <f t="shared" si="19"/>
        <v>#NUM!</v>
      </c>
      <c r="AE61">
        <v>3.2153875902064446E-6</v>
      </c>
      <c r="AF61">
        <v>-59.999999999999922</v>
      </c>
      <c r="AH61" s="1">
        <v>55</v>
      </c>
      <c r="AI61" s="1">
        <f t="shared" si="26"/>
        <v>0</v>
      </c>
      <c r="AJ61" s="1">
        <f t="shared" si="26"/>
        <v>0</v>
      </c>
      <c r="AK61" s="2" t="e">
        <f t="shared" si="27"/>
        <v>#NUM!</v>
      </c>
      <c r="AL61" s="2" t="e">
        <f t="shared" si="27"/>
        <v>#NUM!</v>
      </c>
    </row>
    <row r="62" spans="2:38" x14ac:dyDescent="0.25">
      <c r="B62" t="e">
        <f t="shared" si="2"/>
        <v>#NUM!</v>
      </c>
      <c r="C62" t="e">
        <f t="shared" si="2"/>
        <v>#NUM!</v>
      </c>
      <c r="D62" t="e">
        <f t="shared" si="0"/>
        <v>#NUM!</v>
      </c>
      <c r="E62" t="e">
        <f t="shared" si="3"/>
        <v>#NUM!</v>
      </c>
      <c r="F62" t="e">
        <f t="shared" si="4"/>
        <v>#NUM!</v>
      </c>
      <c r="G62" t="e">
        <f t="shared" si="5"/>
        <v>#NUM!</v>
      </c>
      <c r="H62" t="e">
        <f t="shared" si="6"/>
        <v>#NUM!</v>
      </c>
      <c r="J62" t="e">
        <f t="shared" si="23"/>
        <v>#NUM!</v>
      </c>
      <c r="K62" t="e">
        <f t="shared" si="23"/>
        <v>#NUM!</v>
      </c>
      <c r="L62" t="e">
        <f t="shared" si="8"/>
        <v>#NUM!</v>
      </c>
      <c r="M62" t="e">
        <f t="shared" si="9"/>
        <v>#NUM!</v>
      </c>
      <c r="N62" t="e">
        <f t="shared" si="10"/>
        <v>#NUM!</v>
      </c>
      <c r="O62" t="e">
        <f t="shared" si="24"/>
        <v>#NUM!</v>
      </c>
      <c r="P62" t="e">
        <f t="shared" si="24"/>
        <v>#NUM!</v>
      </c>
      <c r="Q62" t="e">
        <f t="shared" si="25"/>
        <v>#NUM!</v>
      </c>
      <c r="R62" t="e">
        <f t="shared" si="25"/>
        <v>#NUM!</v>
      </c>
      <c r="S62" t="e">
        <f t="shared" si="13"/>
        <v>#NUM!</v>
      </c>
      <c r="W62" t="e">
        <f t="shared" si="1"/>
        <v>#NUM!</v>
      </c>
      <c r="X62">
        <f t="shared" si="14"/>
        <v>61.570799515387513</v>
      </c>
      <c r="Y62">
        <f t="shared" si="15"/>
        <v>28</v>
      </c>
      <c r="Z62">
        <f t="shared" si="16"/>
        <v>-1.5707963267948966</v>
      </c>
      <c r="AA62" t="e">
        <f t="shared" si="17"/>
        <v>#NUM!</v>
      </c>
      <c r="AB62" t="e">
        <f t="shared" si="18"/>
        <v>#NUM!</v>
      </c>
      <c r="AC62" t="e">
        <f t="shared" si="19"/>
        <v>#NUM!</v>
      </c>
      <c r="AE62">
        <v>3.2153875902064446E-6</v>
      </c>
      <c r="AF62">
        <v>-59.999999999999922</v>
      </c>
      <c r="AH62" s="1">
        <v>56</v>
      </c>
      <c r="AI62" s="1">
        <f t="shared" si="26"/>
        <v>0</v>
      </c>
      <c r="AJ62" s="1">
        <f t="shared" si="26"/>
        <v>0</v>
      </c>
      <c r="AK62" s="2" t="e">
        <f t="shared" si="27"/>
        <v>#NUM!</v>
      </c>
      <c r="AL62" s="2" t="e">
        <f t="shared" si="27"/>
        <v>#NUM!</v>
      </c>
    </row>
    <row r="63" spans="2:38" x14ac:dyDescent="0.25">
      <c r="B63" t="e">
        <f t="shared" si="2"/>
        <v>#NUM!</v>
      </c>
      <c r="C63" t="e">
        <f t="shared" si="2"/>
        <v>#NUM!</v>
      </c>
      <c r="W63" t="e">
        <f t="shared" si="1"/>
        <v>#NUM!</v>
      </c>
      <c r="X63">
        <f t="shared" si="14"/>
        <v>61.570799515387513</v>
      </c>
      <c r="Y63">
        <f t="shared" si="15"/>
        <v>28</v>
      </c>
      <c r="Z63">
        <f t="shared" si="16"/>
        <v>-1.5707963267948966</v>
      </c>
      <c r="AA63" t="e">
        <f t="shared" si="17"/>
        <v>#NUM!</v>
      </c>
      <c r="AB63" t="e">
        <f t="shared" si="18"/>
        <v>#NUM!</v>
      </c>
      <c r="AC63" t="e">
        <f t="shared" si="19"/>
        <v>#NUM!</v>
      </c>
      <c r="AE63">
        <v>3.2153875902064446E-6</v>
      </c>
      <c r="AF63">
        <v>-59.999999999999922</v>
      </c>
      <c r="AH63" s="1">
        <v>57</v>
      </c>
      <c r="AI63" s="1">
        <f t="shared" si="26"/>
        <v>0</v>
      </c>
      <c r="AJ63" s="1">
        <f t="shared" si="26"/>
        <v>0</v>
      </c>
      <c r="AK63" s="2">
        <f t="shared" si="27"/>
        <v>0</v>
      </c>
      <c r="AL63" s="2">
        <f t="shared" si="27"/>
        <v>0</v>
      </c>
    </row>
    <row r="64" spans="2:38" x14ac:dyDescent="0.25">
      <c r="B64" t="e">
        <f t="shared" si="2"/>
        <v>#NUM!</v>
      </c>
      <c r="C64" t="e">
        <f t="shared" si="2"/>
        <v>#NUM!</v>
      </c>
      <c r="W64" t="e">
        <f t="shared" si="1"/>
        <v>#NUM!</v>
      </c>
      <c r="X64">
        <f t="shared" si="14"/>
        <v>61.570799515387513</v>
      </c>
      <c r="Y64">
        <f t="shared" si="15"/>
        <v>28</v>
      </c>
      <c r="Z64">
        <f t="shared" si="16"/>
        <v>-1.5707963267948966</v>
      </c>
      <c r="AA64" t="e">
        <f t="shared" si="17"/>
        <v>#NUM!</v>
      </c>
      <c r="AB64" t="e">
        <f t="shared" si="18"/>
        <v>#NUM!</v>
      </c>
      <c r="AC64" t="e">
        <f t="shared" si="19"/>
        <v>#NUM!</v>
      </c>
      <c r="AE64">
        <v>3.2153875902064446E-6</v>
      </c>
      <c r="AF64">
        <v>-59.999999999999922</v>
      </c>
      <c r="AH64" s="1">
        <v>58</v>
      </c>
      <c r="AI64" s="1">
        <f t="shared" si="26"/>
        <v>0</v>
      </c>
      <c r="AJ64" s="1">
        <f t="shared" si="26"/>
        <v>0</v>
      </c>
      <c r="AK64" s="2">
        <f t="shared" si="27"/>
        <v>0</v>
      </c>
      <c r="AL64" s="2">
        <f t="shared" si="27"/>
        <v>0</v>
      </c>
    </row>
    <row r="65" spans="2:38" x14ac:dyDescent="0.25">
      <c r="B65" t="e">
        <f t="shared" si="2"/>
        <v>#NUM!</v>
      </c>
      <c r="C65" t="e">
        <f t="shared" si="2"/>
        <v>#NUM!</v>
      </c>
      <c r="W65" t="e">
        <f t="shared" si="1"/>
        <v>#NUM!</v>
      </c>
      <c r="X65">
        <f t="shared" si="14"/>
        <v>61.570799515387513</v>
      </c>
      <c r="Y65">
        <f t="shared" si="15"/>
        <v>28</v>
      </c>
      <c r="Z65">
        <f t="shared" si="16"/>
        <v>-1.5707963267948966</v>
      </c>
      <c r="AA65" t="e">
        <f t="shared" si="17"/>
        <v>#NUM!</v>
      </c>
      <c r="AB65" t="e">
        <f t="shared" si="18"/>
        <v>#NUM!</v>
      </c>
      <c r="AC65" t="e">
        <f t="shared" si="19"/>
        <v>#NUM!</v>
      </c>
      <c r="AE65">
        <v>3.2153875902064446E-6</v>
      </c>
      <c r="AF65">
        <v>-59.999999999999922</v>
      </c>
      <c r="AH65" s="1">
        <v>59</v>
      </c>
      <c r="AI65" s="1">
        <f t="shared" si="26"/>
        <v>0</v>
      </c>
      <c r="AJ65" s="1">
        <f t="shared" si="26"/>
        <v>0</v>
      </c>
      <c r="AK65" s="2">
        <f t="shared" si="27"/>
        <v>0</v>
      </c>
      <c r="AL65" s="2">
        <f t="shared" si="27"/>
        <v>0</v>
      </c>
    </row>
    <row r="66" spans="2:38" x14ac:dyDescent="0.25">
      <c r="B66" t="e">
        <f t="shared" si="2"/>
        <v>#NUM!</v>
      </c>
      <c r="C66" t="e">
        <f t="shared" si="2"/>
        <v>#NUM!</v>
      </c>
      <c r="W66" t="e">
        <f t="shared" si="1"/>
        <v>#NUM!</v>
      </c>
      <c r="X66">
        <f t="shared" si="14"/>
        <v>61.570799515387513</v>
      </c>
      <c r="Y66">
        <f t="shared" si="15"/>
        <v>28</v>
      </c>
      <c r="Z66">
        <f t="shared" si="16"/>
        <v>-1.5707963267948966</v>
      </c>
      <c r="AA66" t="e">
        <f t="shared" si="17"/>
        <v>#NUM!</v>
      </c>
      <c r="AB66" t="e">
        <f t="shared" si="18"/>
        <v>#NUM!</v>
      </c>
      <c r="AC66" t="e">
        <f t="shared" si="19"/>
        <v>#NUM!</v>
      </c>
      <c r="AE66">
        <v>3.2153875902064446E-6</v>
      </c>
      <c r="AF66">
        <v>-59.999999999999922</v>
      </c>
      <c r="AH66" s="1">
        <v>60</v>
      </c>
      <c r="AI66" s="1">
        <f t="shared" si="26"/>
        <v>0</v>
      </c>
      <c r="AJ66" s="1">
        <f t="shared" si="26"/>
        <v>0</v>
      </c>
      <c r="AK66" s="2">
        <f t="shared" si="27"/>
        <v>0</v>
      </c>
      <c r="AL66" s="2">
        <f t="shared" si="27"/>
        <v>0</v>
      </c>
    </row>
    <row r="67" spans="2:38" x14ac:dyDescent="0.25">
      <c r="B67" t="e">
        <f t="shared" si="2"/>
        <v>#NUM!</v>
      </c>
      <c r="C67" t="e">
        <f t="shared" si="2"/>
        <v>#NUM!</v>
      </c>
      <c r="W67" t="e">
        <f t="shared" si="1"/>
        <v>#NUM!</v>
      </c>
      <c r="X67">
        <f t="shared" si="14"/>
        <v>61.570799515387513</v>
      </c>
      <c r="Y67">
        <f t="shared" si="15"/>
        <v>28</v>
      </c>
      <c r="Z67">
        <f t="shared" si="16"/>
        <v>-1.5707963267948966</v>
      </c>
      <c r="AA67" t="e">
        <f t="shared" si="17"/>
        <v>#NUM!</v>
      </c>
      <c r="AB67" t="e">
        <f t="shared" si="18"/>
        <v>#NUM!</v>
      </c>
      <c r="AC67" t="e">
        <f t="shared" si="19"/>
        <v>#NUM!</v>
      </c>
      <c r="AE67">
        <v>3.2153875902064446E-6</v>
      </c>
      <c r="AF67">
        <v>-59.999999999999922</v>
      </c>
      <c r="AH67" s="1">
        <v>61</v>
      </c>
      <c r="AI67" s="1">
        <f t="shared" si="26"/>
        <v>0</v>
      </c>
      <c r="AJ67" s="1">
        <f t="shared" si="26"/>
        <v>0</v>
      </c>
      <c r="AK67" s="2">
        <f t="shared" si="27"/>
        <v>0</v>
      </c>
      <c r="AL67" s="2">
        <f t="shared" si="27"/>
        <v>0</v>
      </c>
    </row>
    <row r="68" spans="2:38" x14ac:dyDescent="0.25">
      <c r="B68" t="e">
        <f t="shared" si="2"/>
        <v>#NUM!</v>
      </c>
      <c r="C68" t="e">
        <f t="shared" si="2"/>
        <v>#NUM!</v>
      </c>
      <c r="W68" t="e">
        <f t="shared" si="1"/>
        <v>#NUM!</v>
      </c>
      <c r="X68">
        <f t="shared" si="14"/>
        <v>61.570799515387513</v>
      </c>
      <c r="Y68">
        <f t="shared" si="15"/>
        <v>28</v>
      </c>
      <c r="Z68">
        <f t="shared" si="16"/>
        <v>-1.5707963267948966</v>
      </c>
      <c r="AA68" t="e">
        <f t="shared" si="17"/>
        <v>#NUM!</v>
      </c>
      <c r="AB68" t="e">
        <f t="shared" si="18"/>
        <v>#NUM!</v>
      </c>
      <c r="AC68" t="e">
        <f t="shared" si="19"/>
        <v>#NUM!</v>
      </c>
      <c r="AE68">
        <v>3.2153875902064446E-6</v>
      </c>
      <c r="AF68">
        <v>-59.999999999999922</v>
      </c>
      <c r="AH68" s="1">
        <v>62</v>
      </c>
      <c r="AI68" s="1">
        <f t="shared" si="26"/>
        <v>0</v>
      </c>
      <c r="AJ68" s="1">
        <f t="shared" si="26"/>
        <v>0</v>
      </c>
      <c r="AK68" s="2">
        <f t="shared" si="27"/>
        <v>0</v>
      </c>
      <c r="AL68" s="2">
        <f t="shared" si="27"/>
        <v>0</v>
      </c>
    </row>
    <row r="69" spans="2:38" x14ac:dyDescent="0.25">
      <c r="B69" t="e">
        <f t="shared" si="2"/>
        <v>#NUM!</v>
      </c>
      <c r="C69" t="e">
        <f t="shared" si="2"/>
        <v>#NUM!</v>
      </c>
      <c r="W69" t="e">
        <f t="shared" si="1"/>
        <v>#NUM!</v>
      </c>
      <c r="X69">
        <f t="shared" si="14"/>
        <v>61.570799515387513</v>
      </c>
      <c r="Y69">
        <f t="shared" si="15"/>
        <v>28</v>
      </c>
      <c r="Z69">
        <f t="shared" si="16"/>
        <v>-1.5707963267948966</v>
      </c>
      <c r="AA69" t="e">
        <f t="shared" si="17"/>
        <v>#NUM!</v>
      </c>
      <c r="AB69" t="e">
        <f t="shared" si="18"/>
        <v>#NUM!</v>
      </c>
      <c r="AC69" t="e">
        <f t="shared" si="19"/>
        <v>#NUM!</v>
      </c>
      <c r="AE69">
        <v>3.2153875902064446E-6</v>
      </c>
      <c r="AF69">
        <v>-59.999999999999922</v>
      </c>
      <c r="AH69" s="1">
        <v>63</v>
      </c>
      <c r="AI69" s="1">
        <f t="shared" si="26"/>
        <v>0</v>
      </c>
      <c r="AJ69" s="1">
        <f t="shared" si="26"/>
        <v>0</v>
      </c>
      <c r="AK69" s="2">
        <f t="shared" si="27"/>
        <v>0</v>
      </c>
      <c r="AL69" s="2">
        <f t="shared" si="27"/>
        <v>0</v>
      </c>
    </row>
    <row r="70" spans="2:38" x14ac:dyDescent="0.25">
      <c r="B70" t="e">
        <f t="shared" si="2"/>
        <v>#NUM!</v>
      </c>
      <c r="C70" t="e">
        <f t="shared" si="2"/>
        <v>#NUM!</v>
      </c>
      <c r="W70" t="e">
        <f t="shared" ref="W70:W133" si="30">3.14159265358/2-Z70-AA70</f>
        <v>#NUM!</v>
      </c>
      <c r="X70">
        <f t="shared" si="14"/>
        <v>61.570799515387513</v>
      </c>
      <c r="Y70">
        <f t="shared" si="15"/>
        <v>28</v>
      </c>
      <c r="Z70">
        <f t="shared" si="16"/>
        <v>-1.5707963267948966</v>
      </c>
      <c r="AA70" t="e">
        <f t="shared" si="17"/>
        <v>#NUM!</v>
      </c>
      <c r="AB70" t="e">
        <f t="shared" si="18"/>
        <v>#NUM!</v>
      </c>
      <c r="AC70" t="e">
        <f t="shared" si="19"/>
        <v>#NUM!</v>
      </c>
      <c r="AE70">
        <v>3.2153875902064446E-6</v>
      </c>
      <c r="AF70">
        <v>-59.999999999999922</v>
      </c>
      <c r="AH70" s="1">
        <v>64</v>
      </c>
      <c r="AI70" s="1">
        <f t="shared" si="26"/>
        <v>0</v>
      </c>
      <c r="AJ70" s="1">
        <f t="shared" si="26"/>
        <v>0</v>
      </c>
      <c r="AK70" s="2">
        <f t="shared" si="27"/>
        <v>0</v>
      </c>
      <c r="AL70" s="2">
        <f t="shared" si="27"/>
        <v>0</v>
      </c>
    </row>
    <row r="71" spans="2:38" x14ac:dyDescent="0.25">
      <c r="B71" t="e">
        <f t="shared" ref="B71:C134" si="31">AB71</f>
        <v>#NUM!</v>
      </c>
      <c r="C71" t="e">
        <f t="shared" si="31"/>
        <v>#NUM!</v>
      </c>
      <c r="W71" t="e">
        <f t="shared" si="30"/>
        <v>#NUM!</v>
      </c>
      <c r="X71">
        <f t="shared" ref="X71:X134" si="32">3.1415926/2+AE71-AF71</f>
        <v>61.570799515387513</v>
      </c>
      <c r="Y71">
        <f t="shared" ref="Y71:Y134" si="33">SQRT( V71*V71+(U71+$G$2)*(U71+$G$2)     )</f>
        <v>28</v>
      </c>
      <c r="Z71">
        <f t="shared" ref="Z71:Z134" si="34">ATAN2(  V71, -U71-$G$2)</f>
        <v>-1.5707963267948966</v>
      </c>
      <c r="AA71" t="e">
        <f t="shared" ref="AA71:AA134" si="35" xml:space="preserve"> ACOS((Y71*Y71+$C$2*$C$2-($E$2+$T$2)*($E$2+$T$2))/(2*Y71*$C$2))</f>
        <v>#NUM!</v>
      </c>
      <c r="AB71" t="e">
        <f t="shared" ref="AB71:AB134" si="36">-$G$2-$C$2*COS(W71)+(U71+$G$2+COS(W71)*$C$2)*$E$2/($E$2+$T$2)</f>
        <v>#NUM!</v>
      </c>
      <c r="AC71" t="e">
        <f t="shared" ref="AC71:AC134" si="37">$C$2*SIN(W71)+(V71-$C$2*SIN(W71))*$E$2/($T$2+$E$2)</f>
        <v>#NUM!</v>
      </c>
      <c r="AE71">
        <v>3.2153875902064446E-6</v>
      </c>
      <c r="AF71">
        <v>-59.999999999999922</v>
      </c>
      <c r="AH71" s="1">
        <v>65</v>
      </c>
      <c r="AI71" s="1">
        <f t="shared" si="26"/>
        <v>0</v>
      </c>
      <c r="AJ71" s="1">
        <f t="shared" si="26"/>
        <v>0</v>
      </c>
      <c r="AK71" s="2">
        <f t="shared" si="27"/>
        <v>0</v>
      </c>
      <c r="AL71" s="2">
        <f t="shared" si="27"/>
        <v>0</v>
      </c>
    </row>
    <row r="72" spans="2:38" x14ac:dyDescent="0.25">
      <c r="B72" t="e">
        <f t="shared" si="31"/>
        <v>#NUM!</v>
      </c>
      <c r="C72" t="e">
        <f t="shared" si="31"/>
        <v>#NUM!</v>
      </c>
      <c r="W72" t="e">
        <f t="shared" si="30"/>
        <v>#NUM!</v>
      </c>
      <c r="X72">
        <f t="shared" si="32"/>
        <v>61.570799515387513</v>
      </c>
      <c r="Y72">
        <f t="shared" si="33"/>
        <v>28</v>
      </c>
      <c r="Z72">
        <f t="shared" si="34"/>
        <v>-1.5707963267948966</v>
      </c>
      <c r="AA72" t="e">
        <f t="shared" si="35"/>
        <v>#NUM!</v>
      </c>
      <c r="AB72" t="e">
        <f t="shared" si="36"/>
        <v>#NUM!</v>
      </c>
      <c r="AC72" t="e">
        <f t="shared" si="37"/>
        <v>#NUM!</v>
      </c>
      <c r="AE72">
        <v>3.2153875902064446E-6</v>
      </c>
      <c r="AF72">
        <v>-59.999999999999922</v>
      </c>
      <c r="AH72" s="1">
        <v>66</v>
      </c>
      <c r="AI72" s="1">
        <f t="shared" si="26"/>
        <v>0</v>
      </c>
      <c r="AJ72" s="1">
        <f t="shared" si="26"/>
        <v>0</v>
      </c>
      <c r="AK72" s="2">
        <f t="shared" si="27"/>
        <v>0</v>
      </c>
      <c r="AL72" s="2">
        <f t="shared" si="27"/>
        <v>0</v>
      </c>
    </row>
    <row r="73" spans="2:38" x14ac:dyDescent="0.25">
      <c r="B73" t="e">
        <f t="shared" si="31"/>
        <v>#NUM!</v>
      </c>
      <c r="C73" t="e">
        <f t="shared" si="31"/>
        <v>#NUM!</v>
      </c>
      <c r="W73" t="e">
        <f t="shared" si="30"/>
        <v>#NUM!</v>
      </c>
      <c r="X73">
        <f t="shared" si="32"/>
        <v>61.570799515387513</v>
      </c>
      <c r="Y73">
        <f t="shared" si="33"/>
        <v>28</v>
      </c>
      <c r="Z73">
        <f t="shared" si="34"/>
        <v>-1.5707963267948966</v>
      </c>
      <c r="AA73" t="e">
        <f t="shared" si="35"/>
        <v>#NUM!</v>
      </c>
      <c r="AB73" t="e">
        <f t="shared" si="36"/>
        <v>#NUM!</v>
      </c>
      <c r="AC73" t="e">
        <f t="shared" si="37"/>
        <v>#NUM!</v>
      </c>
      <c r="AE73">
        <v>3.2153875902064446E-6</v>
      </c>
      <c r="AF73">
        <v>-59.999999999999922</v>
      </c>
      <c r="AH73" s="1">
        <v>67</v>
      </c>
      <c r="AI73" s="1">
        <f t="shared" si="26"/>
        <v>0</v>
      </c>
      <c r="AJ73" s="1">
        <f t="shared" si="26"/>
        <v>0</v>
      </c>
      <c r="AK73" s="2">
        <f t="shared" si="27"/>
        <v>0</v>
      </c>
      <c r="AL73" s="2">
        <f t="shared" si="27"/>
        <v>0</v>
      </c>
    </row>
    <row r="74" spans="2:38" x14ac:dyDescent="0.25">
      <c r="B74" t="e">
        <f t="shared" si="31"/>
        <v>#NUM!</v>
      </c>
      <c r="C74" t="e">
        <f t="shared" si="31"/>
        <v>#NUM!</v>
      </c>
      <c r="W74" t="e">
        <f t="shared" si="30"/>
        <v>#NUM!</v>
      </c>
      <c r="X74">
        <f t="shared" si="32"/>
        <v>61.570799515387513</v>
      </c>
      <c r="Y74">
        <f t="shared" si="33"/>
        <v>28</v>
      </c>
      <c r="Z74">
        <f t="shared" si="34"/>
        <v>-1.5707963267948966</v>
      </c>
      <c r="AA74" t="e">
        <f t="shared" si="35"/>
        <v>#NUM!</v>
      </c>
      <c r="AB74" t="e">
        <f t="shared" si="36"/>
        <v>#NUM!</v>
      </c>
      <c r="AC74" t="e">
        <f t="shared" si="37"/>
        <v>#NUM!</v>
      </c>
      <c r="AE74">
        <v>3.2153875902064446E-6</v>
      </c>
      <c r="AF74">
        <v>-59.999999999999922</v>
      </c>
      <c r="AH74" s="1">
        <v>68</v>
      </c>
      <c r="AI74" s="1">
        <f t="shared" si="26"/>
        <v>0</v>
      </c>
      <c r="AJ74" s="1">
        <f t="shared" si="26"/>
        <v>0</v>
      </c>
      <c r="AK74" s="2">
        <f t="shared" si="27"/>
        <v>0</v>
      </c>
      <c r="AL74" s="2">
        <f t="shared" si="27"/>
        <v>0</v>
      </c>
    </row>
    <row r="75" spans="2:38" x14ac:dyDescent="0.25">
      <c r="B75" t="e">
        <f t="shared" si="31"/>
        <v>#NUM!</v>
      </c>
      <c r="C75" t="e">
        <f t="shared" si="31"/>
        <v>#NUM!</v>
      </c>
      <c r="W75" t="e">
        <f t="shared" si="30"/>
        <v>#NUM!</v>
      </c>
      <c r="X75">
        <f t="shared" si="32"/>
        <v>61.570799515387513</v>
      </c>
      <c r="Y75">
        <f t="shared" si="33"/>
        <v>28</v>
      </c>
      <c r="Z75">
        <f t="shared" si="34"/>
        <v>-1.5707963267948966</v>
      </c>
      <c r="AA75" t="e">
        <f t="shared" si="35"/>
        <v>#NUM!</v>
      </c>
      <c r="AB75" t="e">
        <f t="shared" si="36"/>
        <v>#NUM!</v>
      </c>
      <c r="AC75" t="e">
        <f t="shared" si="37"/>
        <v>#NUM!</v>
      </c>
      <c r="AE75">
        <v>3.2153875902064446E-6</v>
      </c>
      <c r="AF75">
        <v>-59.999999999999922</v>
      </c>
      <c r="AH75" s="1">
        <v>69</v>
      </c>
      <c r="AI75" s="1">
        <f t="shared" si="26"/>
        <v>0</v>
      </c>
      <c r="AJ75" s="1">
        <f t="shared" si="26"/>
        <v>0</v>
      </c>
      <c r="AK75" s="2">
        <f t="shared" si="27"/>
        <v>0</v>
      </c>
      <c r="AL75" s="2">
        <f t="shared" si="27"/>
        <v>0</v>
      </c>
    </row>
    <row r="76" spans="2:38" x14ac:dyDescent="0.25">
      <c r="B76" t="e">
        <f t="shared" si="31"/>
        <v>#NUM!</v>
      </c>
      <c r="C76" t="e">
        <f t="shared" si="31"/>
        <v>#NUM!</v>
      </c>
      <c r="W76" t="e">
        <f t="shared" si="30"/>
        <v>#NUM!</v>
      </c>
      <c r="X76">
        <f t="shared" si="32"/>
        <v>61.570799515387513</v>
      </c>
      <c r="Y76">
        <f t="shared" si="33"/>
        <v>28</v>
      </c>
      <c r="Z76">
        <f t="shared" si="34"/>
        <v>-1.5707963267948966</v>
      </c>
      <c r="AA76" t="e">
        <f t="shared" si="35"/>
        <v>#NUM!</v>
      </c>
      <c r="AB76" t="e">
        <f t="shared" si="36"/>
        <v>#NUM!</v>
      </c>
      <c r="AC76" t="e">
        <f t="shared" si="37"/>
        <v>#NUM!</v>
      </c>
      <c r="AE76">
        <v>3.2153875902064446E-6</v>
      </c>
      <c r="AF76">
        <v>-59.999999999999922</v>
      </c>
      <c r="AH76" s="1">
        <v>70</v>
      </c>
      <c r="AI76" s="1">
        <f t="shared" si="26"/>
        <v>0</v>
      </c>
      <c r="AJ76" s="1">
        <f t="shared" si="26"/>
        <v>0</v>
      </c>
      <c r="AK76" s="2">
        <f t="shared" si="27"/>
        <v>0</v>
      </c>
      <c r="AL76" s="2">
        <f t="shared" si="27"/>
        <v>0</v>
      </c>
    </row>
    <row r="77" spans="2:38" x14ac:dyDescent="0.25">
      <c r="B77" t="e">
        <f t="shared" si="31"/>
        <v>#NUM!</v>
      </c>
      <c r="C77" t="e">
        <f t="shared" si="31"/>
        <v>#NUM!</v>
      </c>
      <c r="W77" t="e">
        <f t="shared" si="30"/>
        <v>#NUM!</v>
      </c>
      <c r="X77">
        <f t="shared" si="32"/>
        <v>61.570799515387513</v>
      </c>
      <c r="Y77">
        <f t="shared" si="33"/>
        <v>28</v>
      </c>
      <c r="Z77">
        <f t="shared" si="34"/>
        <v>-1.5707963267948966</v>
      </c>
      <c r="AA77" t="e">
        <f t="shared" si="35"/>
        <v>#NUM!</v>
      </c>
      <c r="AB77" t="e">
        <f t="shared" si="36"/>
        <v>#NUM!</v>
      </c>
      <c r="AC77" t="e">
        <f t="shared" si="37"/>
        <v>#NUM!</v>
      </c>
      <c r="AE77">
        <v>3.2153875902064446E-6</v>
      </c>
      <c r="AF77">
        <v>-59.999999999999922</v>
      </c>
      <c r="AH77" s="1">
        <v>71</v>
      </c>
      <c r="AI77" s="1">
        <f t="shared" si="26"/>
        <v>0</v>
      </c>
      <c r="AJ77" s="1">
        <f t="shared" si="26"/>
        <v>0</v>
      </c>
      <c r="AK77" s="2">
        <f t="shared" si="27"/>
        <v>0</v>
      </c>
      <c r="AL77" s="2">
        <f t="shared" si="27"/>
        <v>0</v>
      </c>
    </row>
    <row r="78" spans="2:38" x14ac:dyDescent="0.25">
      <c r="B78" t="e">
        <f t="shared" si="31"/>
        <v>#NUM!</v>
      </c>
      <c r="C78" t="e">
        <f t="shared" si="31"/>
        <v>#NUM!</v>
      </c>
      <c r="W78" t="e">
        <f t="shared" si="30"/>
        <v>#NUM!</v>
      </c>
      <c r="X78">
        <f t="shared" si="32"/>
        <v>61.570799515387513</v>
      </c>
      <c r="Y78">
        <f t="shared" si="33"/>
        <v>28</v>
      </c>
      <c r="Z78">
        <f t="shared" si="34"/>
        <v>-1.5707963267948966</v>
      </c>
      <c r="AA78" t="e">
        <f t="shared" si="35"/>
        <v>#NUM!</v>
      </c>
      <c r="AB78" t="e">
        <f t="shared" si="36"/>
        <v>#NUM!</v>
      </c>
      <c r="AC78" t="e">
        <f t="shared" si="37"/>
        <v>#NUM!</v>
      </c>
      <c r="AE78">
        <v>3.2153875902064446E-6</v>
      </c>
      <c r="AF78">
        <v>-59.999999999999922</v>
      </c>
      <c r="AH78" s="1">
        <v>72</v>
      </c>
      <c r="AI78" s="1">
        <f t="shared" si="26"/>
        <v>0</v>
      </c>
      <c r="AJ78" s="1">
        <f t="shared" si="26"/>
        <v>0</v>
      </c>
      <c r="AK78" s="2">
        <f t="shared" si="27"/>
        <v>0</v>
      </c>
      <c r="AL78" s="2">
        <f t="shared" si="27"/>
        <v>0</v>
      </c>
    </row>
    <row r="79" spans="2:38" x14ac:dyDescent="0.25">
      <c r="B79" t="e">
        <f t="shared" si="31"/>
        <v>#NUM!</v>
      </c>
      <c r="C79" t="e">
        <f t="shared" si="31"/>
        <v>#NUM!</v>
      </c>
      <c r="W79" t="e">
        <f t="shared" si="30"/>
        <v>#NUM!</v>
      </c>
      <c r="X79">
        <f t="shared" si="32"/>
        <v>61.570799515387513</v>
      </c>
      <c r="Y79">
        <f t="shared" si="33"/>
        <v>28</v>
      </c>
      <c r="Z79">
        <f t="shared" si="34"/>
        <v>-1.5707963267948966</v>
      </c>
      <c r="AA79" t="e">
        <f t="shared" si="35"/>
        <v>#NUM!</v>
      </c>
      <c r="AB79" t="e">
        <f t="shared" si="36"/>
        <v>#NUM!</v>
      </c>
      <c r="AC79" t="e">
        <f t="shared" si="37"/>
        <v>#NUM!</v>
      </c>
      <c r="AE79">
        <v>3.2153875902064446E-6</v>
      </c>
      <c r="AF79">
        <v>-59.999999999999922</v>
      </c>
      <c r="AH79" s="1">
        <v>73</v>
      </c>
      <c r="AI79" s="1">
        <f t="shared" si="26"/>
        <v>0</v>
      </c>
      <c r="AJ79" s="1">
        <f t="shared" si="26"/>
        <v>0</v>
      </c>
      <c r="AK79" s="2">
        <f t="shared" si="27"/>
        <v>0</v>
      </c>
      <c r="AL79" s="2">
        <f t="shared" si="27"/>
        <v>0</v>
      </c>
    </row>
    <row r="80" spans="2:38" x14ac:dyDescent="0.25">
      <c r="B80" t="e">
        <f t="shared" si="31"/>
        <v>#NUM!</v>
      </c>
      <c r="C80" t="e">
        <f t="shared" si="31"/>
        <v>#NUM!</v>
      </c>
      <c r="W80" t="e">
        <f t="shared" si="30"/>
        <v>#NUM!</v>
      </c>
      <c r="X80">
        <f t="shared" si="32"/>
        <v>61.570799515387513</v>
      </c>
      <c r="Y80">
        <f t="shared" si="33"/>
        <v>28</v>
      </c>
      <c r="Z80">
        <f t="shared" si="34"/>
        <v>-1.5707963267948966</v>
      </c>
      <c r="AA80" t="e">
        <f t="shared" si="35"/>
        <v>#NUM!</v>
      </c>
      <c r="AB80" t="e">
        <f t="shared" si="36"/>
        <v>#NUM!</v>
      </c>
      <c r="AC80" t="e">
        <f t="shared" si="37"/>
        <v>#NUM!</v>
      </c>
      <c r="AE80">
        <v>3.2153875902064446E-6</v>
      </c>
      <c r="AF80">
        <v>-59.999999999999922</v>
      </c>
      <c r="AH80" s="1">
        <v>74</v>
      </c>
      <c r="AI80" s="1">
        <f t="shared" si="26"/>
        <v>0</v>
      </c>
      <c r="AJ80" s="1">
        <f t="shared" si="26"/>
        <v>0</v>
      </c>
      <c r="AK80" s="2">
        <f t="shared" si="27"/>
        <v>0</v>
      </c>
      <c r="AL80" s="2">
        <f t="shared" si="27"/>
        <v>0</v>
      </c>
    </row>
    <row r="81" spans="2:65" x14ac:dyDescent="0.25">
      <c r="B81" t="e">
        <f t="shared" si="31"/>
        <v>#NUM!</v>
      </c>
      <c r="C81" t="e">
        <f t="shared" si="31"/>
        <v>#NUM!</v>
      </c>
      <c r="W81" t="e">
        <f t="shared" si="30"/>
        <v>#NUM!</v>
      </c>
      <c r="X81">
        <f t="shared" si="32"/>
        <v>61.570799515387513</v>
      </c>
      <c r="Y81">
        <f t="shared" si="33"/>
        <v>28</v>
      </c>
      <c r="Z81">
        <f t="shared" si="34"/>
        <v>-1.5707963267948966</v>
      </c>
      <c r="AA81" t="e">
        <f t="shared" si="35"/>
        <v>#NUM!</v>
      </c>
      <c r="AB81" t="e">
        <f t="shared" si="36"/>
        <v>#NUM!</v>
      </c>
      <c r="AC81" t="e">
        <f t="shared" si="37"/>
        <v>#NUM!</v>
      </c>
      <c r="AE81">
        <v>3.2153875902064446E-6</v>
      </c>
      <c r="AF81">
        <v>-59.999999999999922</v>
      </c>
      <c r="AH81" s="1">
        <v>75</v>
      </c>
      <c r="AI81" s="1">
        <f t="shared" si="26"/>
        <v>0</v>
      </c>
      <c r="AJ81" s="1">
        <f t="shared" si="26"/>
        <v>0</v>
      </c>
      <c r="AK81" s="2">
        <f t="shared" si="27"/>
        <v>0</v>
      </c>
      <c r="AL81" s="2">
        <f t="shared" si="27"/>
        <v>0</v>
      </c>
    </row>
    <row r="82" spans="2:65" x14ac:dyDescent="0.25">
      <c r="B82" t="e">
        <f t="shared" si="31"/>
        <v>#NUM!</v>
      </c>
      <c r="C82" t="e">
        <f t="shared" si="31"/>
        <v>#NUM!</v>
      </c>
      <c r="W82" t="e">
        <f t="shared" si="30"/>
        <v>#NUM!</v>
      </c>
      <c r="X82">
        <f t="shared" si="32"/>
        <v>61.570799515387513</v>
      </c>
      <c r="Y82">
        <f t="shared" si="33"/>
        <v>28</v>
      </c>
      <c r="Z82">
        <f t="shared" si="34"/>
        <v>-1.5707963267948966</v>
      </c>
      <c r="AA82" t="e">
        <f t="shared" si="35"/>
        <v>#NUM!</v>
      </c>
      <c r="AB82" t="e">
        <f t="shared" si="36"/>
        <v>#NUM!</v>
      </c>
      <c r="AC82" t="e">
        <f t="shared" si="37"/>
        <v>#NUM!</v>
      </c>
      <c r="AE82">
        <v>3.2153875902064446E-6</v>
      </c>
      <c r="AF82">
        <v>-59.999999999999922</v>
      </c>
      <c r="AH82" s="1">
        <v>76</v>
      </c>
      <c r="AI82" s="1">
        <f t="shared" si="26"/>
        <v>0</v>
      </c>
      <c r="AJ82" s="1">
        <f t="shared" si="26"/>
        <v>0</v>
      </c>
      <c r="AK82" s="2">
        <f t="shared" si="27"/>
        <v>0</v>
      </c>
      <c r="AL82" s="2">
        <f t="shared" si="27"/>
        <v>0</v>
      </c>
    </row>
    <row r="83" spans="2:65" x14ac:dyDescent="0.25">
      <c r="B83" t="e">
        <f t="shared" si="31"/>
        <v>#NUM!</v>
      </c>
      <c r="C83" t="e">
        <f t="shared" si="31"/>
        <v>#NUM!</v>
      </c>
      <c r="W83" t="e">
        <f t="shared" si="30"/>
        <v>#NUM!</v>
      </c>
      <c r="X83">
        <f t="shared" si="32"/>
        <v>61.570799515387513</v>
      </c>
      <c r="Y83">
        <f t="shared" si="33"/>
        <v>28</v>
      </c>
      <c r="Z83">
        <f t="shared" si="34"/>
        <v>-1.5707963267948966</v>
      </c>
      <c r="AA83" t="e">
        <f t="shared" si="35"/>
        <v>#NUM!</v>
      </c>
      <c r="AB83" t="e">
        <f t="shared" si="36"/>
        <v>#NUM!</v>
      </c>
      <c r="AC83" t="e">
        <f t="shared" si="37"/>
        <v>#NUM!</v>
      </c>
      <c r="AE83">
        <v>3.2153875902064446E-6</v>
      </c>
      <c r="AF83">
        <v>-59.999999999999922</v>
      </c>
      <c r="AH83" s="1">
        <v>77</v>
      </c>
      <c r="AI83" s="1">
        <f t="shared" si="26"/>
        <v>0</v>
      </c>
      <c r="AJ83" s="1">
        <f t="shared" si="26"/>
        <v>0</v>
      </c>
      <c r="AK83" s="2">
        <f t="shared" si="27"/>
        <v>0</v>
      </c>
      <c r="AL83" s="2">
        <f t="shared" si="27"/>
        <v>0</v>
      </c>
    </row>
    <row r="84" spans="2:65" x14ac:dyDescent="0.25">
      <c r="B84" t="e">
        <f t="shared" si="31"/>
        <v>#NUM!</v>
      </c>
      <c r="C84" t="e">
        <f t="shared" si="31"/>
        <v>#NUM!</v>
      </c>
      <c r="W84" t="e">
        <f t="shared" si="30"/>
        <v>#NUM!</v>
      </c>
      <c r="X84">
        <f t="shared" si="32"/>
        <v>61.570799515387513</v>
      </c>
      <c r="Y84">
        <f t="shared" si="33"/>
        <v>28</v>
      </c>
      <c r="Z84">
        <f t="shared" si="34"/>
        <v>-1.5707963267948966</v>
      </c>
      <c r="AA84" t="e">
        <f t="shared" si="35"/>
        <v>#NUM!</v>
      </c>
      <c r="AB84" t="e">
        <f t="shared" si="36"/>
        <v>#NUM!</v>
      </c>
      <c r="AC84" t="e">
        <f t="shared" si="37"/>
        <v>#NUM!</v>
      </c>
      <c r="AE84">
        <v>3.2153875902064446E-6</v>
      </c>
      <c r="AF84">
        <v>-59.999999999999922</v>
      </c>
      <c r="AH84" s="1">
        <v>78</v>
      </c>
      <c r="AI84" s="1">
        <f t="shared" si="26"/>
        <v>0</v>
      </c>
      <c r="AJ84" s="1">
        <f t="shared" si="26"/>
        <v>0</v>
      </c>
      <c r="AK84" s="2">
        <f t="shared" si="27"/>
        <v>0</v>
      </c>
      <c r="AL84" s="2">
        <f t="shared" si="27"/>
        <v>0</v>
      </c>
    </row>
    <row r="85" spans="2:65" x14ac:dyDescent="0.25">
      <c r="B85" t="e">
        <f t="shared" si="31"/>
        <v>#NUM!</v>
      </c>
      <c r="C85" t="e">
        <f t="shared" si="31"/>
        <v>#NUM!</v>
      </c>
      <c r="W85" t="e">
        <f t="shared" si="30"/>
        <v>#NUM!</v>
      </c>
      <c r="X85">
        <f t="shared" si="32"/>
        <v>61.570799515387513</v>
      </c>
      <c r="Y85">
        <f t="shared" si="33"/>
        <v>28</v>
      </c>
      <c r="Z85">
        <f t="shared" si="34"/>
        <v>-1.5707963267948966</v>
      </c>
      <c r="AA85" t="e">
        <f t="shared" si="35"/>
        <v>#NUM!</v>
      </c>
      <c r="AB85" t="e">
        <f t="shared" si="36"/>
        <v>#NUM!</v>
      </c>
      <c r="AC85" t="e">
        <f t="shared" si="37"/>
        <v>#NUM!</v>
      </c>
      <c r="AE85">
        <v>3.2153875902064446E-6</v>
      </c>
      <c r="AF85">
        <v>-59.999999999999922</v>
      </c>
      <c r="AH85" s="1">
        <v>79</v>
      </c>
      <c r="AI85" s="1">
        <f t="shared" si="26"/>
        <v>0</v>
      </c>
      <c r="AJ85" s="1">
        <f t="shared" si="26"/>
        <v>0</v>
      </c>
      <c r="AK85" s="2">
        <f t="shared" si="27"/>
        <v>0</v>
      </c>
      <c r="AL85" s="2">
        <f t="shared" si="27"/>
        <v>0</v>
      </c>
    </row>
    <row r="86" spans="2:65" x14ac:dyDescent="0.25">
      <c r="B86" t="e">
        <f t="shared" si="31"/>
        <v>#NUM!</v>
      </c>
      <c r="C86" t="e">
        <f t="shared" si="31"/>
        <v>#NUM!</v>
      </c>
      <c r="W86" t="e">
        <f t="shared" si="30"/>
        <v>#NUM!</v>
      </c>
      <c r="X86">
        <f t="shared" si="32"/>
        <v>61.570799515387513</v>
      </c>
      <c r="Y86">
        <f t="shared" si="33"/>
        <v>28</v>
      </c>
      <c r="Z86">
        <f t="shared" si="34"/>
        <v>-1.5707963267948966</v>
      </c>
      <c r="AA86" t="e">
        <f t="shared" si="35"/>
        <v>#NUM!</v>
      </c>
      <c r="AB86" t="e">
        <f t="shared" si="36"/>
        <v>#NUM!</v>
      </c>
      <c r="AC86" t="e">
        <f t="shared" si="37"/>
        <v>#NUM!</v>
      </c>
      <c r="AE86">
        <v>3.2153875902064446E-6</v>
      </c>
      <c r="AF86">
        <v>-59.999999999999922</v>
      </c>
      <c r="AH86" s="1">
        <v>80</v>
      </c>
      <c r="AI86" s="1">
        <f t="shared" si="26"/>
        <v>0</v>
      </c>
      <c r="AJ86" s="1">
        <f t="shared" si="26"/>
        <v>0</v>
      </c>
      <c r="AK86" s="2">
        <f t="shared" si="27"/>
        <v>0</v>
      </c>
      <c r="AL86" s="2">
        <f t="shared" si="27"/>
        <v>0</v>
      </c>
      <c r="AY86">
        <v>-11.286006599795854</v>
      </c>
      <c r="BL86">
        <v>-31.918242022794601</v>
      </c>
    </row>
    <row r="87" spans="2:65" x14ac:dyDescent="0.25">
      <c r="B87" t="e">
        <f t="shared" si="31"/>
        <v>#NUM!</v>
      </c>
      <c r="C87" t="e">
        <f t="shared" si="31"/>
        <v>#NUM!</v>
      </c>
      <c r="W87" t="e">
        <f t="shared" si="30"/>
        <v>#NUM!</v>
      </c>
      <c r="X87">
        <f t="shared" si="32"/>
        <v>61.570799515387513</v>
      </c>
      <c r="Y87">
        <f t="shared" si="33"/>
        <v>28</v>
      </c>
      <c r="Z87">
        <f t="shared" si="34"/>
        <v>-1.5707963267948966</v>
      </c>
      <c r="AA87" t="e">
        <f t="shared" si="35"/>
        <v>#NUM!</v>
      </c>
      <c r="AB87" t="e">
        <f t="shared" si="36"/>
        <v>#NUM!</v>
      </c>
      <c r="AC87" t="e">
        <f t="shared" si="37"/>
        <v>#NUM!</v>
      </c>
      <c r="AE87">
        <v>3.2153875902064446E-6</v>
      </c>
      <c r="AF87">
        <v>-59.999999999999922</v>
      </c>
      <c r="AH87" s="1">
        <v>81</v>
      </c>
      <c r="AI87" s="1">
        <f t="shared" ref="AI87:AJ150" si="38">U87</f>
        <v>0</v>
      </c>
      <c r="AJ87" s="1">
        <f t="shared" si="38"/>
        <v>0</v>
      </c>
      <c r="AK87" s="2">
        <f t="shared" ref="AK87:AL150" si="39">D87*180/3.1415926</f>
        <v>0</v>
      </c>
      <c r="AL87" s="2">
        <f t="shared" si="39"/>
        <v>0</v>
      </c>
      <c r="AY87">
        <v>70</v>
      </c>
      <c r="BL87">
        <v>-60</v>
      </c>
    </row>
    <row r="88" spans="2:65" x14ac:dyDescent="0.25">
      <c r="B88" t="e">
        <f t="shared" si="31"/>
        <v>#NUM!</v>
      </c>
      <c r="C88" t="e">
        <f t="shared" si="31"/>
        <v>#NUM!</v>
      </c>
      <c r="W88" t="e">
        <f t="shared" si="30"/>
        <v>#NUM!</v>
      </c>
      <c r="X88">
        <f t="shared" si="32"/>
        <v>61.570799515387513</v>
      </c>
      <c r="Y88">
        <f t="shared" si="33"/>
        <v>28</v>
      </c>
      <c r="Z88">
        <f t="shared" si="34"/>
        <v>-1.5707963267948966</v>
      </c>
      <c r="AA88" t="e">
        <f t="shared" si="35"/>
        <v>#NUM!</v>
      </c>
      <c r="AB88" t="e">
        <f t="shared" si="36"/>
        <v>#NUM!</v>
      </c>
      <c r="AC88" t="e">
        <f t="shared" si="37"/>
        <v>#NUM!</v>
      </c>
      <c r="AE88">
        <v>3.2153875902064446E-6</v>
      </c>
      <c r="AF88">
        <v>-59.999999999999922</v>
      </c>
      <c r="AH88" s="1">
        <v>82</v>
      </c>
      <c r="AI88" s="1">
        <f t="shared" si="38"/>
        <v>0</v>
      </c>
      <c r="AJ88" s="1">
        <f t="shared" si="38"/>
        <v>0</v>
      </c>
      <c r="AK88" s="2">
        <f t="shared" si="39"/>
        <v>0</v>
      </c>
      <c r="AL88" s="2">
        <f t="shared" si="39"/>
        <v>0</v>
      </c>
      <c r="AY88">
        <v>50.151091411687077</v>
      </c>
      <c r="BL88">
        <v>-53.1428265404505</v>
      </c>
    </row>
    <row r="89" spans="2:65" x14ac:dyDescent="0.25">
      <c r="B89" t="e">
        <f t="shared" si="31"/>
        <v>#NUM!</v>
      </c>
      <c r="C89" t="e">
        <f t="shared" si="31"/>
        <v>#NUM!</v>
      </c>
      <c r="W89" t="e">
        <f t="shared" si="30"/>
        <v>#NUM!</v>
      </c>
      <c r="X89">
        <f t="shared" si="32"/>
        <v>61.570799515387513</v>
      </c>
      <c r="Y89">
        <f t="shared" si="33"/>
        <v>28</v>
      </c>
      <c r="Z89">
        <f t="shared" si="34"/>
        <v>-1.5707963267948966</v>
      </c>
      <c r="AA89" t="e">
        <f t="shared" si="35"/>
        <v>#NUM!</v>
      </c>
      <c r="AB89" t="e">
        <f t="shared" si="36"/>
        <v>#NUM!</v>
      </c>
      <c r="AC89" t="e">
        <f t="shared" si="37"/>
        <v>#NUM!</v>
      </c>
      <c r="AE89">
        <v>3.2153875902064446E-6</v>
      </c>
      <c r="AF89">
        <v>-59.999999999999922</v>
      </c>
      <c r="AH89" s="1">
        <v>83</v>
      </c>
      <c r="AI89" s="1">
        <f t="shared" si="38"/>
        <v>0</v>
      </c>
      <c r="AJ89" s="1">
        <f t="shared" si="38"/>
        <v>0</v>
      </c>
      <c r="AK89" s="2">
        <f t="shared" si="39"/>
        <v>0</v>
      </c>
      <c r="AL89" s="2">
        <f t="shared" si="39"/>
        <v>0</v>
      </c>
      <c r="AY89">
        <v>39.083477722548608</v>
      </c>
      <c r="BL89">
        <v>10.907995604918501</v>
      </c>
    </row>
    <row r="90" spans="2:65" x14ac:dyDescent="0.25">
      <c r="B90" t="e">
        <f t="shared" si="31"/>
        <v>#NUM!</v>
      </c>
      <c r="C90" t="e">
        <f t="shared" si="31"/>
        <v>#NUM!</v>
      </c>
      <c r="W90" t="e">
        <f t="shared" si="30"/>
        <v>#NUM!</v>
      </c>
      <c r="X90">
        <f t="shared" si="32"/>
        <v>61.570799515387513</v>
      </c>
      <c r="Y90">
        <f t="shared" si="33"/>
        <v>28</v>
      </c>
      <c r="Z90">
        <f t="shared" si="34"/>
        <v>-1.5707963267948966</v>
      </c>
      <c r="AA90" t="e">
        <f t="shared" si="35"/>
        <v>#NUM!</v>
      </c>
      <c r="AB90" t="e">
        <f t="shared" si="36"/>
        <v>#NUM!</v>
      </c>
      <c r="AC90" t="e">
        <f t="shared" si="37"/>
        <v>#NUM!</v>
      </c>
      <c r="AE90">
        <v>3.2153875902064446E-6</v>
      </c>
      <c r="AF90">
        <v>-59.999999999999922</v>
      </c>
      <c r="AH90" s="1">
        <v>84</v>
      </c>
      <c r="AI90" s="1">
        <f t="shared" si="38"/>
        <v>0</v>
      </c>
      <c r="AJ90" s="1">
        <f t="shared" si="38"/>
        <v>0</v>
      </c>
      <c r="AK90" s="2">
        <f t="shared" si="39"/>
        <v>0</v>
      </c>
      <c r="AL90" s="2">
        <f t="shared" si="39"/>
        <v>0</v>
      </c>
      <c r="AY90">
        <v>9</v>
      </c>
      <c r="BL90">
        <v>0</v>
      </c>
    </row>
    <row r="91" spans="2:65" x14ac:dyDescent="0.25">
      <c r="B91" t="e">
        <f t="shared" si="31"/>
        <v>#NUM!</v>
      </c>
      <c r="C91" t="e">
        <f t="shared" si="31"/>
        <v>#NUM!</v>
      </c>
      <c r="W91" t="e">
        <f t="shared" si="30"/>
        <v>#NUM!</v>
      </c>
      <c r="X91">
        <f t="shared" si="32"/>
        <v>61.570799515387513</v>
      </c>
      <c r="Y91">
        <f t="shared" si="33"/>
        <v>28</v>
      </c>
      <c r="Z91">
        <f t="shared" si="34"/>
        <v>-1.5707963267948966</v>
      </c>
      <c r="AA91" t="e">
        <f t="shared" si="35"/>
        <v>#NUM!</v>
      </c>
      <c r="AB91" t="e">
        <f t="shared" si="36"/>
        <v>#NUM!</v>
      </c>
      <c r="AC91" t="e">
        <f t="shared" si="37"/>
        <v>#NUM!</v>
      </c>
      <c r="AE91">
        <v>3.2153875902064446E-6</v>
      </c>
      <c r="AF91">
        <v>-59.999999999999922</v>
      </c>
      <c r="AH91" s="1">
        <v>85</v>
      </c>
      <c r="AI91" s="1">
        <f t="shared" si="38"/>
        <v>0</v>
      </c>
      <c r="AJ91" s="1">
        <f t="shared" si="38"/>
        <v>0</v>
      </c>
      <c r="AK91" s="2">
        <f t="shared" si="39"/>
        <v>0</v>
      </c>
      <c r="AL91" s="2">
        <f t="shared" si="39"/>
        <v>0</v>
      </c>
      <c r="AY91">
        <v>-9</v>
      </c>
      <c r="BM91">
        <v>0</v>
      </c>
    </row>
    <row r="92" spans="2:65" x14ac:dyDescent="0.25">
      <c r="B92" t="e">
        <f t="shared" si="31"/>
        <v>#NUM!</v>
      </c>
      <c r="C92" t="e">
        <f t="shared" si="31"/>
        <v>#NUM!</v>
      </c>
      <c r="W92" t="e">
        <f t="shared" si="30"/>
        <v>#NUM!</v>
      </c>
      <c r="X92">
        <f t="shared" si="32"/>
        <v>61.570799515387513</v>
      </c>
      <c r="Y92">
        <f t="shared" si="33"/>
        <v>28</v>
      </c>
      <c r="Z92">
        <f t="shared" si="34"/>
        <v>-1.5707963267948966</v>
      </c>
      <c r="AA92" t="e">
        <f t="shared" si="35"/>
        <v>#NUM!</v>
      </c>
      <c r="AB92" t="e">
        <f t="shared" si="36"/>
        <v>#NUM!</v>
      </c>
      <c r="AC92" t="e">
        <f t="shared" si="37"/>
        <v>#NUM!</v>
      </c>
      <c r="AE92">
        <v>3.2153875902064446E-6</v>
      </c>
      <c r="AF92">
        <v>-59.999999999999922</v>
      </c>
      <c r="AH92" s="1">
        <v>86</v>
      </c>
      <c r="AI92" s="1">
        <f t="shared" si="38"/>
        <v>0</v>
      </c>
      <c r="AJ92" s="1">
        <f t="shared" si="38"/>
        <v>0</v>
      </c>
      <c r="AK92" s="2">
        <f t="shared" si="39"/>
        <v>0</v>
      </c>
      <c r="AL92" s="2">
        <f t="shared" si="39"/>
        <v>0</v>
      </c>
      <c r="AY92">
        <v>-35.05373744672503</v>
      </c>
      <c r="BM92">
        <v>18.579633071110901</v>
      </c>
    </row>
    <row r="93" spans="2:65" x14ac:dyDescent="0.25">
      <c r="B93" t="e">
        <f t="shared" si="31"/>
        <v>#NUM!</v>
      </c>
      <c r="C93" t="e">
        <f t="shared" si="31"/>
        <v>#NUM!</v>
      </c>
      <c r="W93" t="e">
        <f t="shared" si="30"/>
        <v>#NUM!</v>
      </c>
      <c r="X93">
        <f t="shared" si="32"/>
        <v>61.570799515387513</v>
      </c>
      <c r="Y93">
        <f t="shared" si="33"/>
        <v>28</v>
      </c>
      <c r="Z93">
        <f t="shared" si="34"/>
        <v>-1.5707963267948966</v>
      </c>
      <c r="AA93" t="e">
        <f t="shared" si="35"/>
        <v>#NUM!</v>
      </c>
      <c r="AB93" t="e">
        <f t="shared" si="36"/>
        <v>#NUM!</v>
      </c>
      <c r="AC93" t="e">
        <f t="shared" si="37"/>
        <v>#NUM!</v>
      </c>
      <c r="AE93">
        <v>3.2153875902064446E-6</v>
      </c>
      <c r="AF93">
        <v>-59.999999999999922</v>
      </c>
      <c r="AH93" s="1">
        <v>87</v>
      </c>
      <c r="AI93" s="1">
        <f t="shared" si="38"/>
        <v>0</v>
      </c>
      <c r="AJ93" s="1">
        <f t="shared" si="38"/>
        <v>0</v>
      </c>
      <c r="AK93" s="2">
        <f t="shared" si="39"/>
        <v>0</v>
      </c>
      <c r="AL93" s="2">
        <f t="shared" si="39"/>
        <v>0</v>
      </c>
      <c r="AY93">
        <v>-70</v>
      </c>
      <c r="BM93">
        <v>-60</v>
      </c>
    </row>
    <row r="94" spans="2:65" x14ac:dyDescent="0.25">
      <c r="B94" t="e">
        <f t="shared" si="31"/>
        <v>#NUM!</v>
      </c>
      <c r="C94" t="e">
        <f t="shared" si="31"/>
        <v>#NUM!</v>
      </c>
      <c r="W94" t="e">
        <f t="shared" si="30"/>
        <v>#NUM!</v>
      </c>
      <c r="X94">
        <f t="shared" si="32"/>
        <v>61.570799515387513</v>
      </c>
      <c r="Y94">
        <f t="shared" si="33"/>
        <v>28</v>
      </c>
      <c r="Z94">
        <f t="shared" si="34"/>
        <v>-1.5707963267948966</v>
      </c>
      <c r="AA94" t="e">
        <f t="shared" si="35"/>
        <v>#NUM!</v>
      </c>
      <c r="AB94" t="e">
        <f t="shared" si="36"/>
        <v>#NUM!</v>
      </c>
      <c r="AC94" t="e">
        <f t="shared" si="37"/>
        <v>#NUM!</v>
      </c>
      <c r="AE94">
        <v>3.2153875902064446E-6</v>
      </c>
      <c r="AF94">
        <v>-59.999999999999922</v>
      </c>
      <c r="AH94" s="1">
        <v>88</v>
      </c>
      <c r="AI94" s="1">
        <f t="shared" si="38"/>
        <v>0</v>
      </c>
      <c r="AJ94" s="1">
        <f t="shared" si="38"/>
        <v>0</v>
      </c>
      <c r="AK94" s="2">
        <f t="shared" si="39"/>
        <v>0</v>
      </c>
      <c r="AL94" s="2">
        <f t="shared" si="39"/>
        <v>0</v>
      </c>
      <c r="AY94">
        <v>-61.466610306763862</v>
      </c>
      <c r="BM94">
        <v>-40.811950064038697</v>
      </c>
    </row>
    <row r="95" spans="2:65" x14ac:dyDescent="0.25">
      <c r="B95" t="e">
        <f t="shared" si="31"/>
        <v>#NUM!</v>
      </c>
      <c r="C95" t="e">
        <f t="shared" si="31"/>
        <v>#NUM!</v>
      </c>
      <c r="W95" t="e">
        <f t="shared" si="30"/>
        <v>#NUM!</v>
      </c>
      <c r="X95">
        <f t="shared" si="32"/>
        <v>61.570799515387513</v>
      </c>
      <c r="Y95">
        <f t="shared" si="33"/>
        <v>28</v>
      </c>
      <c r="Z95">
        <f t="shared" si="34"/>
        <v>-1.5707963267948966</v>
      </c>
      <c r="AA95" t="e">
        <f t="shared" si="35"/>
        <v>#NUM!</v>
      </c>
      <c r="AB95" t="e">
        <f t="shared" si="36"/>
        <v>#NUM!</v>
      </c>
      <c r="AC95" t="e">
        <f t="shared" si="37"/>
        <v>#NUM!</v>
      </c>
      <c r="AE95">
        <v>3.2153875902064446E-6</v>
      </c>
      <c r="AF95">
        <v>-59.999999999999922</v>
      </c>
      <c r="AH95" s="1">
        <v>89</v>
      </c>
      <c r="AI95" s="1">
        <f t="shared" si="38"/>
        <v>0</v>
      </c>
      <c r="AJ95" s="1">
        <f t="shared" si="38"/>
        <v>0</v>
      </c>
      <c r="AK95" s="2">
        <f t="shared" si="39"/>
        <v>0</v>
      </c>
      <c r="AL95" s="2">
        <f t="shared" si="39"/>
        <v>0</v>
      </c>
      <c r="AY95">
        <v>2.8488307653754443</v>
      </c>
      <c r="BM95">
        <v>-31.403234181322901</v>
      </c>
    </row>
    <row r="96" spans="2:65" x14ac:dyDescent="0.25">
      <c r="B96" t="e">
        <f t="shared" si="31"/>
        <v>#NUM!</v>
      </c>
      <c r="C96" t="e">
        <f t="shared" si="31"/>
        <v>#NUM!</v>
      </c>
      <c r="W96" t="e">
        <f t="shared" si="30"/>
        <v>#NUM!</v>
      </c>
      <c r="X96">
        <f t="shared" si="32"/>
        <v>61.570799515387513</v>
      </c>
      <c r="Y96">
        <f t="shared" si="33"/>
        <v>28</v>
      </c>
      <c r="Z96">
        <f t="shared" si="34"/>
        <v>-1.5707963267948966</v>
      </c>
      <c r="AA96" t="e">
        <f t="shared" si="35"/>
        <v>#NUM!</v>
      </c>
      <c r="AB96" t="e">
        <f t="shared" si="36"/>
        <v>#NUM!</v>
      </c>
      <c r="AC96" t="e">
        <f t="shared" si="37"/>
        <v>#NUM!</v>
      </c>
      <c r="AE96">
        <v>3.2153875902064446E-6</v>
      </c>
      <c r="AF96">
        <v>-59.999999999999922</v>
      </c>
      <c r="AH96" s="1">
        <v>90</v>
      </c>
      <c r="AI96" s="1">
        <f t="shared" si="38"/>
        <v>0</v>
      </c>
      <c r="AJ96" s="1">
        <f t="shared" si="38"/>
        <v>0</v>
      </c>
      <c r="AK96" s="2">
        <f t="shared" si="39"/>
        <v>0</v>
      </c>
      <c r="AL96" s="2">
        <f t="shared" si="39"/>
        <v>0</v>
      </c>
      <c r="AY96">
        <v>9</v>
      </c>
      <c r="BM96">
        <v>0</v>
      </c>
    </row>
    <row r="97" spans="2:66" x14ac:dyDescent="0.25">
      <c r="B97" t="e">
        <f t="shared" si="31"/>
        <v>#NUM!</v>
      </c>
      <c r="C97" t="e">
        <f t="shared" si="31"/>
        <v>#NUM!</v>
      </c>
      <c r="W97" t="e">
        <f t="shared" si="30"/>
        <v>#NUM!</v>
      </c>
      <c r="X97">
        <f t="shared" si="32"/>
        <v>61.570799515387513</v>
      </c>
      <c r="Y97">
        <f t="shared" si="33"/>
        <v>28</v>
      </c>
      <c r="Z97">
        <f t="shared" si="34"/>
        <v>-1.5707963267948966</v>
      </c>
      <c r="AA97" t="e">
        <f t="shared" si="35"/>
        <v>#NUM!</v>
      </c>
      <c r="AB97" t="e">
        <f t="shared" si="36"/>
        <v>#NUM!</v>
      </c>
      <c r="AC97" t="e">
        <f t="shared" si="37"/>
        <v>#NUM!</v>
      </c>
      <c r="AE97">
        <v>3.2153875902064446E-6</v>
      </c>
      <c r="AF97">
        <v>-59.999999999999922</v>
      </c>
      <c r="AH97" s="1">
        <v>91</v>
      </c>
      <c r="AI97" s="1">
        <f t="shared" si="38"/>
        <v>0</v>
      </c>
      <c r="AJ97" s="1">
        <f t="shared" si="38"/>
        <v>0</v>
      </c>
      <c r="AK97" s="2">
        <f t="shared" si="39"/>
        <v>0</v>
      </c>
      <c r="AL97" s="2">
        <f t="shared" si="39"/>
        <v>0</v>
      </c>
      <c r="AY97">
        <v>109</v>
      </c>
      <c r="BN97">
        <v>0</v>
      </c>
    </row>
    <row r="98" spans="2:66" x14ac:dyDescent="0.25">
      <c r="B98" t="e">
        <f t="shared" si="31"/>
        <v>#NUM!</v>
      </c>
      <c r="C98" t="e">
        <f t="shared" si="31"/>
        <v>#NUM!</v>
      </c>
      <c r="W98" t="e">
        <f t="shared" si="30"/>
        <v>#NUM!</v>
      </c>
      <c r="X98">
        <f t="shared" si="32"/>
        <v>61.570799515387513</v>
      </c>
      <c r="Y98">
        <f t="shared" si="33"/>
        <v>28</v>
      </c>
      <c r="Z98">
        <f t="shared" si="34"/>
        <v>-1.5707963267948966</v>
      </c>
      <c r="AA98" t="e">
        <f t="shared" si="35"/>
        <v>#NUM!</v>
      </c>
      <c r="AB98" t="e">
        <f t="shared" si="36"/>
        <v>#NUM!</v>
      </c>
      <c r="AC98" t="e">
        <f t="shared" si="37"/>
        <v>#NUM!</v>
      </c>
      <c r="AE98">
        <v>3.2153875902064446E-6</v>
      </c>
      <c r="AF98">
        <v>-59.999999999999922</v>
      </c>
      <c r="AH98" s="1">
        <v>92</v>
      </c>
      <c r="AI98" s="1">
        <f t="shared" si="38"/>
        <v>0</v>
      </c>
      <c r="AJ98" s="1">
        <f t="shared" si="38"/>
        <v>0</v>
      </c>
      <c r="AK98" s="2">
        <f t="shared" si="39"/>
        <v>0</v>
      </c>
      <c r="AL98" s="2">
        <f t="shared" si="39"/>
        <v>0</v>
      </c>
      <c r="AY98">
        <v>108.96332347734752</v>
      </c>
      <c r="BN98">
        <v>-2.94182157492093</v>
      </c>
    </row>
    <row r="99" spans="2:66" x14ac:dyDescent="0.25">
      <c r="B99" t="e">
        <f t="shared" si="31"/>
        <v>#NUM!</v>
      </c>
      <c r="C99" t="e">
        <f t="shared" si="31"/>
        <v>#NUM!</v>
      </c>
      <c r="W99" t="e">
        <f t="shared" si="30"/>
        <v>#NUM!</v>
      </c>
      <c r="X99">
        <f t="shared" si="32"/>
        <v>61.570799515387513</v>
      </c>
      <c r="Y99">
        <f t="shared" si="33"/>
        <v>28</v>
      </c>
      <c r="Z99">
        <f t="shared" si="34"/>
        <v>-1.5707963267948966</v>
      </c>
      <c r="AA99" t="e">
        <f t="shared" si="35"/>
        <v>#NUM!</v>
      </c>
      <c r="AB99" t="e">
        <f t="shared" si="36"/>
        <v>#NUM!</v>
      </c>
      <c r="AC99" t="e">
        <f t="shared" si="37"/>
        <v>#NUM!</v>
      </c>
      <c r="AE99">
        <v>3.2153875902064446E-6</v>
      </c>
      <c r="AF99">
        <v>-59.999999999999922</v>
      </c>
      <c r="AH99" s="1">
        <v>93</v>
      </c>
      <c r="AI99" s="1">
        <f t="shared" si="38"/>
        <v>0</v>
      </c>
      <c r="AJ99" s="1">
        <f t="shared" si="38"/>
        <v>0</v>
      </c>
      <c r="AK99" s="2">
        <f t="shared" si="39"/>
        <v>0</v>
      </c>
      <c r="AL99" s="2">
        <f t="shared" si="39"/>
        <v>0</v>
      </c>
      <c r="AY99">
        <v>108.8533167088361</v>
      </c>
      <c r="BN99">
        <v>-5.8818144077124996</v>
      </c>
    </row>
    <row r="100" spans="2:66" x14ac:dyDescent="0.25">
      <c r="B100" t="e">
        <f t="shared" si="31"/>
        <v>#NUM!</v>
      </c>
      <c r="C100" t="e">
        <f t="shared" si="31"/>
        <v>#NUM!</v>
      </c>
      <c r="W100" t="e">
        <f t="shared" si="30"/>
        <v>#NUM!</v>
      </c>
      <c r="X100">
        <f t="shared" si="32"/>
        <v>61.570799515387513</v>
      </c>
      <c r="Y100">
        <f t="shared" si="33"/>
        <v>28</v>
      </c>
      <c r="Z100">
        <f t="shared" si="34"/>
        <v>-1.5707963267948966</v>
      </c>
      <c r="AA100" t="e">
        <f t="shared" si="35"/>
        <v>#NUM!</v>
      </c>
      <c r="AB100" t="e">
        <f t="shared" si="36"/>
        <v>#NUM!</v>
      </c>
      <c r="AC100" t="e">
        <f t="shared" si="37"/>
        <v>#NUM!</v>
      </c>
      <c r="AE100">
        <v>3.2153875902064446E-6</v>
      </c>
      <c r="AF100">
        <v>-59.999999999999922</v>
      </c>
      <c r="AH100" s="1">
        <v>94</v>
      </c>
      <c r="AI100" s="1">
        <f t="shared" si="38"/>
        <v>0</v>
      </c>
      <c r="AJ100" s="1">
        <f t="shared" si="38"/>
        <v>0</v>
      </c>
      <c r="AK100" s="2">
        <f t="shared" si="39"/>
        <v>0</v>
      </c>
      <c r="AL100" s="2">
        <f t="shared" si="39"/>
        <v>0</v>
      </c>
      <c r="AY100">
        <v>108.67004807863076</v>
      </c>
      <c r="BN100">
        <v>-8.8181508930572594</v>
      </c>
    </row>
    <row r="101" spans="2:66" x14ac:dyDescent="0.25">
      <c r="B101" t="e">
        <f t="shared" si="31"/>
        <v>#NUM!</v>
      </c>
      <c r="C101" t="e">
        <f t="shared" si="31"/>
        <v>#NUM!</v>
      </c>
      <c r="W101" t="e">
        <f t="shared" si="30"/>
        <v>#NUM!</v>
      </c>
      <c r="X101">
        <f t="shared" si="32"/>
        <v>61.570799515387513</v>
      </c>
      <c r="Y101">
        <f t="shared" si="33"/>
        <v>28</v>
      </c>
      <c r="Z101">
        <f t="shared" si="34"/>
        <v>-1.5707963267948966</v>
      </c>
      <c r="AA101" t="e">
        <f t="shared" si="35"/>
        <v>#NUM!</v>
      </c>
      <c r="AB101" t="e">
        <f t="shared" si="36"/>
        <v>#NUM!</v>
      </c>
      <c r="AC101" t="e">
        <f t="shared" si="37"/>
        <v>#NUM!</v>
      </c>
      <c r="AE101">
        <v>3.2153875902064446E-6</v>
      </c>
      <c r="AF101">
        <v>-59.999999999999922</v>
      </c>
      <c r="AH101" s="1">
        <v>95</v>
      </c>
      <c r="AI101" s="1">
        <f t="shared" si="38"/>
        <v>0</v>
      </c>
      <c r="AJ101" s="1">
        <f t="shared" si="38"/>
        <v>0</v>
      </c>
      <c r="AK101" s="2">
        <f t="shared" si="39"/>
        <v>0</v>
      </c>
      <c r="AL101" s="2">
        <f t="shared" si="39"/>
        <v>0</v>
      </c>
      <c r="AY101">
        <v>108.41363151310553</v>
      </c>
      <c r="BN101">
        <v>-11.7490056985549</v>
      </c>
    </row>
    <row r="102" spans="2:66" x14ac:dyDescent="0.25">
      <c r="B102" t="e">
        <f t="shared" si="31"/>
        <v>#NUM!</v>
      </c>
      <c r="C102" t="e">
        <f t="shared" si="31"/>
        <v>#NUM!</v>
      </c>
      <c r="W102" t="e">
        <f t="shared" si="30"/>
        <v>#NUM!</v>
      </c>
      <c r="X102">
        <f t="shared" si="32"/>
        <v>61.570799515387513</v>
      </c>
      <c r="Y102">
        <f t="shared" si="33"/>
        <v>28</v>
      </c>
      <c r="Z102">
        <f t="shared" si="34"/>
        <v>-1.5707963267948966</v>
      </c>
      <c r="AA102" t="e">
        <f t="shared" si="35"/>
        <v>#NUM!</v>
      </c>
      <c r="AB102" t="e">
        <f t="shared" si="36"/>
        <v>#NUM!</v>
      </c>
      <c r="AC102" t="e">
        <f t="shared" si="37"/>
        <v>#NUM!</v>
      </c>
      <c r="AE102">
        <v>3.2153875902064446E-6</v>
      </c>
      <c r="AF102">
        <v>-59.999999999999922</v>
      </c>
      <c r="AH102" s="1">
        <v>96</v>
      </c>
      <c r="AI102" s="1">
        <f t="shared" si="38"/>
        <v>0</v>
      </c>
      <c r="AJ102" s="1">
        <f t="shared" si="38"/>
        <v>0</v>
      </c>
      <c r="AK102" s="2">
        <f t="shared" si="39"/>
        <v>0</v>
      </c>
      <c r="AL102" s="2">
        <f t="shared" si="39"/>
        <v>0</v>
      </c>
      <c r="AY102">
        <v>108.08422641002265</v>
      </c>
      <c r="BN102">
        <v>-14.672556899414399</v>
      </c>
    </row>
    <row r="103" spans="2:66" x14ac:dyDescent="0.25">
      <c r="B103" t="e">
        <f t="shared" si="31"/>
        <v>#NUM!</v>
      </c>
      <c r="C103" t="e">
        <f t="shared" si="31"/>
        <v>#NUM!</v>
      </c>
      <c r="W103" t="e">
        <f t="shared" si="30"/>
        <v>#NUM!</v>
      </c>
      <c r="X103">
        <f t="shared" si="32"/>
        <v>61.570799515387513</v>
      </c>
      <c r="Y103">
        <f t="shared" si="33"/>
        <v>28</v>
      </c>
      <c r="Z103">
        <f t="shared" si="34"/>
        <v>-1.5707963267948966</v>
      </c>
      <c r="AA103" t="e">
        <f t="shared" si="35"/>
        <v>#NUM!</v>
      </c>
      <c r="AB103" t="e">
        <f t="shared" si="36"/>
        <v>#NUM!</v>
      </c>
      <c r="AC103" t="e">
        <f t="shared" si="37"/>
        <v>#NUM!</v>
      </c>
      <c r="AE103">
        <v>3.2153875902064446E-6</v>
      </c>
      <c r="AF103">
        <v>-59.999999999999922</v>
      </c>
      <c r="AH103" s="1">
        <v>97</v>
      </c>
      <c r="AI103" s="1">
        <f t="shared" si="38"/>
        <v>0</v>
      </c>
      <c r="AJ103" s="1">
        <f t="shared" si="38"/>
        <v>0</v>
      </c>
      <c r="AK103" s="2">
        <f t="shared" si="39"/>
        <v>0</v>
      </c>
      <c r="AL103" s="2">
        <f t="shared" si="39"/>
        <v>0</v>
      </c>
      <c r="AY103">
        <v>107.6820375394453</v>
      </c>
      <c r="BN103">
        <v>-17.5869871110283</v>
      </c>
    </row>
    <row r="104" spans="2:66" x14ac:dyDescent="0.25">
      <c r="B104" t="e">
        <f t="shared" si="31"/>
        <v>#NUM!</v>
      </c>
      <c r="C104" t="e">
        <f t="shared" si="31"/>
        <v>#NUM!</v>
      </c>
      <c r="W104" t="e">
        <f t="shared" si="30"/>
        <v>#NUM!</v>
      </c>
      <c r="X104">
        <f t="shared" si="32"/>
        <v>61.570799515387513</v>
      </c>
      <c r="Y104">
        <f t="shared" si="33"/>
        <v>28</v>
      </c>
      <c r="Z104">
        <f t="shared" si="34"/>
        <v>-1.5707963267948966</v>
      </c>
      <c r="AA104" t="e">
        <f t="shared" si="35"/>
        <v>#NUM!</v>
      </c>
      <c r="AB104" t="e">
        <f t="shared" si="36"/>
        <v>#NUM!</v>
      </c>
      <c r="AC104" t="e">
        <f t="shared" si="37"/>
        <v>#NUM!</v>
      </c>
      <c r="AE104">
        <v>3.2153875902064446E-6</v>
      </c>
      <c r="AF104">
        <v>-59.999999999999922</v>
      </c>
      <c r="AH104" s="1">
        <v>98</v>
      </c>
      <c r="AI104" s="1">
        <f t="shared" si="38"/>
        <v>0</v>
      </c>
      <c r="AJ104" s="1">
        <f t="shared" si="38"/>
        <v>0</v>
      </c>
      <c r="AK104" s="2">
        <f t="shared" si="39"/>
        <v>0</v>
      </c>
      <c r="AL104" s="2">
        <f t="shared" si="39"/>
        <v>0</v>
      </c>
      <c r="AY104">
        <v>107.20731491644504</v>
      </c>
      <c r="BN104">
        <v>-20.4904846187241</v>
      </c>
    </row>
    <row r="105" spans="2:66" x14ac:dyDescent="0.25">
      <c r="B105" t="e">
        <f t="shared" si="31"/>
        <v>#NUM!</v>
      </c>
      <c r="C105" t="e">
        <f t="shared" si="31"/>
        <v>#NUM!</v>
      </c>
      <c r="W105" t="e">
        <f t="shared" si="30"/>
        <v>#NUM!</v>
      </c>
      <c r="X105">
        <f t="shared" si="32"/>
        <v>61.570799515387513</v>
      </c>
      <c r="Y105">
        <f t="shared" si="33"/>
        <v>28</v>
      </c>
      <c r="Z105">
        <f t="shared" si="34"/>
        <v>-1.5707963267948966</v>
      </c>
      <c r="AA105" t="e">
        <f t="shared" si="35"/>
        <v>#NUM!</v>
      </c>
      <c r="AB105" t="e">
        <f t="shared" si="36"/>
        <v>#NUM!</v>
      </c>
      <c r="AC105" t="e">
        <f t="shared" si="37"/>
        <v>#NUM!</v>
      </c>
      <c r="AE105">
        <v>3.2153875902064446E-6</v>
      </c>
      <c r="AF105">
        <v>-59.999999999999922</v>
      </c>
      <c r="AH105" s="1">
        <v>99</v>
      </c>
      <c r="AI105" s="1">
        <f t="shared" si="38"/>
        <v>0</v>
      </c>
      <c r="AJ105" s="1">
        <f t="shared" si="38"/>
        <v>0</v>
      </c>
      <c r="AK105" s="2">
        <f t="shared" si="39"/>
        <v>0</v>
      </c>
      <c r="AL105" s="2">
        <f t="shared" si="39"/>
        <v>0</v>
      </c>
      <c r="AY105">
        <v>106.66035364568347</v>
      </c>
      <c r="BN105">
        <v>-23.3812445039915</v>
      </c>
    </row>
    <row r="106" spans="2:66" x14ac:dyDescent="0.25">
      <c r="B106" t="e">
        <f t="shared" si="31"/>
        <v>#NUM!</v>
      </c>
      <c r="C106" t="e">
        <f t="shared" si="31"/>
        <v>#NUM!</v>
      </c>
      <c r="W106" t="e">
        <f t="shared" si="30"/>
        <v>#NUM!</v>
      </c>
      <c r="X106">
        <f t="shared" si="32"/>
        <v>61.570799515387513</v>
      </c>
      <c r="Y106">
        <f t="shared" si="33"/>
        <v>28</v>
      </c>
      <c r="Z106">
        <f t="shared" si="34"/>
        <v>-1.5707963267948966</v>
      </c>
      <c r="AA106" t="e">
        <f t="shared" si="35"/>
        <v>#NUM!</v>
      </c>
      <c r="AB106" t="e">
        <f t="shared" si="36"/>
        <v>#NUM!</v>
      </c>
      <c r="AC106" t="e">
        <f t="shared" si="37"/>
        <v>#NUM!</v>
      </c>
      <c r="AE106">
        <v>3.2153875902064446E-6</v>
      </c>
      <c r="AF106">
        <v>-59.999999999999922</v>
      </c>
      <c r="AH106" s="1">
        <v>100</v>
      </c>
      <c r="AI106" s="1">
        <f t="shared" si="38"/>
        <v>0</v>
      </c>
      <c r="AJ106" s="1">
        <f t="shared" si="38"/>
        <v>0</v>
      </c>
      <c r="AK106" s="2">
        <f t="shared" si="39"/>
        <v>0</v>
      </c>
      <c r="AL106" s="2">
        <f t="shared" si="39"/>
        <v>0</v>
      </c>
      <c r="AY106">
        <v>106.04149373796464</v>
      </c>
      <c r="BN106">
        <v>-26.257469766484402</v>
      </c>
    </row>
    <row r="107" spans="2:66" x14ac:dyDescent="0.25">
      <c r="B107" t="e">
        <f t="shared" si="31"/>
        <v>#NUM!</v>
      </c>
      <c r="C107" t="e">
        <f t="shared" si="31"/>
        <v>#NUM!</v>
      </c>
      <c r="W107" t="e">
        <f t="shared" si="30"/>
        <v>#NUM!</v>
      </c>
      <c r="X107">
        <f t="shared" si="32"/>
        <v>61.570799515387513</v>
      </c>
      <c r="Y107">
        <f t="shared" si="33"/>
        <v>28</v>
      </c>
      <c r="Z107">
        <f t="shared" si="34"/>
        <v>-1.5707963267948966</v>
      </c>
      <c r="AA107" t="e">
        <f t="shared" si="35"/>
        <v>#NUM!</v>
      </c>
      <c r="AB107" t="e">
        <f t="shared" si="36"/>
        <v>#NUM!</v>
      </c>
      <c r="AC107" t="e">
        <f t="shared" si="37"/>
        <v>#NUM!</v>
      </c>
      <c r="AE107">
        <v>3.2153875902064446E-6</v>
      </c>
      <c r="AF107">
        <v>-59.999999999999922</v>
      </c>
      <c r="AH107" s="1">
        <v>101</v>
      </c>
      <c r="AI107" s="1">
        <f t="shared" si="38"/>
        <v>0</v>
      </c>
      <c r="AJ107" s="1">
        <f t="shared" si="38"/>
        <v>0</v>
      </c>
      <c r="AK107" s="2">
        <f t="shared" si="39"/>
        <v>0</v>
      </c>
      <c r="AL107" s="2">
        <f t="shared" si="39"/>
        <v>0</v>
      </c>
      <c r="AY107">
        <v>105.351119898872</v>
      </c>
      <c r="BN107">
        <v>-29.1173724411012</v>
      </c>
    </row>
    <row r="108" spans="2:66" x14ac:dyDescent="0.25">
      <c r="B108" t="e">
        <f t="shared" si="31"/>
        <v>#NUM!</v>
      </c>
      <c r="C108" t="e">
        <f t="shared" si="31"/>
        <v>#NUM!</v>
      </c>
      <c r="W108" t="e">
        <f t="shared" si="30"/>
        <v>#NUM!</v>
      </c>
      <c r="X108">
        <f t="shared" si="32"/>
        <v>61.570799515387513</v>
      </c>
      <c r="Y108">
        <f t="shared" si="33"/>
        <v>28</v>
      </c>
      <c r="Z108">
        <f t="shared" si="34"/>
        <v>-1.5707963267948966</v>
      </c>
      <c r="AA108" t="e">
        <f t="shared" si="35"/>
        <v>#NUM!</v>
      </c>
      <c r="AB108" t="e">
        <f t="shared" si="36"/>
        <v>#NUM!</v>
      </c>
      <c r="AC108" t="e">
        <f t="shared" si="37"/>
        <v>#NUM!</v>
      </c>
      <c r="AE108">
        <v>3.2153875902064446E-6</v>
      </c>
      <c r="AF108">
        <v>-59.999999999999922</v>
      </c>
      <c r="AH108" s="1">
        <v>102</v>
      </c>
      <c r="AI108" s="1">
        <f t="shared" si="38"/>
        <v>0</v>
      </c>
      <c r="AJ108" s="1">
        <f t="shared" si="38"/>
        <v>0</v>
      </c>
      <c r="AK108" s="2">
        <f t="shared" si="39"/>
        <v>0</v>
      </c>
      <c r="AL108" s="2">
        <f t="shared" si="39"/>
        <v>0</v>
      </c>
      <c r="AY108">
        <v>104.58966128962159</v>
      </c>
      <c r="BN108">
        <v>-31.959174709448298</v>
      </c>
    </row>
    <row r="109" spans="2:66" x14ac:dyDescent="0.25">
      <c r="B109" t="e">
        <f t="shared" si="31"/>
        <v>#NUM!</v>
      </c>
      <c r="C109" t="e">
        <f t="shared" si="31"/>
        <v>#NUM!</v>
      </c>
      <c r="W109" t="e">
        <f t="shared" si="30"/>
        <v>#NUM!</v>
      </c>
      <c r="X109">
        <f t="shared" si="32"/>
        <v>61.570799515387513</v>
      </c>
      <c r="Y109">
        <f t="shared" si="33"/>
        <v>28</v>
      </c>
      <c r="Z109">
        <f t="shared" si="34"/>
        <v>-1.5707963267948966</v>
      </c>
      <c r="AA109" t="e">
        <f t="shared" si="35"/>
        <v>#NUM!</v>
      </c>
      <c r="AB109" t="e">
        <f t="shared" si="36"/>
        <v>#NUM!</v>
      </c>
      <c r="AC109" t="e">
        <f t="shared" si="37"/>
        <v>#NUM!</v>
      </c>
      <c r="AE109">
        <v>3.2153875902064446E-6</v>
      </c>
      <c r="AF109">
        <v>-59.999999999999922</v>
      </c>
      <c r="AH109" s="1">
        <v>103</v>
      </c>
      <c r="AI109" s="1">
        <f t="shared" si="38"/>
        <v>0</v>
      </c>
      <c r="AJ109" s="1">
        <f t="shared" si="38"/>
        <v>0</v>
      </c>
      <c r="AK109" s="2">
        <f t="shared" si="39"/>
        <v>0</v>
      </c>
      <c r="AL109" s="2">
        <f t="shared" si="39"/>
        <v>0</v>
      </c>
      <c r="AY109">
        <v>103.75759126028008</v>
      </c>
      <c r="BN109">
        <v>-34.781110004995703</v>
      </c>
    </row>
    <row r="110" spans="2:66" x14ac:dyDescent="0.25">
      <c r="B110" t="e">
        <f t="shared" si="31"/>
        <v>#NUM!</v>
      </c>
      <c r="C110" t="e">
        <f t="shared" si="31"/>
        <v>#NUM!</v>
      </c>
      <c r="W110" t="e">
        <f t="shared" si="30"/>
        <v>#NUM!</v>
      </c>
      <c r="X110">
        <f t="shared" si="32"/>
        <v>61.570799515387513</v>
      </c>
      <c r="Y110">
        <f t="shared" si="33"/>
        <v>28</v>
      </c>
      <c r="Z110">
        <f t="shared" si="34"/>
        <v>-1.5707963267948966</v>
      </c>
      <c r="AA110" t="e">
        <f t="shared" si="35"/>
        <v>#NUM!</v>
      </c>
      <c r="AB110" t="e">
        <f t="shared" si="36"/>
        <v>#NUM!</v>
      </c>
      <c r="AC110" t="e">
        <f t="shared" si="37"/>
        <v>#NUM!</v>
      </c>
      <c r="AE110">
        <v>3.2153875902064446E-6</v>
      </c>
      <c r="AF110">
        <v>-59.999999999999922</v>
      </c>
      <c r="AH110" s="1">
        <v>104</v>
      </c>
      <c r="AI110" s="1">
        <f t="shared" si="38"/>
        <v>0</v>
      </c>
      <c r="AJ110" s="1">
        <f t="shared" si="38"/>
        <v>0</v>
      </c>
      <c r="AK110" s="2">
        <f t="shared" si="39"/>
        <v>0</v>
      </c>
      <c r="AL110" s="2">
        <f t="shared" si="39"/>
        <v>0</v>
      </c>
      <c r="AY110">
        <v>102.85542705551322</v>
      </c>
      <c r="BN110">
        <v>-37.581424111238299</v>
      </c>
    </row>
    <row r="111" spans="2:66" x14ac:dyDescent="0.25">
      <c r="B111" t="e">
        <f t="shared" si="31"/>
        <v>#NUM!</v>
      </c>
      <c r="C111" t="e">
        <f t="shared" si="31"/>
        <v>#NUM!</v>
      </c>
      <c r="W111" t="e">
        <f t="shared" si="30"/>
        <v>#NUM!</v>
      </c>
      <c r="X111">
        <f t="shared" si="32"/>
        <v>61.570799515387513</v>
      </c>
      <c r="Y111">
        <f t="shared" si="33"/>
        <v>28</v>
      </c>
      <c r="Z111">
        <f t="shared" si="34"/>
        <v>-1.5707963267948966</v>
      </c>
      <c r="AA111" t="e">
        <f t="shared" si="35"/>
        <v>#NUM!</v>
      </c>
      <c r="AB111" t="e">
        <f t="shared" si="36"/>
        <v>#NUM!</v>
      </c>
      <c r="AC111" t="e">
        <f t="shared" si="37"/>
        <v>#NUM!</v>
      </c>
      <c r="AE111">
        <v>3.2153875902064446E-6</v>
      </c>
      <c r="AF111">
        <v>-59.999999999999922</v>
      </c>
      <c r="AH111" s="1">
        <v>105</v>
      </c>
      <c r="AI111" s="1">
        <f t="shared" si="38"/>
        <v>0</v>
      </c>
      <c r="AJ111" s="1">
        <f t="shared" si="38"/>
        <v>0</v>
      </c>
      <c r="AK111" s="2">
        <f t="shared" si="39"/>
        <v>0</v>
      </c>
      <c r="AL111" s="2">
        <f t="shared" si="39"/>
        <v>0</v>
      </c>
      <c r="AY111">
        <v>101.88372949304798</v>
      </c>
      <c r="BN111">
        <v>-40.358376252180449</v>
      </c>
    </row>
    <row r="112" spans="2:66" x14ac:dyDescent="0.25">
      <c r="B112" t="e">
        <f t="shared" si="31"/>
        <v>#NUM!</v>
      </c>
      <c r="C112" t="e">
        <f t="shared" si="31"/>
        <v>#NUM!</v>
      </c>
      <c r="W112" t="e">
        <f t="shared" si="30"/>
        <v>#NUM!</v>
      </c>
      <c r="X112">
        <f t="shared" si="32"/>
        <v>61.570799515387513</v>
      </c>
      <c r="Y112">
        <f t="shared" si="33"/>
        <v>28</v>
      </c>
      <c r="Z112">
        <f t="shared" si="34"/>
        <v>-1.5707963267948966</v>
      </c>
      <c r="AA112" t="e">
        <f t="shared" si="35"/>
        <v>#NUM!</v>
      </c>
      <c r="AB112" t="e">
        <f t="shared" si="36"/>
        <v>#NUM!</v>
      </c>
      <c r="AC112" t="e">
        <f t="shared" si="37"/>
        <v>#NUM!</v>
      </c>
      <c r="AE112">
        <v>3.2153875902064446E-6</v>
      </c>
      <c r="AF112">
        <v>-59.999999999999922</v>
      </c>
      <c r="AH112" s="1">
        <v>106</v>
      </c>
      <c r="AI112" s="1">
        <f t="shared" si="38"/>
        <v>0</v>
      </c>
      <c r="AJ112" s="1">
        <f t="shared" si="38"/>
        <v>0</v>
      </c>
      <c r="AK112" s="2">
        <f t="shared" si="39"/>
        <v>0</v>
      </c>
      <c r="AL112" s="2">
        <f t="shared" si="39"/>
        <v>0</v>
      </c>
      <c r="AY112">
        <v>100.84310261504811</v>
      </c>
      <c r="BN112">
        <v>-43.110240174464472</v>
      </c>
    </row>
    <row r="113" spans="2:66" x14ac:dyDescent="0.25">
      <c r="B113" t="e">
        <f t="shared" si="31"/>
        <v>#NUM!</v>
      </c>
      <c r="C113" t="e">
        <f t="shared" si="31"/>
        <v>#NUM!</v>
      </c>
      <c r="W113" t="e">
        <f t="shared" si="30"/>
        <v>#NUM!</v>
      </c>
      <c r="X113">
        <f t="shared" si="32"/>
        <v>61.570799515387513</v>
      </c>
      <c r="Y113">
        <f t="shared" si="33"/>
        <v>28</v>
      </c>
      <c r="Z113">
        <f t="shared" si="34"/>
        <v>-1.5707963267948966</v>
      </c>
      <c r="AA113" t="e">
        <f t="shared" si="35"/>
        <v>#NUM!</v>
      </c>
      <c r="AB113" t="e">
        <f t="shared" si="36"/>
        <v>#NUM!</v>
      </c>
      <c r="AC113" t="e">
        <f t="shared" si="37"/>
        <v>#NUM!</v>
      </c>
      <c r="AE113">
        <v>3.2153875902064446E-6</v>
      </c>
      <c r="AF113">
        <v>-59.999999999999922</v>
      </c>
      <c r="AH113" s="1">
        <v>107</v>
      </c>
      <c r="AI113" s="1">
        <f t="shared" si="38"/>
        <v>0</v>
      </c>
      <c r="AJ113" s="1">
        <f t="shared" si="38"/>
        <v>0</v>
      </c>
      <c r="AK113" s="2">
        <f t="shared" si="39"/>
        <v>0</v>
      </c>
      <c r="AL113" s="2">
        <f t="shared" si="39"/>
        <v>0</v>
      </c>
      <c r="AY113">
        <v>99.734193312619794</v>
      </c>
      <c r="BN113">
        <v>-45.835305220472016</v>
      </c>
    </row>
    <row r="114" spans="2:66" x14ac:dyDescent="0.25">
      <c r="B114" t="e">
        <f t="shared" si="31"/>
        <v>#NUM!</v>
      </c>
      <c r="C114" t="e">
        <f t="shared" si="31"/>
        <v>#NUM!</v>
      </c>
      <c r="W114" t="e">
        <f t="shared" si="30"/>
        <v>#NUM!</v>
      </c>
      <c r="X114">
        <f t="shared" si="32"/>
        <v>61.570799515387513</v>
      </c>
      <c r="Y114">
        <f t="shared" si="33"/>
        <v>28</v>
      </c>
      <c r="Z114">
        <f t="shared" si="34"/>
        <v>-1.5707963267948966</v>
      </c>
      <c r="AA114" t="e">
        <f t="shared" si="35"/>
        <v>#NUM!</v>
      </c>
      <c r="AB114" t="e">
        <f t="shared" si="36"/>
        <v>#NUM!</v>
      </c>
      <c r="AC114" t="e">
        <f t="shared" si="37"/>
        <v>#NUM!</v>
      </c>
      <c r="AE114">
        <v>3.2153875902064446E-6</v>
      </c>
      <c r="AF114">
        <v>-59.999999999999922</v>
      </c>
      <c r="AH114" s="1">
        <v>108</v>
      </c>
      <c r="AI114" s="1">
        <f t="shared" si="38"/>
        <v>0</v>
      </c>
      <c r="AJ114" s="1">
        <f t="shared" si="38"/>
        <v>0</v>
      </c>
      <c r="AK114" s="2">
        <f t="shared" si="39"/>
        <v>0</v>
      </c>
      <c r="AL114" s="2">
        <f t="shared" si="39"/>
        <v>0</v>
      </c>
      <c r="AY114">
        <v>98.557690923680809</v>
      </c>
      <c r="BN114">
        <v>-48.531877391730376</v>
      </c>
    </row>
    <row r="115" spans="2:66" x14ac:dyDescent="0.25">
      <c r="B115" t="e">
        <f t="shared" si="31"/>
        <v>#NUM!</v>
      </c>
      <c r="C115" t="e">
        <f t="shared" si="31"/>
        <v>#NUM!</v>
      </c>
      <c r="W115" t="e">
        <f t="shared" si="30"/>
        <v>#NUM!</v>
      </c>
      <c r="X115">
        <f t="shared" si="32"/>
        <v>61.570799515387513</v>
      </c>
      <c r="Y115">
        <f t="shared" si="33"/>
        <v>28</v>
      </c>
      <c r="Z115">
        <f t="shared" si="34"/>
        <v>-1.5707963267948966</v>
      </c>
      <c r="AA115" t="e">
        <f t="shared" si="35"/>
        <v>#NUM!</v>
      </c>
      <c r="AB115" t="e">
        <f t="shared" si="36"/>
        <v>#NUM!</v>
      </c>
      <c r="AC115" t="e">
        <f t="shared" si="37"/>
        <v>#NUM!</v>
      </c>
      <c r="AE115">
        <v>3.2153875902064446E-6</v>
      </c>
      <c r="AF115">
        <v>-59.999999999999922</v>
      </c>
      <c r="AH115" s="1">
        <v>109</v>
      </c>
      <c r="AI115" s="1">
        <f t="shared" si="38"/>
        <v>0</v>
      </c>
      <c r="AJ115" s="1">
        <f t="shared" si="38"/>
        <v>0</v>
      </c>
      <c r="AK115" s="2">
        <f t="shared" si="39"/>
        <v>0</v>
      </c>
      <c r="AL115" s="2">
        <f t="shared" si="39"/>
        <v>0</v>
      </c>
      <c r="AY115">
        <v>97.314326804443354</v>
      </c>
      <c r="BN115">
        <v>-51.19828040196289</v>
      </c>
    </row>
    <row r="116" spans="2:66" x14ac:dyDescent="0.25">
      <c r="B116" t="e">
        <f t="shared" si="31"/>
        <v>#NUM!</v>
      </c>
      <c r="C116" t="e">
        <f t="shared" si="31"/>
        <v>#NUM!</v>
      </c>
      <c r="W116" t="e">
        <f t="shared" si="30"/>
        <v>#NUM!</v>
      </c>
      <c r="X116">
        <f t="shared" si="32"/>
        <v>61.570799515387513</v>
      </c>
      <c r="Y116">
        <f t="shared" si="33"/>
        <v>28</v>
      </c>
      <c r="Z116">
        <f t="shared" si="34"/>
        <v>-1.5707963267948966</v>
      </c>
      <c r="AA116" t="e">
        <f t="shared" si="35"/>
        <v>#NUM!</v>
      </c>
      <c r="AB116" t="e">
        <f t="shared" si="36"/>
        <v>#NUM!</v>
      </c>
      <c r="AC116" t="e">
        <f t="shared" si="37"/>
        <v>#NUM!</v>
      </c>
      <c r="AE116">
        <v>3.2153875902064446E-6</v>
      </c>
      <c r="AF116">
        <v>-59.999999999999922</v>
      </c>
      <c r="AH116" s="1">
        <v>110</v>
      </c>
      <c r="AI116" s="1">
        <f t="shared" si="38"/>
        <v>0</v>
      </c>
      <c r="AJ116" s="1">
        <f t="shared" si="38"/>
        <v>0</v>
      </c>
      <c r="AK116" s="2">
        <f t="shared" si="39"/>
        <v>0</v>
      </c>
      <c r="AL116" s="2">
        <f t="shared" si="39"/>
        <v>0</v>
      </c>
      <c r="AY116">
        <v>96.004873874776649</v>
      </c>
      <c r="BN116">
        <v>-53.832856719128792</v>
      </c>
    </row>
    <row r="117" spans="2:66" x14ac:dyDescent="0.25">
      <c r="B117" t="e">
        <f t="shared" si="31"/>
        <v>#NUM!</v>
      </c>
      <c r="C117" t="e">
        <f t="shared" si="31"/>
        <v>#NUM!</v>
      </c>
      <c r="W117" t="e">
        <f t="shared" si="30"/>
        <v>#NUM!</v>
      </c>
      <c r="X117">
        <f t="shared" si="32"/>
        <v>61.570799515387513</v>
      </c>
      <c r="Y117">
        <f t="shared" si="33"/>
        <v>28</v>
      </c>
      <c r="Z117">
        <f t="shared" si="34"/>
        <v>-1.5707963267948966</v>
      </c>
      <c r="AA117" t="e">
        <f t="shared" si="35"/>
        <v>#NUM!</v>
      </c>
      <c r="AB117" t="e">
        <f t="shared" si="36"/>
        <v>#NUM!</v>
      </c>
      <c r="AC117" t="e">
        <f t="shared" si="37"/>
        <v>#NUM!</v>
      </c>
      <c r="AE117">
        <v>3.2153875902064446E-6</v>
      </c>
      <c r="AF117">
        <v>-59.999999999999922</v>
      </c>
      <c r="AH117" s="1">
        <v>111</v>
      </c>
      <c r="AI117" s="1">
        <f t="shared" si="38"/>
        <v>0</v>
      </c>
      <c r="AJ117" s="1">
        <f t="shared" si="38"/>
        <v>0</v>
      </c>
      <c r="AK117" s="2">
        <f t="shared" si="39"/>
        <v>0</v>
      </c>
      <c r="AL117" s="2">
        <f t="shared" si="39"/>
        <v>0</v>
      </c>
      <c r="AY117">
        <v>94.630146137732154</v>
      </c>
      <c r="BN117">
        <v>-56.433968595804735</v>
      </c>
    </row>
    <row r="118" spans="2:66" x14ac:dyDescent="0.25">
      <c r="B118" t="e">
        <f t="shared" si="31"/>
        <v>#NUM!</v>
      </c>
      <c r="C118" t="e">
        <f t="shared" si="31"/>
        <v>#NUM!</v>
      </c>
      <c r="W118" t="e">
        <f t="shared" si="30"/>
        <v>#NUM!</v>
      </c>
      <c r="X118">
        <f t="shared" si="32"/>
        <v>61.570799515387513</v>
      </c>
      <c r="Y118">
        <f t="shared" si="33"/>
        <v>28</v>
      </c>
      <c r="Z118">
        <f t="shared" si="34"/>
        <v>-1.5707963267948966</v>
      </c>
      <c r="AA118" t="e">
        <f t="shared" si="35"/>
        <v>#NUM!</v>
      </c>
      <c r="AB118" t="e">
        <f t="shared" si="36"/>
        <v>#NUM!</v>
      </c>
      <c r="AC118" t="e">
        <f t="shared" si="37"/>
        <v>#NUM!</v>
      </c>
      <c r="AE118">
        <v>3.2153875902064446E-6</v>
      </c>
      <c r="AF118">
        <v>-59.999999999999922</v>
      </c>
      <c r="AH118" s="1">
        <v>112</v>
      </c>
      <c r="AI118" s="1">
        <f t="shared" si="38"/>
        <v>0</v>
      </c>
      <c r="AJ118" s="1">
        <f t="shared" si="38"/>
        <v>0</v>
      </c>
      <c r="AK118" s="2">
        <f t="shared" si="39"/>
        <v>0</v>
      </c>
      <c r="AL118" s="2">
        <f t="shared" si="39"/>
        <v>0</v>
      </c>
      <c r="AY118">
        <v>93.190998173530048</v>
      </c>
      <c r="BN118">
        <v>-58.999999087267597</v>
      </c>
    </row>
    <row r="119" spans="2:66" x14ac:dyDescent="0.25">
      <c r="B119" t="e">
        <f t="shared" si="31"/>
        <v>#NUM!</v>
      </c>
      <c r="C119" t="e">
        <f t="shared" si="31"/>
        <v>#NUM!</v>
      </c>
      <c r="W119" t="e">
        <f t="shared" si="30"/>
        <v>#NUM!</v>
      </c>
      <c r="X119">
        <f t="shared" si="32"/>
        <v>61.570799515387513</v>
      </c>
      <c r="Y119">
        <f t="shared" si="33"/>
        <v>28</v>
      </c>
      <c r="Z119">
        <f t="shared" si="34"/>
        <v>-1.5707963267948966</v>
      </c>
      <c r="AA119" t="e">
        <f t="shared" si="35"/>
        <v>#NUM!</v>
      </c>
      <c r="AB119" t="e">
        <f t="shared" si="36"/>
        <v>#NUM!</v>
      </c>
      <c r="AC119" t="e">
        <f t="shared" si="37"/>
        <v>#NUM!</v>
      </c>
      <c r="AE119">
        <v>3.2153875902064446E-6</v>
      </c>
      <c r="AF119">
        <v>-59.999999999999922</v>
      </c>
      <c r="AH119" s="1">
        <v>113</v>
      </c>
      <c r="AI119" s="1">
        <f t="shared" si="38"/>
        <v>0</v>
      </c>
      <c r="AJ119" s="1">
        <f t="shared" si="38"/>
        <v>0</v>
      </c>
      <c r="AK119" s="2">
        <f t="shared" si="39"/>
        <v>0</v>
      </c>
      <c r="AL119" s="2">
        <f t="shared" si="39"/>
        <v>0</v>
      </c>
      <c r="AY119">
        <v>91.688324608321324</v>
      </c>
      <c r="BN119">
        <v>-61.529353056645363</v>
      </c>
    </row>
    <row r="120" spans="2:66" x14ac:dyDescent="0.25">
      <c r="B120" t="e">
        <f t="shared" si="31"/>
        <v>#NUM!</v>
      </c>
      <c r="C120" t="e">
        <f t="shared" si="31"/>
        <v>#NUM!</v>
      </c>
      <c r="W120" t="e">
        <f t="shared" si="30"/>
        <v>#NUM!</v>
      </c>
      <c r="X120">
        <f t="shared" si="32"/>
        <v>61.570799515387513</v>
      </c>
      <c r="Y120">
        <f t="shared" si="33"/>
        <v>28</v>
      </c>
      <c r="Z120">
        <f t="shared" si="34"/>
        <v>-1.5707963267948966</v>
      </c>
      <c r="AA120" t="e">
        <f t="shared" si="35"/>
        <v>#NUM!</v>
      </c>
      <c r="AB120" t="e">
        <f t="shared" si="36"/>
        <v>#NUM!</v>
      </c>
      <c r="AC120" t="e">
        <f t="shared" si="37"/>
        <v>#NUM!</v>
      </c>
      <c r="AE120">
        <v>3.2153875902064446E-6</v>
      </c>
      <c r="AF120">
        <v>-59.999999999999922</v>
      </c>
      <c r="AH120" s="1">
        <v>114</v>
      </c>
      <c r="AI120" s="1">
        <f t="shared" si="38"/>
        <v>0</v>
      </c>
      <c r="AJ120" s="1">
        <f t="shared" si="38"/>
        <v>0</v>
      </c>
      <c r="AK120" s="2">
        <f t="shared" si="39"/>
        <v>0</v>
      </c>
      <c r="AL120" s="2">
        <f t="shared" si="39"/>
        <v>0</v>
      </c>
      <c r="AY120">
        <v>90.123059558056042</v>
      </c>
      <c r="BN120">
        <v>-64.020458166511702</v>
      </c>
    </row>
    <row r="121" spans="2:66" x14ac:dyDescent="0.25">
      <c r="B121" t="e">
        <f t="shared" si="31"/>
        <v>#NUM!</v>
      </c>
      <c r="C121" t="e">
        <f t="shared" si="31"/>
        <v>#NUM!</v>
      </c>
      <c r="W121" t="e">
        <f t="shared" si="30"/>
        <v>#NUM!</v>
      </c>
      <c r="X121">
        <f t="shared" si="32"/>
        <v>61.570799515387513</v>
      </c>
      <c r="Y121">
        <f t="shared" si="33"/>
        <v>28</v>
      </c>
      <c r="Z121">
        <f t="shared" si="34"/>
        <v>-1.5707963267948966</v>
      </c>
      <c r="AA121" t="e">
        <f t="shared" si="35"/>
        <v>#NUM!</v>
      </c>
      <c r="AB121" t="e">
        <f t="shared" si="36"/>
        <v>#NUM!</v>
      </c>
      <c r="AC121" t="e">
        <f t="shared" si="37"/>
        <v>#NUM!</v>
      </c>
      <c r="AE121">
        <v>3.2153875902064446E-6</v>
      </c>
      <c r="AF121">
        <v>-59.999999999999922</v>
      </c>
      <c r="AH121" s="1">
        <v>115</v>
      </c>
      <c r="AI121" s="1">
        <f t="shared" si="38"/>
        <v>0</v>
      </c>
      <c r="AJ121" s="1">
        <f t="shared" si="38"/>
        <v>0</v>
      </c>
      <c r="AK121" s="2">
        <f t="shared" si="39"/>
        <v>0</v>
      </c>
      <c r="AL121" s="2">
        <f t="shared" si="39"/>
        <v>0</v>
      </c>
      <c r="AY121">
        <v>88.496176047803246</v>
      </c>
      <c r="BN121">
        <v>-66.471765856307442</v>
      </c>
    </row>
    <row r="122" spans="2:66" x14ac:dyDescent="0.25">
      <c r="B122" t="e">
        <f t="shared" si="31"/>
        <v>#NUM!</v>
      </c>
      <c r="C122" t="e">
        <f t="shared" si="31"/>
        <v>#NUM!</v>
      </c>
      <c r="W122" t="e">
        <f t="shared" si="30"/>
        <v>#NUM!</v>
      </c>
      <c r="X122">
        <f t="shared" si="32"/>
        <v>61.570799515387513</v>
      </c>
      <c r="Y122">
        <f t="shared" si="33"/>
        <v>28</v>
      </c>
      <c r="Z122">
        <f t="shared" si="34"/>
        <v>-1.5707963267948966</v>
      </c>
      <c r="AA122" t="e">
        <f t="shared" si="35"/>
        <v>#NUM!</v>
      </c>
      <c r="AB122" t="e">
        <f t="shared" si="36"/>
        <v>#NUM!</v>
      </c>
      <c r="AC122" t="e">
        <f t="shared" si="37"/>
        <v>#NUM!</v>
      </c>
      <c r="AE122">
        <v>3.2153875902064446E-6</v>
      </c>
      <c r="AF122">
        <v>-59.999999999999922</v>
      </c>
      <c r="AH122" s="1">
        <v>116</v>
      </c>
      <c r="AI122" s="1">
        <f t="shared" si="38"/>
        <v>0</v>
      </c>
      <c r="AJ122" s="1">
        <f t="shared" si="38"/>
        <v>0</v>
      </c>
      <c r="AK122" s="2">
        <f t="shared" si="39"/>
        <v>0</v>
      </c>
      <c r="AL122" s="2">
        <f t="shared" si="39"/>
        <v>0</v>
      </c>
      <c r="AY122">
        <v>86.808685406883541</v>
      </c>
      <c r="BN122">
        <v>-68.881752304981475</v>
      </c>
    </row>
    <row r="123" spans="2:66" x14ac:dyDescent="0.25">
      <c r="B123" t="e">
        <f t="shared" si="31"/>
        <v>#NUM!</v>
      </c>
      <c r="C123" t="e">
        <f t="shared" si="31"/>
        <v>#NUM!</v>
      </c>
      <c r="W123" t="e">
        <f t="shared" si="30"/>
        <v>#NUM!</v>
      </c>
      <c r="X123">
        <f t="shared" si="32"/>
        <v>61.570799515387513</v>
      </c>
      <c r="Y123">
        <f t="shared" si="33"/>
        <v>28</v>
      </c>
      <c r="Z123">
        <f t="shared" si="34"/>
        <v>-1.5707963267948966</v>
      </c>
      <c r="AA123" t="e">
        <f t="shared" si="35"/>
        <v>#NUM!</v>
      </c>
      <c r="AB123" t="e">
        <f t="shared" si="36"/>
        <v>#NUM!</v>
      </c>
      <c r="AC123" t="e">
        <f t="shared" si="37"/>
        <v>#NUM!</v>
      </c>
      <c r="AE123">
        <v>3.2153875902064446E-6</v>
      </c>
      <c r="AF123">
        <v>-59.999999999999922</v>
      </c>
      <c r="AH123" s="1">
        <v>117</v>
      </c>
      <c r="AI123" s="1">
        <f t="shared" si="38"/>
        <v>0</v>
      </c>
      <c r="AJ123" s="1">
        <f t="shared" si="38"/>
        <v>0</v>
      </c>
      <c r="AK123" s="2">
        <f t="shared" si="39"/>
        <v>0</v>
      </c>
      <c r="AL123" s="2">
        <f t="shared" si="39"/>
        <v>0</v>
      </c>
      <c r="AY123">
        <v>85.061636640190457</v>
      </c>
      <c r="BN123">
        <v>-71.248919378252879</v>
      </c>
    </row>
    <row r="124" spans="2:66" x14ac:dyDescent="0.25">
      <c r="B124" t="e">
        <f t="shared" si="31"/>
        <v>#NUM!</v>
      </c>
      <c r="C124" t="e">
        <f t="shared" si="31"/>
        <v>#NUM!</v>
      </c>
      <c r="W124" t="e">
        <f t="shared" si="30"/>
        <v>#NUM!</v>
      </c>
      <c r="X124">
        <f t="shared" si="32"/>
        <v>61.570799515387513</v>
      </c>
      <c r="Y124">
        <f t="shared" si="33"/>
        <v>28</v>
      </c>
      <c r="Z124">
        <f t="shared" si="34"/>
        <v>-1.5707963267948966</v>
      </c>
      <c r="AA124" t="e">
        <f t="shared" si="35"/>
        <v>#NUM!</v>
      </c>
      <c r="AB124" t="e">
        <f t="shared" si="36"/>
        <v>#NUM!</v>
      </c>
      <c r="AC124" t="e">
        <f t="shared" si="37"/>
        <v>#NUM!</v>
      </c>
      <c r="AE124">
        <v>3.2153875902064446E-6</v>
      </c>
      <c r="AF124">
        <v>-59.999999999999922</v>
      </c>
      <c r="AH124" s="1">
        <v>118</v>
      </c>
      <c r="AI124" s="1">
        <f t="shared" si="38"/>
        <v>0</v>
      </c>
      <c r="AJ124" s="1">
        <f t="shared" si="38"/>
        <v>0</v>
      </c>
      <c r="AK124" s="2">
        <f t="shared" si="39"/>
        <v>0</v>
      </c>
      <c r="AL124" s="2">
        <f t="shared" si="39"/>
        <v>0</v>
      </c>
      <c r="AY124">
        <v>83.256115776091235</v>
      </c>
      <c r="BN124">
        <v>-73.571795559904942</v>
      </c>
    </row>
    <row r="125" spans="2:66" x14ac:dyDescent="0.25">
      <c r="B125" t="e">
        <f t="shared" si="31"/>
        <v>#NUM!</v>
      </c>
      <c r="C125" t="e">
        <f t="shared" si="31"/>
        <v>#NUM!</v>
      </c>
      <c r="W125" t="e">
        <f t="shared" si="30"/>
        <v>#NUM!</v>
      </c>
      <c r="X125">
        <f t="shared" si="32"/>
        <v>61.570799515387513</v>
      </c>
      <c r="Y125">
        <f t="shared" si="33"/>
        <v>28</v>
      </c>
      <c r="Z125">
        <f t="shared" si="34"/>
        <v>-1.5707963267948966</v>
      </c>
      <c r="AA125" t="e">
        <f t="shared" si="35"/>
        <v>#NUM!</v>
      </c>
      <c r="AB125" t="e">
        <f t="shared" si="36"/>
        <v>#NUM!</v>
      </c>
      <c r="AC125" t="e">
        <f t="shared" si="37"/>
        <v>#NUM!</v>
      </c>
      <c r="AE125">
        <v>3.2153875902064446E-6</v>
      </c>
      <c r="AF125">
        <v>-59.999999999999922</v>
      </c>
      <c r="AH125" s="1">
        <v>119</v>
      </c>
      <c r="AI125" s="1">
        <f t="shared" si="38"/>
        <v>0</v>
      </c>
      <c r="AJ125" s="1">
        <f t="shared" si="38"/>
        <v>0</v>
      </c>
      <c r="AK125" s="2">
        <f t="shared" si="39"/>
        <v>0</v>
      </c>
      <c r="AL125" s="2">
        <f t="shared" si="39"/>
        <v>0</v>
      </c>
      <c r="AY125">
        <v>81.393245191312488</v>
      </c>
      <c r="BN125">
        <v>-75.848936866532682</v>
      </c>
    </row>
    <row r="126" spans="2:66" x14ac:dyDescent="0.25">
      <c r="B126" t="e">
        <f t="shared" si="31"/>
        <v>#NUM!</v>
      </c>
      <c r="C126" t="e">
        <f t="shared" si="31"/>
        <v>#NUM!</v>
      </c>
      <c r="W126" t="e">
        <f t="shared" si="30"/>
        <v>#NUM!</v>
      </c>
      <c r="X126">
        <f t="shared" si="32"/>
        <v>61.570799515387513</v>
      </c>
      <c r="Y126">
        <f t="shared" si="33"/>
        <v>28</v>
      </c>
      <c r="Z126">
        <f t="shared" si="34"/>
        <v>-1.5707963267948966</v>
      </c>
      <c r="AA126" t="e">
        <f t="shared" si="35"/>
        <v>#NUM!</v>
      </c>
      <c r="AB126" t="e">
        <f t="shared" si="36"/>
        <v>#NUM!</v>
      </c>
      <c r="AC126" t="e">
        <f t="shared" si="37"/>
        <v>#NUM!</v>
      </c>
      <c r="AE126">
        <v>3.2153875902064446E-6</v>
      </c>
      <c r="AF126">
        <v>-59.999999999999922</v>
      </c>
      <c r="AH126" s="1">
        <v>120</v>
      </c>
      <c r="AI126" s="1">
        <f t="shared" si="38"/>
        <v>0</v>
      </c>
      <c r="AJ126" s="1">
        <f t="shared" si="38"/>
        <v>0</v>
      </c>
      <c r="AK126" s="2">
        <f t="shared" si="39"/>
        <v>0</v>
      </c>
      <c r="AL126" s="2">
        <f t="shared" si="39"/>
        <v>0</v>
      </c>
      <c r="AY126">
        <v>79.474182913230521</v>
      </c>
      <c r="BN126">
        <v>-78.078927745174795</v>
      </c>
    </row>
    <row r="127" spans="2:66" x14ac:dyDescent="0.25">
      <c r="B127" t="e">
        <f t="shared" si="31"/>
        <v>#NUM!</v>
      </c>
      <c r="C127" t="e">
        <f t="shared" si="31"/>
        <v>#NUM!</v>
      </c>
      <c r="W127" t="e">
        <f t="shared" si="30"/>
        <v>#NUM!</v>
      </c>
      <c r="X127">
        <f t="shared" si="32"/>
        <v>61.570799515387513</v>
      </c>
      <c r="Y127">
        <f t="shared" si="33"/>
        <v>28</v>
      </c>
      <c r="Z127">
        <f t="shared" si="34"/>
        <v>-1.5707963267948966</v>
      </c>
      <c r="AA127" t="e">
        <f t="shared" si="35"/>
        <v>#NUM!</v>
      </c>
      <c r="AB127" t="e">
        <f t="shared" si="36"/>
        <v>#NUM!</v>
      </c>
      <c r="AC127" t="e">
        <f t="shared" si="37"/>
        <v>#NUM!</v>
      </c>
      <c r="AE127">
        <v>3.2153875902064446E-6</v>
      </c>
      <c r="AF127">
        <v>-59.999999999999922</v>
      </c>
      <c r="AH127" s="1">
        <v>121</v>
      </c>
      <c r="AI127" s="1">
        <f t="shared" si="38"/>
        <v>0</v>
      </c>
      <c r="AJ127" s="1">
        <f t="shared" si="38"/>
        <v>0</v>
      </c>
      <c r="AK127" s="2">
        <f t="shared" si="39"/>
        <v>0</v>
      </c>
      <c r="AL127" s="2">
        <f t="shared" si="39"/>
        <v>0</v>
      </c>
      <c r="AY127">
        <v>77.500121899999812</v>
      </c>
      <c r="BN127">
        <v>-80.260381953272386</v>
      </c>
    </row>
    <row r="128" spans="2:66" x14ac:dyDescent="0.25">
      <c r="B128" t="e">
        <f t="shared" si="31"/>
        <v>#NUM!</v>
      </c>
      <c r="C128" t="e">
        <f t="shared" si="31"/>
        <v>#NUM!</v>
      </c>
      <c r="W128" t="e">
        <f t="shared" si="30"/>
        <v>#NUM!</v>
      </c>
      <c r="X128">
        <f t="shared" si="32"/>
        <v>61.570799515387513</v>
      </c>
      <c r="Y128">
        <f t="shared" si="33"/>
        <v>28</v>
      </c>
      <c r="Z128">
        <f t="shared" si="34"/>
        <v>-1.5707963267948966</v>
      </c>
      <c r="AA128" t="e">
        <f t="shared" si="35"/>
        <v>#NUM!</v>
      </c>
      <c r="AB128" t="e">
        <f t="shared" si="36"/>
        <v>#NUM!</v>
      </c>
      <c r="AC128" t="e">
        <f t="shared" si="37"/>
        <v>#NUM!</v>
      </c>
      <c r="AE128">
        <v>3.2153875902064446E-6</v>
      </c>
      <c r="AF128">
        <v>-59.999999999999922</v>
      </c>
      <c r="AH128" s="1">
        <v>122</v>
      </c>
      <c r="AI128" s="1">
        <f t="shared" si="38"/>
        <v>0</v>
      </c>
      <c r="AJ128" s="1">
        <f t="shared" si="38"/>
        <v>0</v>
      </c>
      <c r="AK128" s="2">
        <f t="shared" si="39"/>
        <v>0</v>
      </c>
      <c r="AL128" s="2">
        <f t="shared" si="39"/>
        <v>0</v>
      </c>
      <c r="AY128">
        <v>75.472289298967283</v>
      </c>
      <c r="BN128">
        <v>-82.391943420407173</v>
      </c>
    </row>
    <row r="129" spans="2:66" x14ac:dyDescent="0.25">
      <c r="B129" t="e">
        <f t="shared" si="31"/>
        <v>#NUM!</v>
      </c>
      <c r="C129" t="e">
        <f t="shared" si="31"/>
        <v>#NUM!</v>
      </c>
      <c r="W129" t="e">
        <f t="shared" si="30"/>
        <v>#NUM!</v>
      </c>
      <c r="X129">
        <f t="shared" si="32"/>
        <v>61.570799515387513</v>
      </c>
      <c r="Y129">
        <f t="shared" si="33"/>
        <v>28</v>
      </c>
      <c r="Z129">
        <f t="shared" si="34"/>
        <v>-1.5707963267948966</v>
      </c>
      <c r="AA129" t="e">
        <f t="shared" si="35"/>
        <v>#NUM!</v>
      </c>
      <c r="AB129" t="e">
        <f t="shared" si="36"/>
        <v>#NUM!</v>
      </c>
      <c r="AC129" t="e">
        <f t="shared" si="37"/>
        <v>#NUM!</v>
      </c>
      <c r="AE129">
        <v>3.2153875902064446E-6</v>
      </c>
      <c r="AF129">
        <v>-59.999999999999922</v>
      </c>
      <c r="AH129" s="1">
        <v>123</v>
      </c>
      <c r="AI129" s="1">
        <f t="shared" si="38"/>
        <v>0</v>
      </c>
      <c r="AJ129" s="1">
        <f t="shared" si="38"/>
        <v>0</v>
      </c>
      <c r="AK129" s="2">
        <f t="shared" si="39"/>
        <v>0</v>
      </c>
      <c r="AL129" s="2">
        <f t="shared" si="39"/>
        <v>0</v>
      </c>
      <c r="AY129">
        <v>73.391945683833413</v>
      </c>
      <c r="BN129">
        <v>-84.472287091283647</v>
      </c>
    </row>
    <row r="130" spans="2:66" x14ac:dyDescent="0.25">
      <c r="B130" t="e">
        <f t="shared" si="31"/>
        <v>#NUM!</v>
      </c>
      <c r="C130" t="e">
        <f t="shared" si="31"/>
        <v>#NUM!</v>
      </c>
      <c r="W130" t="e">
        <f t="shared" si="30"/>
        <v>#NUM!</v>
      </c>
      <c r="X130">
        <f t="shared" si="32"/>
        <v>61.570799515387513</v>
      </c>
      <c r="Y130">
        <f t="shared" si="33"/>
        <v>28</v>
      </c>
      <c r="Z130">
        <f t="shared" si="34"/>
        <v>-1.5707963267948966</v>
      </c>
      <c r="AA130" t="e">
        <f t="shared" si="35"/>
        <v>#NUM!</v>
      </c>
      <c r="AB130" t="e">
        <f t="shared" si="36"/>
        <v>#NUM!</v>
      </c>
      <c r="AC130" t="e">
        <f t="shared" si="37"/>
        <v>#NUM!</v>
      </c>
      <c r="AE130">
        <v>3.2153875902064446E-6</v>
      </c>
      <c r="AF130">
        <v>-59.999999999999922</v>
      </c>
      <c r="AH130" s="1">
        <v>124</v>
      </c>
      <c r="AI130" s="1">
        <f t="shared" si="38"/>
        <v>0</v>
      </c>
      <c r="AJ130" s="1">
        <f t="shared" si="38"/>
        <v>0</v>
      </c>
      <c r="AK130" s="2">
        <f t="shared" si="39"/>
        <v>0</v>
      </c>
      <c r="AL130" s="2">
        <f t="shared" si="39"/>
        <v>0</v>
      </c>
      <c r="AY130">
        <v>71.260384271034184</v>
      </c>
      <c r="BN130">
        <v>-86.50011974943115</v>
      </c>
    </row>
    <row r="131" spans="2:66" x14ac:dyDescent="0.25">
      <c r="B131" t="e">
        <f t="shared" si="31"/>
        <v>#NUM!</v>
      </c>
      <c r="C131" t="e">
        <f t="shared" si="31"/>
        <v>#NUM!</v>
      </c>
      <c r="W131" t="e">
        <f t="shared" si="30"/>
        <v>#NUM!</v>
      </c>
      <c r="X131">
        <f t="shared" si="32"/>
        <v>61.570799515387513</v>
      </c>
      <c r="Y131">
        <f t="shared" si="33"/>
        <v>28</v>
      </c>
      <c r="Z131">
        <f t="shared" si="34"/>
        <v>-1.5707963267948966</v>
      </c>
      <c r="AA131" t="e">
        <f t="shared" si="35"/>
        <v>#NUM!</v>
      </c>
      <c r="AB131" t="e">
        <f t="shared" si="36"/>
        <v>#NUM!</v>
      </c>
      <c r="AC131" t="e">
        <f t="shared" si="37"/>
        <v>#NUM!</v>
      </c>
      <c r="AE131">
        <v>3.2153875902064446E-6</v>
      </c>
      <c r="AF131">
        <v>-59.999999999999922</v>
      </c>
      <c r="AH131" s="1">
        <v>125</v>
      </c>
      <c r="AI131" s="1">
        <f t="shared" si="38"/>
        <v>0</v>
      </c>
      <c r="AJ131" s="1">
        <f t="shared" si="38"/>
        <v>0</v>
      </c>
      <c r="AK131" s="2">
        <f t="shared" si="39"/>
        <v>0</v>
      </c>
      <c r="AL131" s="2">
        <f t="shared" si="39"/>
        <v>0</v>
      </c>
      <c r="AY131">
        <v>69.078930115831355</v>
      </c>
      <c r="BN131">
        <v>-88.474180821113691</v>
      </c>
    </row>
    <row r="132" spans="2:66" x14ac:dyDescent="0.25">
      <c r="B132" t="e">
        <f t="shared" si="31"/>
        <v>#NUM!</v>
      </c>
      <c r="C132" t="e">
        <f t="shared" si="31"/>
        <v>#NUM!</v>
      </c>
      <c r="W132" t="e">
        <f t="shared" si="30"/>
        <v>#NUM!</v>
      </c>
      <c r="X132">
        <f t="shared" si="32"/>
        <v>61.570799515387513</v>
      </c>
      <c r="Y132">
        <f t="shared" si="33"/>
        <v>28</v>
      </c>
      <c r="Z132">
        <f t="shared" si="34"/>
        <v>-1.5707963267948966</v>
      </c>
      <c r="AA132" t="e">
        <f t="shared" si="35"/>
        <v>#NUM!</v>
      </c>
      <c r="AB132" t="e">
        <f t="shared" si="36"/>
        <v>#NUM!</v>
      </c>
      <c r="AC132" t="e">
        <f t="shared" si="37"/>
        <v>#NUM!</v>
      </c>
      <c r="AE132">
        <v>3.2153875902064446E-6</v>
      </c>
      <c r="AF132">
        <v>-59.999999999999922</v>
      </c>
      <c r="AH132" s="1">
        <v>126</v>
      </c>
      <c r="AI132" s="1">
        <f t="shared" si="38"/>
        <v>0</v>
      </c>
      <c r="AJ132" s="1">
        <f t="shared" si="38"/>
        <v>0</v>
      </c>
      <c r="AK132" s="2">
        <f t="shared" si="39"/>
        <v>0</v>
      </c>
      <c r="AL132" s="2">
        <f t="shared" si="39"/>
        <v>0</v>
      </c>
      <c r="AY132">
        <v>66.84893928861031</v>
      </c>
      <c r="BN132">
        <v>-90.393243158948039</v>
      </c>
    </row>
    <row r="133" spans="2:66" x14ac:dyDescent="0.25">
      <c r="B133" t="e">
        <f t="shared" si="31"/>
        <v>#NUM!</v>
      </c>
      <c r="C133" t="e">
        <f t="shared" si="31"/>
        <v>#NUM!</v>
      </c>
      <c r="W133" t="e">
        <f t="shared" si="30"/>
        <v>#NUM!</v>
      </c>
      <c r="X133">
        <f t="shared" si="32"/>
        <v>61.570799515387513</v>
      </c>
      <c r="Y133">
        <f t="shared" si="33"/>
        <v>28</v>
      </c>
      <c r="Z133">
        <f t="shared" si="34"/>
        <v>-1.5707963267948966</v>
      </c>
      <c r="AA133" t="e">
        <f t="shared" si="35"/>
        <v>#NUM!</v>
      </c>
      <c r="AB133" t="e">
        <f t="shared" si="36"/>
        <v>#NUM!</v>
      </c>
      <c r="AC133" t="e">
        <f t="shared" si="37"/>
        <v>#NUM!</v>
      </c>
      <c r="AE133">
        <v>3.2153875902064446E-6</v>
      </c>
      <c r="AF133">
        <v>-59.999999999999922</v>
      </c>
      <c r="AH133" s="1">
        <v>127</v>
      </c>
      <c r="AI133" s="1">
        <f t="shared" si="38"/>
        <v>0</v>
      </c>
      <c r="AJ133" s="1">
        <f t="shared" si="38"/>
        <v>0</v>
      </c>
      <c r="AK133" s="2">
        <f t="shared" si="39"/>
        <v>0</v>
      </c>
      <c r="AL133" s="2">
        <f t="shared" si="39"/>
        <v>0</v>
      </c>
      <c r="AY133">
        <v>64.571798031898012</v>
      </c>
      <c r="BN133">
        <v>-92.25611380474254</v>
      </c>
    </row>
    <row r="134" spans="2:66" x14ac:dyDescent="0.25">
      <c r="B134" t="e">
        <f t="shared" si="31"/>
        <v>#NUM!</v>
      </c>
      <c r="C134" t="e">
        <f t="shared" si="31"/>
        <v>#NUM!</v>
      </c>
      <c r="W134" t="e">
        <f t="shared" ref="W134:W197" si="40">3.14159265358/2-Z134-AA134</f>
        <v>#NUM!</v>
      </c>
      <c r="X134">
        <f t="shared" si="32"/>
        <v>61.570799515387513</v>
      </c>
      <c r="Y134">
        <f t="shared" si="33"/>
        <v>28</v>
      </c>
      <c r="Z134">
        <f t="shared" si="34"/>
        <v>-1.5707963267948966</v>
      </c>
      <c r="AA134" t="e">
        <f t="shared" si="35"/>
        <v>#NUM!</v>
      </c>
      <c r="AB134" t="e">
        <f t="shared" si="36"/>
        <v>#NUM!</v>
      </c>
      <c r="AC134" t="e">
        <f t="shared" si="37"/>
        <v>#NUM!</v>
      </c>
      <c r="AE134">
        <v>3.2153875902064446E-6</v>
      </c>
      <c r="AF134">
        <v>-59.999999999999922</v>
      </c>
      <c r="AH134" s="1">
        <v>128</v>
      </c>
      <c r="AI134" s="1">
        <f t="shared" si="38"/>
        <v>0</v>
      </c>
      <c r="AJ134" s="1">
        <f t="shared" si="38"/>
        <v>0</v>
      </c>
      <c r="AK134" s="2">
        <f t="shared" si="39"/>
        <v>0</v>
      </c>
      <c r="AL134" s="2">
        <f t="shared" si="39"/>
        <v>0</v>
      </c>
      <c r="AY134">
        <v>62.248921898624673</v>
      </c>
      <c r="BN134">
        <v>-94.061634731083004</v>
      </c>
    </row>
    <row r="135" spans="2:66" x14ac:dyDescent="0.25">
      <c r="B135" t="e">
        <f t="shared" ref="B135:C142" si="41">AB135</f>
        <v>#NUM!</v>
      </c>
      <c r="C135" t="e">
        <f t="shared" si="41"/>
        <v>#NUM!</v>
      </c>
      <c r="W135" t="e">
        <f t="shared" si="40"/>
        <v>#NUM!</v>
      </c>
      <c r="X135">
        <f t="shared" ref="X135:X198" si="42">3.1415926/2+AE135-AF135</f>
        <v>61.570799515387513</v>
      </c>
      <c r="Y135">
        <f t="shared" ref="Y135:Y198" si="43">SQRT( V135*V135+(U135+$G$2)*(U135+$G$2)     )</f>
        <v>28</v>
      </c>
      <c r="Z135">
        <f t="shared" ref="Z135:Z198" si="44">ATAN2(  V135, -U135-$G$2)</f>
        <v>-1.5707963267948966</v>
      </c>
      <c r="AA135" t="e">
        <f t="shared" ref="AA135:AA198" si="45" xml:space="preserve"> ACOS((Y135*Y135+$C$2*$C$2-($E$2+$T$2)*($E$2+$T$2))/(2*Y135*$C$2))</f>
        <v>#NUM!</v>
      </c>
      <c r="AB135" t="e">
        <f t="shared" ref="AB135:AB198" si="46">-$G$2-$C$2*COS(W135)+(U135+$G$2+COS(W135)*$C$2)*$E$2/($E$2+$T$2)</f>
        <v>#NUM!</v>
      </c>
      <c r="AC135" t="e">
        <f t="shared" ref="AC135:AC198" si="47">$C$2*SIN(W135)+(V135-$C$2*SIN(W135))*$E$2/($T$2+$E$2)</f>
        <v>#NUM!</v>
      </c>
      <c r="AE135">
        <v>3.2153875902064446E-6</v>
      </c>
      <c r="AF135">
        <v>-59.999999999999922</v>
      </c>
      <c r="AH135" s="1">
        <v>129</v>
      </c>
      <c r="AI135" s="1">
        <f t="shared" si="38"/>
        <v>0</v>
      </c>
      <c r="AJ135" s="1">
        <f t="shared" si="38"/>
        <v>0</v>
      </c>
      <c r="AK135" s="2">
        <f t="shared" si="39"/>
        <v>0</v>
      </c>
      <c r="AL135" s="2">
        <f t="shared" si="39"/>
        <v>0</v>
      </c>
      <c r="AY135">
        <v>59.881754872165274</v>
      </c>
      <c r="BN135">
        <v>-95.808683561204077</v>
      </c>
    </row>
    <row r="136" spans="2:66" x14ac:dyDescent="0.25">
      <c r="B136" t="e">
        <f t="shared" si="41"/>
        <v>#NUM!</v>
      </c>
      <c r="C136" t="e">
        <f t="shared" si="41"/>
        <v>#NUM!</v>
      </c>
      <c r="W136" t="e">
        <f t="shared" si="40"/>
        <v>#NUM!</v>
      </c>
      <c r="X136">
        <f t="shared" si="42"/>
        <v>61.570799515387513</v>
      </c>
      <c r="Y136">
        <f t="shared" si="43"/>
        <v>28</v>
      </c>
      <c r="Z136">
        <f t="shared" si="44"/>
        <v>-1.5707963267948966</v>
      </c>
      <c r="AA136" t="e">
        <f t="shared" si="45"/>
        <v>#NUM!</v>
      </c>
      <c r="AB136" t="e">
        <f t="shared" si="46"/>
        <v>#NUM!</v>
      </c>
      <c r="AC136" t="e">
        <f t="shared" si="47"/>
        <v>#NUM!</v>
      </c>
      <c r="AE136">
        <v>3.2153875902064446E-6</v>
      </c>
      <c r="AF136">
        <v>-59.999999999999922</v>
      </c>
      <c r="AH136" s="1">
        <v>130</v>
      </c>
      <c r="AI136" s="1">
        <f t="shared" si="38"/>
        <v>0</v>
      </c>
      <c r="AJ136" s="1">
        <f t="shared" si="38"/>
        <v>0</v>
      </c>
      <c r="AK136" s="2">
        <f t="shared" si="39"/>
        <v>0</v>
      </c>
      <c r="AL136" s="2">
        <f t="shared" si="39"/>
        <v>0</v>
      </c>
      <c r="AY136">
        <v>57.471768468707353</v>
      </c>
      <c r="BN136">
        <v>-97.496174266699114</v>
      </c>
    </row>
    <row r="137" spans="2:66" x14ac:dyDescent="0.25">
      <c r="B137" t="e">
        <f t="shared" si="41"/>
        <v>#NUM!</v>
      </c>
      <c r="C137" t="e">
        <f t="shared" si="41"/>
        <v>#NUM!</v>
      </c>
      <c r="W137" t="e">
        <f t="shared" si="40"/>
        <v>#NUM!</v>
      </c>
      <c r="X137">
        <f t="shared" si="42"/>
        <v>61.570799515387513</v>
      </c>
      <c r="Y137">
        <f t="shared" si="43"/>
        <v>28</v>
      </c>
      <c r="Z137">
        <f t="shared" si="44"/>
        <v>-1.5707963267948966</v>
      </c>
      <c r="AA137" t="e">
        <f t="shared" si="45"/>
        <v>#NUM!</v>
      </c>
      <c r="AB137" t="e">
        <f t="shared" si="46"/>
        <v>#NUM!</v>
      </c>
      <c r="AC137" t="e">
        <f t="shared" si="47"/>
        <v>#NUM!</v>
      </c>
      <c r="AE137">
        <v>3.2153875902064446E-6</v>
      </c>
      <c r="AF137">
        <v>-59.999999999999922</v>
      </c>
      <c r="AH137" s="1">
        <v>131</v>
      </c>
      <c r="AI137" s="1">
        <f t="shared" si="38"/>
        <v>0</v>
      </c>
      <c r="AJ137" s="1">
        <f t="shared" si="38"/>
        <v>0</v>
      </c>
      <c r="AK137" s="2">
        <f t="shared" si="39"/>
        <v>0</v>
      </c>
      <c r="AL137" s="2">
        <f t="shared" si="39"/>
        <v>0</v>
      </c>
      <c r="AY137">
        <v>55.020460822503807</v>
      </c>
      <c r="BN137">
        <v>-99.123057842634452</v>
      </c>
    </row>
    <row r="138" spans="2:66" x14ac:dyDescent="0.25">
      <c r="B138" t="e">
        <f t="shared" si="41"/>
        <v>#NUM!</v>
      </c>
      <c r="C138" t="e">
        <f t="shared" si="41"/>
        <v>#NUM!</v>
      </c>
      <c r="W138" t="e">
        <f t="shared" si="40"/>
        <v>#NUM!</v>
      </c>
      <c r="X138">
        <f t="shared" si="42"/>
        <v>61.570799515387513</v>
      </c>
      <c r="Y138">
        <f t="shared" si="43"/>
        <v>28</v>
      </c>
      <c r="Z138">
        <f t="shared" si="44"/>
        <v>-1.5707963267948966</v>
      </c>
      <c r="AA138" t="e">
        <f t="shared" si="45"/>
        <v>#NUM!</v>
      </c>
      <c r="AB138" t="e">
        <f t="shared" si="46"/>
        <v>#NUM!</v>
      </c>
      <c r="AC138" t="e">
        <f t="shared" si="47"/>
        <v>#NUM!</v>
      </c>
      <c r="AE138">
        <v>3.2153875902064446E-6</v>
      </c>
      <c r="AF138">
        <v>-59.999999999999922</v>
      </c>
      <c r="AH138" s="1">
        <v>132</v>
      </c>
      <c r="AI138" s="1">
        <f t="shared" si="38"/>
        <v>0</v>
      </c>
      <c r="AJ138" s="1">
        <f t="shared" si="38"/>
        <v>0</v>
      </c>
      <c r="AK138" s="2">
        <f t="shared" si="39"/>
        <v>0</v>
      </c>
      <c r="AL138" s="2">
        <f t="shared" si="39"/>
        <v>0</v>
      </c>
      <c r="AY138">
        <v>52.529355754578582</v>
      </c>
      <c r="BN138">
        <v>-100.68832295964864</v>
      </c>
    </row>
    <row r="139" spans="2:66" x14ac:dyDescent="0.25">
      <c r="B139" t="e">
        <f t="shared" si="41"/>
        <v>#NUM!</v>
      </c>
      <c r="C139" t="e">
        <f t="shared" si="41"/>
        <v>#NUM!</v>
      </c>
      <c r="W139" t="e">
        <f t="shared" si="40"/>
        <v>#NUM!</v>
      </c>
      <c r="X139">
        <f t="shared" si="42"/>
        <v>61.570799515387513</v>
      </c>
      <c r="Y139">
        <f t="shared" si="43"/>
        <v>28</v>
      </c>
      <c r="Z139">
        <f t="shared" si="44"/>
        <v>-1.5707963267948966</v>
      </c>
      <c r="AA139" t="e">
        <f t="shared" si="45"/>
        <v>#NUM!</v>
      </c>
      <c r="AB139" t="e">
        <f t="shared" si="46"/>
        <v>#NUM!</v>
      </c>
      <c r="AC139" t="e">
        <f t="shared" si="47"/>
        <v>#NUM!</v>
      </c>
      <c r="AE139">
        <v>3.2153875902064446E-6</v>
      </c>
      <c r="AF139">
        <v>-59.999999999999922</v>
      </c>
      <c r="AH139" s="1">
        <v>133</v>
      </c>
      <c r="AI139" s="1">
        <f t="shared" si="38"/>
        <v>0</v>
      </c>
      <c r="AJ139" s="1">
        <f t="shared" si="38"/>
        <v>0</v>
      </c>
      <c r="AK139" s="2">
        <f t="shared" si="39"/>
        <v>0</v>
      </c>
      <c r="AL139" s="2">
        <f t="shared" si="39"/>
        <v>0</v>
      </c>
      <c r="AY139">
        <v>50.000001825464786</v>
      </c>
      <c r="BN139">
        <v>-102.19099659263115</v>
      </c>
    </row>
    <row r="140" spans="2:66" x14ac:dyDescent="0.25">
      <c r="B140" t="e">
        <f t="shared" si="41"/>
        <v>#NUM!</v>
      </c>
      <c r="C140" t="e">
        <f t="shared" si="41"/>
        <v>#NUM!</v>
      </c>
      <c r="W140" t="e">
        <f t="shared" si="40"/>
        <v>#NUM!</v>
      </c>
      <c r="X140">
        <f t="shared" si="42"/>
        <v>61.570799515387513</v>
      </c>
      <c r="Y140">
        <f t="shared" si="43"/>
        <v>28</v>
      </c>
      <c r="Z140">
        <f t="shared" si="44"/>
        <v>-1.5707963267948966</v>
      </c>
      <c r="AA140" t="e">
        <f t="shared" si="45"/>
        <v>#NUM!</v>
      </c>
      <c r="AB140" t="e">
        <f t="shared" si="46"/>
        <v>#NUM!</v>
      </c>
      <c r="AC140" t="e">
        <f t="shared" si="47"/>
        <v>#NUM!</v>
      </c>
      <c r="AE140">
        <v>3.2153875902064446E-6</v>
      </c>
      <c r="AF140">
        <v>-59.999999999999922</v>
      </c>
      <c r="AH140" s="1">
        <v>134</v>
      </c>
      <c r="AI140" s="1">
        <f t="shared" si="38"/>
        <v>0</v>
      </c>
      <c r="AJ140" s="1">
        <f t="shared" si="38"/>
        <v>0</v>
      </c>
      <c r="AK140" s="2">
        <f t="shared" si="39"/>
        <v>0</v>
      </c>
      <c r="AL140" s="2">
        <f t="shared" si="39"/>
        <v>0</v>
      </c>
      <c r="AY140">
        <v>47.433971372563768</v>
      </c>
      <c r="BN140">
        <v>-103.63014462558976</v>
      </c>
    </row>
    <row r="141" spans="2:66" x14ac:dyDescent="0.25">
      <c r="B141" t="e">
        <f t="shared" si="41"/>
        <v>#NUM!</v>
      </c>
      <c r="C141" t="e">
        <f t="shared" si="41"/>
        <v>#NUM!</v>
      </c>
      <c r="W141" t="e">
        <f t="shared" si="40"/>
        <v>#NUM!</v>
      </c>
      <c r="X141">
        <f t="shared" si="42"/>
        <v>61.570799515387513</v>
      </c>
      <c r="Y141">
        <f t="shared" si="43"/>
        <v>28</v>
      </c>
      <c r="Z141">
        <f t="shared" si="44"/>
        <v>-1.5707963267948966</v>
      </c>
      <c r="AA141" t="e">
        <f t="shared" si="45"/>
        <v>#NUM!</v>
      </c>
      <c r="AB141" t="e">
        <f t="shared" si="46"/>
        <v>#NUM!</v>
      </c>
      <c r="AC141" t="e">
        <f t="shared" si="47"/>
        <v>#NUM!</v>
      </c>
      <c r="AE141">
        <v>3.2153875902064446E-6</v>
      </c>
      <c r="AF141">
        <v>-59.999999999999922</v>
      </c>
      <c r="AH141" s="1">
        <v>135</v>
      </c>
      <c r="AI141" s="1">
        <f t="shared" si="38"/>
        <v>0</v>
      </c>
      <c r="AJ141" s="1">
        <f t="shared" si="38"/>
        <v>0</v>
      </c>
      <c r="AK141" s="2">
        <f t="shared" si="39"/>
        <v>0</v>
      </c>
      <c r="AL141" s="2">
        <f t="shared" si="39"/>
        <v>0</v>
      </c>
      <c r="AY141">
        <v>44.832859532723496</v>
      </c>
      <c r="BN141">
        <v>-105.00487243233079</v>
      </c>
    </row>
    <row r="142" spans="2:66" x14ac:dyDescent="0.25">
      <c r="B142" t="e">
        <f t="shared" si="41"/>
        <v>#NUM!</v>
      </c>
      <c r="C142" t="e">
        <f t="shared" si="41"/>
        <v>#NUM!</v>
      </c>
      <c r="W142" t="e">
        <f t="shared" si="40"/>
        <v>#NUM!</v>
      </c>
      <c r="X142">
        <f t="shared" si="42"/>
        <v>61.570799515387513</v>
      </c>
      <c r="Y142">
        <f t="shared" si="43"/>
        <v>28</v>
      </c>
      <c r="Z142">
        <f t="shared" si="44"/>
        <v>-1.5707963267948966</v>
      </c>
      <c r="AA142" t="e">
        <f t="shared" si="45"/>
        <v>#NUM!</v>
      </c>
      <c r="AB142" t="e">
        <f t="shared" si="46"/>
        <v>#NUM!</v>
      </c>
      <c r="AC142" t="e">
        <f t="shared" si="47"/>
        <v>#NUM!</v>
      </c>
      <c r="AE142">
        <v>3.2153875902064446E-6</v>
      </c>
      <c r="AF142">
        <v>-59.999999999999922</v>
      </c>
      <c r="AH142" s="1">
        <v>136</v>
      </c>
      <c r="AI142" s="1">
        <f t="shared" si="38"/>
        <v>0</v>
      </c>
      <c r="AJ142" s="1">
        <f t="shared" si="38"/>
        <v>0</v>
      </c>
      <c r="AK142" s="2">
        <f t="shared" si="39"/>
        <v>0</v>
      </c>
      <c r="AL142" s="2">
        <f t="shared" si="39"/>
        <v>0</v>
      </c>
      <c r="AY142">
        <v>42.198283250644259</v>
      </c>
      <c r="BN142">
        <v>-106.31432543259069</v>
      </c>
    </row>
    <row r="143" spans="2:66" x14ac:dyDescent="0.25">
      <c r="W143" t="e">
        <f t="shared" si="40"/>
        <v>#NUM!</v>
      </c>
      <c r="X143">
        <f t="shared" si="42"/>
        <v>61.570799515387513</v>
      </c>
      <c r="Y143">
        <f t="shared" si="43"/>
        <v>28</v>
      </c>
      <c r="Z143">
        <f t="shared" si="44"/>
        <v>-1.5707963267948966</v>
      </c>
      <c r="AA143" t="e">
        <f t="shared" si="45"/>
        <v>#NUM!</v>
      </c>
      <c r="AB143" t="e">
        <f t="shared" si="46"/>
        <v>#NUM!</v>
      </c>
      <c r="AC143" t="e">
        <f t="shared" si="47"/>
        <v>#NUM!</v>
      </c>
      <c r="AE143">
        <v>3.2153875902064446E-6</v>
      </c>
      <c r="AF143">
        <v>-59.999999999999922</v>
      </c>
      <c r="AH143" s="1">
        <v>137</v>
      </c>
      <c r="AI143" s="1">
        <f t="shared" si="38"/>
        <v>0</v>
      </c>
      <c r="AJ143" s="1">
        <f t="shared" si="38"/>
        <v>0</v>
      </c>
      <c r="AK143" s="2">
        <f t="shared" si="39"/>
        <v>0</v>
      </c>
      <c r="AL143" s="2">
        <f t="shared" si="39"/>
        <v>0</v>
      </c>
      <c r="AY143">
        <v>39.531880273727573</v>
      </c>
      <c r="BN143">
        <v>-107.55768962327413</v>
      </c>
    </row>
    <row r="144" spans="2:66" x14ac:dyDescent="0.25">
      <c r="W144" t="e">
        <f t="shared" si="40"/>
        <v>#NUM!</v>
      </c>
      <c r="X144">
        <f t="shared" si="42"/>
        <v>61.570799515387513</v>
      </c>
      <c r="Y144">
        <f t="shared" si="43"/>
        <v>28</v>
      </c>
      <c r="Z144">
        <f t="shared" si="44"/>
        <v>-1.5707963267948966</v>
      </c>
      <c r="AA144" t="e">
        <f t="shared" si="45"/>
        <v>#NUM!</v>
      </c>
      <c r="AB144" t="e">
        <f t="shared" si="46"/>
        <v>#NUM!</v>
      </c>
      <c r="AC144" t="e">
        <f t="shared" si="47"/>
        <v>#NUM!</v>
      </c>
      <c r="AE144">
        <v>3.2153875902064446E-6</v>
      </c>
      <c r="AF144">
        <v>-59.999999999999922</v>
      </c>
      <c r="AH144" s="1">
        <v>138</v>
      </c>
      <c r="AI144" s="1">
        <f t="shared" si="38"/>
        <v>0</v>
      </c>
      <c r="AJ144" s="1">
        <f t="shared" si="38"/>
        <v>0</v>
      </c>
      <c r="AK144" s="2">
        <f t="shared" si="39"/>
        <v>0</v>
      </c>
      <c r="AL144" s="2">
        <f t="shared" si="39"/>
        <v>0</v>
      </c>
      <c r="AY144">
        <v>36.835308133993479</v>
      </c>
      <c r="BN144">
        <v>-108.73419208446748</v>
      </c>
    </row>
    <row r="145" spans="23:66" x14ac:dyDescent="0.25">
      <c r="W145" t="e">
        <f t="shared" si="40"/>
        <v>#NUM!</v>
      </c>
      <c r="X145">
        <f t="shared" si="42"/>
        <v>61.570799515387513</v>
      </c>
      <c r="Y145">
        <f t="shared" si="43"/>
        <v>28</v>
      </c>
      <c r="Z145">
        <f t="shared" si="44"/>
        <v>-1.5707963267948966</v>
      </c>
      <c r="AA145" t="e">
        <f t="shared" si="45"/>
        <v>#NUM!</v>
      </c>
      <c r="AB145" t="e">
        <f t="shared" si="46"/>
        <v>#NUM!</v>
      </c>
      <c r="AC145" t="e">
        <f t="shared" si="47"/>
        <v>#NUM!</v>
      </c>
      <c r="AE145">
        <v>3.2153875902064446E-6</v>
      </c>
      <c r="AF145">
        <v>-59.999999999999922</v>
      </c>
      <c r="AH145" s="1">
        <v>139</v>
      </c>
      <c r="AI145" s="1">
        <f t="shared" si="38"/>
        <v>0</v>
      </c>
      <c r="AJ145" s="1">
        <f t="shared" si="38"/>
        <v>0</v>
      </c>
      <c r="AK145" s="2">
        <f t="shared" si="39"/>
        <v>0</v>
      </c>
      <c r="AL145" s="2">
        <f t="shared" si="39"/>
        <v>0</v>
      </c>
      <c r="AY145">
        <v>34.110243117699014</v>
      </c>
      <c r="BN145">
        <v>-109.84310145991365</v>
      </c>
    </row>
    <row r="146" spans="23:66" x14ac:dyDescent="0.25">
      <c r="W146" t="e">
        <f t="shared" si="40"/>
        <v>#NUM!</v>
      </c>
      <c r="X146">
        <f t="shared" si="42"/>
        <v>61.570799515387513</v>
      </c>
      <c r="Y146">
        <f t="shared" si="43"/>
        <v>28</v>
      </c>
      <c r="Z146">
        <f t="shared" si="44"/>
        <v>-1.5707963267948966</v>
      </c>
      <c r="AA146" t="e">
        <f t="shared" si="45"/>
        <v>#NUM!</v>
      </c>
      <c r="AB146" t="e">
        <f t="shared" si="46"/>
        <v>#NUM!</v>
      </c>
      <c r="AC146" t="e">
        <f t="shared" si="47"/>
        <v>#NUM!</v>
      </c>
      <c r="AE146">
        <v>3.2153875902064446E-6</v>
      </c>
      <c r="AF146">
        <v>-59.999999999999922</v>
      </c>
      <c r="AH146" s="1">
        <v>140</v>
      </c>
      <c r="AI146" s="1">
        <f t="shared" si="38"/>
        <v>0</v>
      </c>
      <c r="AJ146" s="1">
        <f t="shared" si="38"/>
        <v>0</v>
      </c>
      <c r="AK146" s="2">
        <f t="shared" si="39"/>
        <v>0</v>
      </c>
      <c r="AL146" s="2">
        <f t="shared" si="39"/>
        <v>0</v>
      </c>
      <c r="AY146">
        <v>31.358379223298492</v>
      </c>
      <c r="BN146">
        <v>-110.88372841164941</v>
      </c>
    </row>
    <row r="147" spans="23:66" x14ac:dyDescent="0.25">
      <c r="W147" t="e">
        <f t="shared" si="40"/>
        <v>#NUM!</v>
      </c>
      <c r="X147">
        <f t="shared" si="42"/>
        <v>61.570799515387513</v>
      </c>
      <c r="Y147">
        <f t="shared" si="43"/>
        <v>28</v>
      </c>
      <c r="Z147">
        <f t="shared" si="44"/>
        <v>-1.5707963267948966</v>
      </c>
      <c r="AA147" t="e">
        <f t="shared" si="45"/>
        <v>#NUM!</v>
      </c>
      <c r="AB147" t="e">
        <f t="shared" si="46"/>
        <v>#NUM!</v>
      </c>
      <c r="AC147" t="e">
        <f t="shared" si="47"/>
        <v>#NUM!</v>
      </c>
      <c r="AE147">
        <v>3.2153875902064446E-6</v>
      </c>
      <c r="AF147">
        <v>-59.999999999999922</v>
      </c>
      <c r="AH147" s="1">
        <v>141</v>
      </c>
      <c r="AI147" s="1">
        <f t="shared" si="38"/>
        <v>0</v>
      </c>
      <c r="AJ147" s="1">
        <f t="shared" si="38"/>
        <v>0</v>
      </c>
      <c r="AK147" s="2">
        <f t="shared" si="39"/>
        <v>0</v>
      </c>
      <c r="AL147" s="2">
        <f t="shared" si="39"/>
        <v>0</v>
      </c>
      <c r="AY147">
        <v>28.581427108392873</v>
      </c>
      <c r="BN147">
        <v>-111.8554260485228</v>
      </c>
    </row>
    <row r="148" spans="23:66" x14ac:dyDescent="0.25">
      <c r="W148" t="e">
        <f t="shared" si="40"/>
        <v>#NUM!</v>
      </c>
      <c r="X148">
        <f t="shared" si="42"/>
        <v>61.570799515387513</v>
      </c>
      <c r="Y148">
        <f t="shared" si="43"/>
        <v>28</v>
      </c>
      <c r="Z148">
        <f t="shared" si="44"/>
        <v>-1.5707963267948966</v>
      </c>
      <c r="AA148" t="e">
        <f t="shared" si="45"/>
        <v>#NUM!</v>
      </c>
      <c r="AB148" t="e">
        <f t="shared" si="46"/>
        <v>#NUM!</v>
      </c>
      <c r="AC148" t="e">
        <f t="shared" si="47"/>
        <v>#NUM!</v>
      </c>
      <c r="AE148">
        <v>3.2153875902064446E-6</v>
      </c>
      <c r="AF148">
        <v>-59.999999999999922</v>
      </c>
      <c r="AH148" s="1">
        <v>142</v>
      </c>
      <c r="AI148" s="1">
        <f t="shared" si="38"/>
        <v>0</v>
      </c>
      <c r="AJ148" s="1">
        <f t="shared" si="38"/>
        <v>0</v>
      </c>
      <c r="AK148" s="2">
        <f t="shared" si="39"/>
        <v>0</v>
      </c>
      <c r="AL148" s="2">
        <f t="shared" si="39"/>
        <v>0</v>
      </c>
      <c r="AY148">
        <v>25.781113026323638</v>
      </c>
      <c r="BN148">
        <v>-112.7575903283238</v>
      </c>
    </row>
    <row r="149" spans="23:66" x14ac:dyDescent="0.25">
      <c r="W149" t="e">
        <f t="shared" si="40"/>
        <v>#NUM!</v>
      </c>
      <c r="X149">
        <f t="shared" si="42"/>
        <v>61.570799515387513</v>
      </c>
      <c r="Y149">
        <f t="shared" si="43"/>
        <v>28</v>
      </c>
      <c r="Z149">
        <f t="shared" si="44"/>
        <v>-1.5707963267948966</v>
      </c>
      <c r="AA149" t="e">
        <f t="shared" si="45"/>
        <v>#NUM!</v>
      </c>
      <c r="AB149" t="e">
        <f t="shared" si="46"/>
        <v>#NUM!</v>
      </c>
      <c r="AC149" t="e">
        <f t="shared" si="47"/>
        <v>#NUM!</v>
      </c>
      <c r="AE149">
        <v>3.2153875902064446E-6</v>
      </c>
      <c r="AF149">
        <v>-59.999999999999922</v>
      </c>
      <c r="AH149" s="1">
        <v>143</v>
      </c>
      <c r="AI149" s="1">
        <f t="shared" si="38"/>
        <v>0</v>
      </c>
      <c r="AJ149" s="1">
        <f t="shared" si="38"/>
        <v>0</v>
      </c>
      <c r="AK149" s="2">
        <f t="shared" si="39"/>
        <v>0</v>
      </c>
      <c r="AL149" s="2">
        <f t="shared" si="39"/>
        <v>0</v>
      </c>
      <c r="AY149">
        <v>22.959177753071529</v>
      </c>
      <c r="BN149">
        <v>-113.58966043327878</v>
      </c>
    </row>
    <row r="150" spans="23:66" x14ac:dyDescent="0.25">
      <c r="W150" t="e">
        <f t="shared" si="40"/>
        <v>#NUM!</v>
      </c>
      <c r="X150">
        <f t="shared" si="42"/>
        <v>61.570799515387513</v>
      </c>
      <c r="Y150">
        <f t="shared" si="43"/>
        <v>28</v>
      </c>
      <c r="Z150">
        <f t="shared" si="44"/>
        <v>-1.5707963267948966</v>
      </c>
      <c r="AA150" t="e">
        <f t="shared" si="45"/>
        <v>#NUM!</v>
      </c>
      <c r="AB150" t="e">
        <f t="shared" si="46"/>
        <v>#NUM!</v>
      </c>
      <c r="AC150" t="e">
        <f t="shared" si="47"/>
        <v>#NUM!</v>
      </c>
      <c r="AE150">
        <v>3.2153875902064446E-6</v>
      </c>
      <c r="AF150">
        <v>-59.999999999999922</v>
      </c>
      <c r="AH150" s="1">
        <v>144</v>
      </c>
      <c r="AI150" s="1">
        <f t="shared" si="38"/>
        <v>0</v>
      </c>
      <c r="AJ150" s="1">
        <f t="shared" si="38"/>
        <v>0</v>
      </c>
      <c r="AK150" s="2">
        <f t="shared" si="39"/>
        <v>0</v>
      </c>
      <c r="AL150" s="2">
        <f t="shared" si="39"/>
        <v>0</v>
      </c>
      <c r="AY150">
        <v>20.117375505127672</v>
      </c>
      <c r="BN150">
        <v>-114.35111911867497</v>
      </c>
    </row>
    <row r="151" spans="23:66" x14ac:dyDescent="0.25">
      <c r="W151" t="e">
        <f t="shared" si="40"/>
        <v>#NUM!</v>
      </c>
      <c r="X151">
        <f t="shared" si="42"/>
        <v>61.570799515387513</v>
      </c>
      <c r="Y151">
        <f t="shared" si="43"/>
        <v>28</v>
      </c>
      <c r="Z151">
        <f t="shared" si="44"/>
        <v>-1.5707963267948966</v>
      </c>
      <c r="AA151" t="e">
        <f t="shared" si="45"/>
        <v>#NUM!</v>
      </c>
      <c r="AB151" t="e">
        <f t="shared" si="46"/>
        <v>#NUM!</v>
      </c>
      <c r="AC151" t="e">
        <f t="shared" si="47"/>
        <v>#NUM!</v>
      </c>
      <c r="AE151">
        <v>3.2153875902064446E-6</v>
      </c>
      <c r="AF151">
        <v>-59.999999999999922</v>
      </c>
      <c r="AH151" s="1">
        <v>145</v>
      </c>
      <c r="AI151" s="1">
        <f t="shared" ref="AI151:AJ214" si="48">U151</f>
        <v>0</v>
      </c>
      <c r="AJ151" s="1">
        <f t="shared" si="48"/>
        <v>0</v>
      </c>
      <c r="AK151" s="2">
        <f t="shared" ref="AK151:AL214" si="49">D151*180/3.1415926</f>
        <v>0</v>
      </c>
      <c r="AL151" s="2">
        <f t="shared" si="49"/>
        <v>0</v>
      </c>
      <c r="AY151">
        <v>17.257472849009325</v>
      </c>
      <c r="BN151">
        <v>-115.0414930343984</v>
      </c>
    </row>
    <row r="152" spans="23:66" x14ac:dyDescent="0.25">
      <c r="W152" t="e">
        <f t="shared" si="40"/>
        <v>#NUM!</v>
      </c>
      <c r="X152">
        <f t="shared" si="42"/>
        <v>61.570799515387513</v>
      </c>
      <c r="Y152">
        <f t="shared" si="43"/>
        <v>28</v>
      </c>
      <c r="Z152">
        <f t="shared" si="44"/>
        <v>-1.5707963267948966</v>
      </c>
      <c r="AA152" t="e">
        <f t="shared" si="45"/>
        <v>#NUM!</v>
      </c>
      <c r="AB152" t="e">
        <f t="shared" si="46"/>
        <v>#NUM!</v>
      </c>
      <c r="AC152" t="e">
        <f t="shared" si="47"/>
        <v>#NUM!</v>
      </c>
      <c r="AE152">
        <v>3.2153875902064446E-6</v>
      </c>
      <c r="AF152">
        <v>-59.999999999999922</v>
      </c>
      <c r="AH152" s="1">
        <v>146</v>
      </c>
      <c r="AI152" s="1">
        <f t="shared" si="48"/>
        <v>0</v>
      </c>
      <c r="AJ152" s="1">
        <f t="shared" si="48"/>
        <v>0</v>
      </c>
      <c r="AK152" s="2">
        <f t="shared" si="49"/>
        <v>0</v>
      </c>
      <c r="AL152" s="2">
        <f t="shared" si="49"/>
        <v>0</v>
      </c>
      <c r="AY152">
        <v>14.381247603098693</v>
      </c>
      <c r="BN152">
        <v>-115.66035301918541</v>
      </c>
    </row>
    <row r="153" spans="23:66" x14ac:dyDescent="0.25">
      <c r="W153" t="e">
        <f t="shared" si="40"/>
        <v>#NUM!</v>
      </c>
      <c r="X153">
        <f t="shared" si="42"/>
        <v>61.570799515387513</v>
      </c>
      <c r="Y153">
        <f t="shared" si="43"/>
        <v>28</v>
      </c>
      <c r="Z153">
        <f t="shared" si="44"/>
        <v>-1.5707963267948966</v>
      </c>
      <c r="AA153" t="e">
        <f t="shared" si="45"/>
        <v>#NUM!</v>
      </c>
      <c r="AB153" t="e">
        <f t="shared" si="46"/>
        <v>#NUM!</v>
      </c>
      <c r="AC153" t="e">
        <f t="shared" si="47"/>
        <v>#NUM!</v>
      </c>
      <c r="AE153">
        <v>3.2153875902064446E-6</v>
      </c>
      <c r="AF153">
        <v>-59.999999999999922</v>
      </c>
      <c r="AH153" s="1">
        <v>147</v>
      </c>
      <c r="AI153" s="1">
        <f t="shared" si="48"/>
        <v>0</v>
      </c>
      <c r="AJ153" s="1">
        <f t="shared" si="48"/>
        <v>0</v>
      </c>
      <c r="AK153" s="2">
        <f t="shared" si="49"/>
        <v>0</v>
      </c>
      <c r="AL153" s="2">
        <f t="shared" si="49"/>
        <v>0</v>
      </c>
      <c r="AY153">
        <v>11.4904877324871</v>
      </c>
      <c r="BN153">
        <v>-116.20731436740459</v>
      </c>
    </row>
    <row r="154" spans="23:66" x14ac:dyDescent="0.25">
      <c r="W154" t="e">
        <f t="shared" si="40"/>
        <v>#NUM!</v>
      </c>
      <c r="X154">
        <f t="shared" si="42"/>
        <v>61.570799515387513</v>
      </c>
      <c r="Y154">
        <f t="shared" si="43"/>
        <v>28</v>
      </c>
      <c r="Z154">
        <f t="shared" si="44"/>
        <v>-1.5707963267948966</v>
      </c>
      <c r="AA154" t="e">
        <f t="shared" si="45"/>
        <v>#NUM!</v>
      </c>
      <c r="AB154" t="e">
        <f t="shared" si="46"/>
        <v>#NUM!</v>
      </c>
      <c r="AC154" t="e">
        <f t="shared" si="47"/>
        <v>#NUM!</v>
      </c>
      <c r="AE154">
        <v>3.2153875902064446E-6</v>
      </c>
      <c r="AF154">
        <v>-59.999999999999922</v>
      </c>
      <c r="AH154" s="1">
        <v>148</v>
      </c>
      <c r="AI154" s="1">
        <f t="shared" si="48"/>
        <v>0</v>
      </c>
      <c r="AJ154" s="1">
        <f t="shared" si="48"/>
        <v>0</v>
      </c>
      <c r="AK154" s="2">
        <f t="shared" si="49"/>
        <v>0</v>
      </c>
      <c r="AL154" s="2">
        <f t="shared" si="49"/>
        <v>0</v>
      </c>
      <c r="AY154">
        <v>8.5869902375114009</v>
      </c>
      <c r="BN154">
        <v>-116.68203706820377</v>
      </c>
    </row>
    <row r="155" spans="23:66" x14ac:dyDescent="0.25">
      <c r="W155" t="e">
        <f t="shared" si="40"/>
        <v>#NUM!</v>
      </c>
      <c r="X155">
        <f t="shared" si="42"/>
        <v>61.570799515387513</v>
      </c>
      <c r="Y155">
        <f t="shared" si="43"/>
        <v>28</v>
      </c>
      <c r="Z155">
        <f t="shared" si="44"/>
        <v>-1.5707963267948966</v>
      </c>
      <c r="AA155" t="e">
        <f t="shared" si="45"/>
        <v>#NUM!</v>
      </c>
      <c r="AB155" t="e">
        <f t="shared" si="46"/>
        <v>#NUM!</v>
      </c>
      <c r="AC155" t="e">
        <f t="shared" si="47"/>
        <v>#NUM!</v>
      </c>
      <c r="AE155">
        <v>3.2153875902064446E-6</v>
      </c>
      <c r="AF155">
        <v>-59.999999999999922</v>
      </c>
      <c r="AH155" s="1">
        <v>149</v>
      </c>
      <c r="AI155" s="1">
        <f t="shared" si="48"/>
        <v>0</v>
      </c>
      <c r="AJ155" s="1">
        <f t="shared" si="48"/>
        <v>0</v>
      </c>
      <c r="AK155" s="2">
        <f t="shared" si="49"/>
        <v>0</v>
      </c>
      <c r="AL155" s="2">
        <f t="shared" si="49"/>
        <v>0</v>
      </c>
      <c r="AY155">
        <v>5.6725600366741151</v>
      </c>
      <c r="BN155">
        <v>-117.08422601687298</v>
      </c>
    </row>
    <row r="156" spans="23:66" x14ac:dyDescent="0.25">
      <c r="W156" t="e">
        <f t="shared" si="40"/>
        <v>#NUM!</v>
      </c>
      <c r="X156">
        <f t="shared" si="42"/>
        <v>61.570799515387513</v>
      </c>
      <c r="Y156">
        <f t="shared" si="43"/>
        <v>28</v>
      </c>
      <c r="Z156">
        <f t="shared" si="44"/>
        <v>-1.5707963267948966</v>
      </c>
      <c r="AA156" t="e">
        <f t="shared" si="45"/>
        <v>#NUM!</v>
      </c>
      <c r="AB156" t="e">
        <f t="shared" si="46"/>
        <v>#NUM!</v>
      </c>
      <c r="AC156" t="e">
        <f t="shared" si="47"/>
        <v>#NUM!</v>
      </c>
      <c r="AE156">
        <v>3.2153875902064446E-6</v>
      </c>
      <c r="AF156">
        <v>-59.999999999999922</v>
      </c>
      <c r="AH156" s="1">
        <v>150</v>
      </c>
      <c r="AI156" s="1">
        <f t="shared" si="48"/>
        <v>0</v>
      </c>
      <c r="AJ156" s="1">
        <f t="shared" si="48"/>
        <v>0</v>
      </c>
      <c r="AK156" s="2">
        <f t="shared" si="49"/>
        <v>0</v>
      </c>
      <c r="AL156" s="2">
        <f t="shared" si="49"/>
        <v>0</v>
      </c>
      <c r="AY156">
        <v>2.7490088446409864</v>
      </c>
      <c r="BN156">
        <v>-117.41363119829208</v>
      </c>
    </row>
    <row r="157" spans="23:66" x14ac:dyDescent="0.25">
      <c r="W157" t="e">
        <f t="shared" si="40"/>
        <v>#NUM!</v>
      </c>
      <c r="X157">
        <f t="shared" si="42"/>
        <v>61.570799515387513</v>
      </c>
      <c r="Y157">
        <f t="shared" si="43"/>
        <v>28</v>
      </c>
      <c r="Z157">
        <f t="shared" si="44"/>
        <v>-1.5707963267948966</v>
      </c>
      <c r="AA157" t="e">
        <f t="shared" si="45"/>
        <v>#NUM!</v>
      </c>
      <c r="AB157" t="e">
        <f t="shared" si="46"/>
        <v>#NUM!</v>
      </c>
      <c r="AC157" t="e">
        <f t="shared" si="47"/>
        <v>#NUM!</v>
      </c>
      <c r="AE157">
        <v>3.2153875902064446E-6</v>
      </c>
      <c r="AF157">
        <v>-59.999999999999922</v>
      </c>
      <c r="AH157" s="1">
        <v>151</v>
      </c>
      <c r="AI157" s="1">
        <f t="shared" si="48"/>
        <v>0</v>
      </c>
      <c r="AJ157" s="1">
        <f t="shared" si="48"/>
        <v>0</v>
      </c>
      <c r="AK157" s="2">
        <f t="shared" si="49"/>
        <v>0</v>
      </c>
      <c r="AL157" s="2">
        <f t="shared" si="49"/>
        <v>0</v>
      </c>
      <c r="AY157">
        <v>0</v>
      </c>
      <c r="BN157">
        <v>-117.65627905046122</v>
      </c>
    </row>
    <row r="158" spans="23:66" x14ac:dyDescent="0.25">
      <c r="W158" t="e">
        <f t="shared" si="40"/>
        <v>#NUM!</v>
      </c>
      <c r="X158">
        <f t="shared" si="42"/>
        <v>61.570799515387513</v>
      </c>
      <c r="Y158">
        <f t="shared" si="43"/>
        <v>28</v>
      </c>
      <c r="Z158">
        <f t="shared" si="44"/>
        <v>-1.5707963267948966</v>
      </c>
      <c r="AA158" t="e">
        <f t="shared" si="45"/>
        <v>#NUM!</v>
      </c>
      <c r="AB158" t="e">
        <f t="shared" si="46"/>
        <v>#NUM!</v>
      </c>
      <c r="AC158" t="e">
        <f t="shared" si="47"/>
        <v>#NUM!</v>
      </c>
      <c r="AE158">
        <v>3.2153875902064446E-6</v>
      </c>
      <c r="AF158">
        <v>-59.999999999999922</v>
      </c>
      <c r="AH158" s="1">
        <v>152</v>
      </c>
      <c r="AI158" s="1">
        <f t="shared" si="48"/>
        <v>0</v>
      </c>
      <c r="AJ158" s="1">
        <f t="shared" si="48"/>
        <v>0</v>
      </c>
      <c r="AK158" s="2">
        <f t="shared" si="49"/>
        <v>0</v>
      </c>
      <c r="AL158" s="2">
        <f t="shared" si="49"/>
        <v>0</v>
      </c>
      <c r="AY158">
        <v>0</v>
      </c>
      <c r="BN158">
        <v>-117.65627905046122</v>
      </c>
    </row>
    <row r="159" spans="23:66" x14ac:dyDescent="0.25">
      <c r="W159" t="e">
        <f t="shared" si="40"/>
        <v>#NUM!</v>
      </c>
      <c r="X159">
        <f t="shared" si="42"/>
        <v>61.570799515387513</v>
      </c>
      <c r="Y159">
        <f t="shared" si="43"/>
        <v>28</v>
      </c>
      <c r="Z159">
        <f t="shared" si="44"/>
        <v>-1.5707963267948966</v>
      </c>
      <c r="AA159" t="e">
        <f t="shared" si="45"/>
        <v>#NUM!</v>
      </c>
      <c r="AB159" t="e">
        <f t="shared" si="46"/>
        <v>#NUM!</v>
      </c>
      <c r="AC159" t="e">
        <f t="shared" si="47"/>
        <v>#NUM!</v>
      </c>
      <c r="AE159">
        <v>3.2153875902064446E-6</v>
      </c>
      <c r="AF159">
        <v>-59.999999999999922</v>
      </c>
      <c r="AH159" s="1">
        <v>153</v>
      </c>
      <c r="AI159" s="1">
        <f t="shared" si="48"/>
        <v>0</v>
      </c>
      <c r="AJ159" s="1">
        <f t="shared" si="48"/>
        <v>0</v>
      </c>
      <c r="AK159" s="2">
        <f t="shared" si="49"/>
        <v>0</v>
      </c>
      <c r="AL159" s="2">
        <f t="shared" si="49"/>
        <v>0</v>
      </c>
      <c r="AY159">
        <v>0</v>
      </c>
      <c r="BN159">
        <v>-117.65627905046122</v>
      </c>
    </row>
    <row r="160" spans="23:66" x14ac:dyDescent="0.25">
      <c r="W160" t="e">
        <f t="shared" si="40"/>
        <v>#NUM!</v>
      </c>
      <c r="X160">
        <f t="shared" si="42"/>
        <v>61.570799515387513</v>
      </c>
      <c r="Y160">
        <f t="shared" si="43"/>
        <v>28</v>
      </c>
      <c r="Z160">
        <f t="shared" si="44"/>
        <v>-1.5707963267948966</v>
      </c>
      <c r="AA160" t="e">
        <f t="shared" si="45"/>
        <v>#NUM!</v>
      </c>
      <c r="AB160" t="e">
        <f t="shared" si="46"/>
        <v>#NUM!</v>
      </c>
      <c r="AC160" t="e">
        <f t="shared" si="47"/>
        <v>#NUM!</v>
      </c>
      <c r="AE160">
        <v>3.2153875902064446E-6</v>
      </c>
      <c r="AF160">
        <v>-59.999999999999922</v>
      </c>
      <c r="AH160" s="1">
        <v>154</v>
      </c>
      <c r="AI160" s="1">
        <f t="shared" si="48"/>
        <v>0</v>
      </c>
      <c r="AJ160" s="1">
        <f t="shared" si="48"/>
        <v>0</v>
      </c>
      <c r="AK160" s="2">
        <f t="shared" si="49"/>
        <v>0</v>
      </c>
      <c r="AL160" s="2">
        <f t="shared" si="49"/>
        <v>0</v>
      </c>
      <c r="AY160">
        <v>0</v>
      </c>
      <c r="BN160">
        <v>-117.65627905046122</v>
      </c>
    </row>
    <row r="161" spans="23:67" x14ac:dyDescent="0.25">
      <c r="W161" t="e">
        <f t="shared" si="40"/>
        <v>#NUM!</v>
      </c>
      <c r="X161">
        <f t="shared" si="42"/>
        <v>61.570799515387513</v>
      </c>
      <c r="Y161">
        <f t="shared" si="43"/>
        <v>28</v>
      </c>
      <c r="Z161">
        <f t="shared" si="44"/>
        <v>-1.5707963267948966</v>
      </c>
      <c r="AA161" t="e">
        <f t="shared" si="45"/>
        <v>#NUM!</v>
      </c>
      <c r="AB161" t="e">
        <f t="shared" si="46"/>
        <v>#NUM!</v>
      </c>
      <c r="AC161" t="e">
        <f t="shared" si="47"/>
        <v>#NUM!</v>
      </c>
      <c r="AE161">
        <v>3.2153875902064446E-6</v>
      </c>
      <c r="AF161">
        <v>-59.999999999999922</v>
      </c>
      <c r="AH161" s="1">
        <v>155</v>
      </c>
      <c r="AI161" s="1">
        <f t="shared" si="48"/>
        <v>0</v>
      </c>
      <c r="AJ161" s="1">
        <f t="shared" si="48"/>
        <v>0</v>
      </c>
      <c r="AK161" s="2">
        <f t="shared" si="49"/>
        <v>0</v>
      </c>
      <c r="AL161" s="2">
        <f t="shared" si="49"/>
        <v>0</v>
      </c>
      <c r="AY161">
        <v>1.9499106062863438</v>
      </c>
      <c r="BO161">
        <v>-117.49084787531784</v>
      </c>
    </row>
    <row r="162" spans="23:67" x14ac:dyDescent="0.25">
      <c r="W162" t="e">
        <f t="shared" si="40"/>
        <v>#NUM!</v>
      </c>
      <c r="X162">
        <f t="shared" si="42"/>
        <v>61.570799515387513</v>
      </c>
      <c r="Y162">
        <f t="shared" si="43"/>
        <v>28</v>
      </c>
      <c r="Z162">
        <f t="shared" si="44"/>
        <v>-1.5707963267948966</v>
      </c>
      <c r="AA162" t="e">
        <f t="shared" si="45"/>
        <v>#NUM!</v>
      </c>
      <c r="AB162" t="e">
        <f t="shared" si="46"/>
        <v>#NUM!</v>
      </c>
      <c r="AC162" t="e">
        <f t="shared" si="47"/>
        <v>#NUM!</v>
      </c>
      <c r="AE162">
        <v>3.2153875902064446E-6</v>
      </c>
      <c r="AF162">
        <v>-59.999999999999922</v>
      </c>
      <c r="AH162" s="1">
        <v>156</v>
      </c>
      <c r="AI162" s="1">
        <f t="shared" si="48"/>
        <v>0</v>
      </c>
      <c r="AJ162" s="1">
        <f t="shared" si="48"/>
        <v>0</v>
      </c>
      <c r="AK162" s="2">
        <f t="shared" si="49"/>
        <v>0</v>
      </c>
      <c r="AL162" s="2">
        <f t="shared" si="49"/>
        <v>0</v>
      </c>
      <c r="AY162">
        <v>0.4353759783197173</v>
      </c>
      <c r="BO162">
        <v>-117.13419347523326</v>
      </c>
    </row>
    <row r="163" spans="23:67" x14ac:dyDescent="0.25">
      <c r="W163" t="e">
        <f t="shared" si="40"/>
        <v>#NUM!</v>
      </c>
      <c r="X163">
        <f t="shared" si="42"/>
        <v>61.570799515387513</v>
      </c>
      <c r="Y163">
        <f t="shared" si="43"/>
        <v>28</v>
      </c>
      <c r="Z163">
        <f t="shared" si="44"/>
        <v>-1.5707963267948966</v>
      </c>
      <c r="AA163" t="e">
        <f t="shared" si="45"/>
        <v>#NUM!</v>
      </c>
      <c r="AB163" t="e">
        <f t="shared" si="46"/>
        <v>#NUM!</v>
      </c>
      <c r="AC163" t="e">
        <f t="shared" si="47"/>
        <v>#NUM!</v>
      </c>
      <c r="AE163">
        <v>3.2153875902064446E-6</v>
      </c>
      <c r="AF163">
        <v>-59.999999999999922</v>
      </c>
      <c r="AH163" s="1">
        <v>157</v>
      </c>
      <c r="AI163" s="1">
        <f t="shared" si="48"/>
        <v>0</v>
      </c>
      <c r="AJ163" s="1">
        <f t="shared" si="48"/>
        <v>0</v>
      </c>
      <c r="AK163" s="2">
        <f t="shared" si="49"/>
        <v>0</v>
      </c>
      <c r="AL163" s="2">
        <f t="shared" si="49"/>
        <v>0</v>
      </c>
      <c r="AY163">
        <v>-1.8969752270526943</v>
      </c>
      <c r="BO163">
        <v>-116.81085587659453</v>
      </c>
    </row>
    <row r="164" spans="23:67" x14ac:dyDescent="0.25">
      <c r="W164" t="e">
        <f t="shared" si="40"/>
        <v>#NUM!</v>
      </c>
      <c r="X164">
        <f t="shared" si="42"/>
        <v>61.570799515387513</v>
      </c>
      <c r="Y164">
        <f t="shared" si="43"/>
        <v>28</v>
      </c>
      <c r="Z164">
        <f t="shared" si="44"/>
        <v>-1.5707963267948966</v>
      </c>
      <c r="AA164" t="e">
        <f t="shared" si="45"/>
        <v>#NUM!</v>
      </c>
      <c r="AB164" t="e">
        <f t="shared" si="46"/>
        <v>#NUM!</v>
      </c>
      <c r="AC164" t="e">
        <f t="shared" si="47"/>
        <v>#NUM!</v>
      </c>
      <c r="AE164">
        <v>3.2153875902064446E-6</v>
      </c>
      <c r="AF164">
        <v>-59.999999999999922</v>
      </c>
      <c r="AH164" s="1">
        <v>158</v>
      </c>
      <c r="AI164" s="1">
        <f t="shared" si="48"/>
        <v>0</v>
      </c>
      <c r="AJ164" s="1">
        <f t="shared" si="48"/>
        <v>0</v>
      </c>
      <c r="AK164" s="2">
        <f t="shared" si="49"/>
        <v>0</v>
      </c>
      <c r="AL164" s="2">
        <f t="shared" si="49"/>
        <v>0</v>
      </c>
      <c r="AY164">
        <v>-4.3589076120530557</v>
      </c>
      <c r="BO164">
        <v>-116.44690367677877</v>
      </c>
    </row>
    <row r="165" spans="23:67" x14ac:dyDescent="0.25">
      <c r="W165" t="e">
        <f t="shared" si="40"/>
        <v>#NUM!</v>
      </c>
      <c r="X165">
        <f t="shared" si="42"/>
        <v>61.570799515387513</v>
      </c>
      <c r="Y165">
        <f t="shared" si="43"/>
        <v>28</v>
      </c>
      <c r="Z165">
        <f t="shared" si="44"/>
        <v>-1.5707963267948966</v>
      </c>
      <c r="AA165" t="e">
        <f t="shared" si="45"/>
        <v>#NUM!</v>
      </c>
      <c r="AB165" t="e">
        <f t="shared" si="46"/>
        <v>#NUM!</v>
      </c>
      <c r="AC165" t="e">
        <f t="shared" si="47"/>
        <v>#NUM!</v>
      </c>
      <c r="AE165">
        <v>3.2153875902064446E-6</v>
      </c>
      <c r="AF165">
        <v>-59.999999999999922</v>
      </c>
      <c r="AH165" s="1">
        <v>159</v>
      </c>
      <c r="AI165" s="1">
        <f t="shared" si="48"/>
        <v>0</v>
      </c>
      <c r="AJ165" s="1">
        <f t="shared" si="48"/>
        <v>0</v>
      </c>
      <c r="AK165" s="2">
        <f t="shared" si="49"/>
        <v>0</v>
      </c>
      <c r="AL165" s="2">
        <f t="shared" si="49"/>
        <v>0</v>
      </c>
      <c r="AY165">
        <v>-6.8839803504483132</v>
      </c>
      <c r="BO165">
        <v>-116.03281914215236</v>
      </c>
    </row>
    <row r="166" spans="23:67" x14ac:dyDescent="0.25">
      <c r="W166" t="e">
        <f t="shared" si="40"/>
        <v>#NUM!</v>
      </c>
      <c r="X166">
        <f t="shared" si="42"/>
        <v>61.570799515387513</v>
      </c>
      <c r="Y166">
        <f t="shared" si="43"/>
        <v>28</v>
      </c>
      <c r="Z166">
        <f t="shared" si="44"/>
        <v>-1.5707963267948966</v>
      </c>
      <c r="AA166" t="e">
        <f t="shared" si="45"/>
        <v>#NUM!</v>
      </c>
      <c r="AB166" t="e">
        <f t="shared" si="46"/>
        <v>#NUM!</v>
      </c>
      <c r="AC166" t="e">
        <f t="shared" si="47"/>
        <v>#NUM!</v>
      </c>
      <c r="AE166">
        <v>3.2153875902064446E-6</v>
      </c>
      <c r="AF166">
        <v>-59.999999999999922</v>
      </c>
      <c r="AH166" s="1">
        <v>160</v>
      </c>
      <c r="AI166" s="1">
        <f t="shared" si="48"/>
        <v>0</v>
      </c>
      <c r="AJ166" s="1">
        <f t="shared" si="48"/>
        <v>0</v>
      </c>
      <c r="AK166" s="2">
        <f t="shared" si="49"/>
        <v>0</v>
      </c>
      <c r="AL166" s="2">
        <f t="shared" si="49"/>
        <v>0</v>
      </c>
      <c r="AY166">
        <v>-9.445701924974987</v>
      </c>
      <c r="BO166">
        <v>-115.5643346317473</v>
      </c>
    </row>
    <row r="167" spans="23:67" x14ac:dyDescent="0.25">
      <c r="W167" t="e">
        <f t="shared" si="40"/>
        <v>#NUM!</v>
      </c>
      <c r="X167">
        <f t="shared" si="42"/>
        <v>61.570799515387513</v>
      </c>
      <c r="Y167">
        <f t="shared" si="43"/>
        <v>28</v>
      </c>
      <c r="Z167">
        <f t="shared" si="44"/>
        <v>-1.5707963267948966</v>
      </c>
      <c r="AA167" t="e">
        <f t="shared" si="45"/>
        <v>#NUM!</v>
      </c>
      <c r="AB167" t="e">
        <f t="shared" si="46"/>
        <v>#NUM!</v>
      </c>
      <c r="AC167" t="e">
        <f t="shared" si="47"/>
        <v>#NUM!</v>
      </c>
      <c r="AE167">
        <v>3.2153875902064446E-6</v>
      </c>
      <c r="AF167">
        <v>-59.999999999999922</v>
      </c>
      <c r="AH167" s="1">
        <v>161</v>
      </c>
      <c r="AI167" s="1">
        <f t="shared" si="48"/>
        <v>0</v>
      </c>
      <c r="AJ167" s="1">
        <f t="shared" si="48"/>
        <v>0</v>
      </c>
      <c r="AK167" s="2">
        <f t="shared" si="49"/>
        <v>0</v>
      </c>
      <c r="AL167" s="2">
        <f t="shared" si="49"/>
        <v>0</v>
      </c>
      <c r="AY167">
        <v>-12.029847191518842</v>
      </c>
      <c r="BO167">
        <v>-115.03901748242652</v>
      </c>
    </row>
    <row r="168" spans="23:67" x14ac:dyDescent="0.25">
      <c r="W168" t="e">
        <f t="shared" si="40"/>
        <v>#NUM!</v>
      </c>
      <c r="X168">
        <f t="shared" si="42"/>
        <v>61.570799515387513</v>
      </c>
      <c r="Y168">
        <f t="shared" si="43"/>
        <v>28</v>
      </c>
      <c r="Z168">
        <f t="shared" si="44"/>
        <v>-1.5707963267948966</v>
      </c>
      <c r="AA168" t="e">
        <f t="shared" si="45"/>
        <v>#NUM!</v>
      </c>
      <c r="AB168" t="e">
        <f t="shared" si="46"/>
        <v>#NUM!</v>
      </c>
      <c r="AC168" t="e">
        <f t="shared" si="47"/>
        <v>#NUM!</v>
      </c>
      <c r="AE168">
        <v>3.2153875902064446E-6</v>
      </c>
      <c r="AF168">
        <v>-59.999999999999922</v>
      </c>
      <c r="AH168" s="1">
        <v>162</v>
      </c>
      <c r="AI168" s="1">
        <f t="shared" si="48"/>
        <v>0</v>
      </c>
      <c r="AJ168" s="1">
        <f t="shared" si="48"/>
        <v>0</v>
      </c>
      <c r="AK168" s="2">
        <f t="shared" si="49"/>
        <v>0</v>
      </c>
      <c r="AL168" s="2">
        <f t="shared" si="49"/>
        <v>0</v>
      </c>
      <c r="AY168">
        <v>-14.627414945166993</v>
      </c>
      <c r="BO168">
        <v>-114.45531383405392</v>
      </c>
    </row>
    <row r="169" spans="23:67" x14ac:dyDescent="0.25">
      <c r="W169" t="e">
        <f t="shared" si="40"/>
        <v>#NUM!</v>
      </c>
      <c r="X169">
        <f t="shared" si="42"/>
        <v>61.570799515387513</v>
      </c>
      <c r="Y169">
        <f t="shared" si="43"/>
        <v>28</v>
      </c>
      <c r="Z169">
        <f t="shared" si="44"/>
        <v>-1.5707963267948966</v>
      </c>
      <c r="AA169" t="e">
        <f t="shared" si="45"/>
        <v>#NUM!</v>
      </c>
      <c r="AB169" t="e">
        <f t="shared" si="46"/>
        <v>#NUM!</v>
      </c>
      <c r="AC169" t="e">
        <f t="shared" si="47"/>
        <v>#NUM!</v>
      </c>
      <c r="AE169">
        <v>3.2153875902064446E-6</v>
      </c>
      <c r="AF169">
        <v>-59.999999999999922</v>
      </c>
      <c r="AH169" s="1">
        <v>163</v>
      </c>
      <c r="AI169" s="1">
        <f t="shared" si="48"/>
        <v>0</v>
      </c>
      <c r="AJ169" s="1">
        <f t="shared" si="48"/>
        <v>0</v>
      </c>
      <c r="AK169" s="2">
        <f t="shared" si="49"/>
        <v>0</v>
      </c>
      <c r="AL169" s="2">
        <f t="shared" si="49"/>
        <v>0</v>
      </c>
      <c r="AY169">
        <v>-17.232056846141056</v>
      </c>
      <c r="BO169">
        <v>-113.81217009496635</v>
      </c>
    </row>
    <row r="170" spans="23:67" x14ac:dyDescent="0.25">
      <c r="W170" t="e">
        <f t="shared" si="40"/>
        <v>#NUM!</v>
      </c>
      <c r="X170">
        <f t="shared" si="42"/>
        <v>61.570799515387513</v>
      </c>
      <c r="Y170">
        <f t="shared" si="43"/>
        <v>28</v>
      </c>
      <c r="Z170">
        <f t="shared" si="44"/>
        <v>-1.5707963267948966</v>
      </c>
      <c r="AA170" t="e">
        <f t="shared" si="45"/>
        <v>#NUM!</v>
      </c>
      <c r="AB170" t="e">
        <f t="shared" si="46"/>
        <v>#NUM!</v>
      </c>
      <c r="AC170" t="e">
        <f t="shared" si="47"/>
        <v>#NUM!</v>
      </c>
      <c r="AE170">
        <v>3.2153875902064446E-6</v>
      </c>
      <c r="AF170">
        <v>-59.999999999999922</v>
      </c>
      <c r="AH170" s="1">
        <v>164</v>
      </c>
      <c r="AI170" s="1">
        <f t="shared" si="48"/>
        <v>0</v>
      </c>
      <c r="AJ170" s="1">
        <f t="shared" si="48"/>
        <v>0</v>
      </c>
      <c r="AK170" s="2">
        <f t="shared" si="49"/>
        <v>0</v>
      </c>
      <c r="AL170" s="2">
        <f t="shared" si="49"/>
        <v>0</v>
      </c>
      <c r="AY170">
        <v>-19.838932677723623</v>
      </c>
      <c r="BO170">
        <v>-113.10885177766188</v>
      </c>
    </row>
    <row r="171" spans="23:67" x14ac:dyDescent="0.25">
      <c r="W171" t="e">
        <f t="shared" si="40"/>
        <v>#NUM!</v>
      </c>
      <c r="X171">
        <f t="shared" si="42"/>
        <v>61.570799515387513</v>
      </c>
      <c r="Y171">
        <f t="shared" si="43"/>
        <v>28</v>
      </c>
      <c r="Z171">
        <f t="shared" si="44"/>
        <v>-1.5707963267948966</v>
      </c>
      <c r="AA171" t="e">
        <f t="shared" si="45"/>
        <v>#NUM!</v>
      </c>
      <c r="AB171" t="e">
        <f t="shared" si="46"/>
        <v>#NUM!</v>
      </c>
      <c r="AC171" t="e">
        <f t="shared" si="47"/>
        <v>#NUM!</v>
      </c>
      <c r="AE171">
        <v>3.2153875902064446E-6</v>
      </c>
      <c r="AF171">
        <v>-59.999999999999922</v>
      </c>
      <c r="AH171" s="1">
        <v>165</v>
      </c>
      <c r="AI171" s="1">
        <f t="shared" si="48"/>
        <v>0</v>
      </c>
      <c r="AJ171" s="1">
        <f t="shared" si="48"/>
        <v>0</v>
      </c>
      <c r="AK171" s="2">
        <f t="shared" si="49"/>
        <v>0</v>
      </c>
      <c r="AL171" s="2">
        <f t="shared" si="49"/>
        <v>0</v>
      </c>
      <c r="AY171">
        <v>-22.444130304605075</v>
      </c>
      <c r="BO171">
        <v>-112.3448454626571</v>
      </c>
    </row>
    <row r="172" spans="23:67" x14ac:dyDescent="0.25">
      <c r="W172" t="e">
        <f t="shared" si="40"/>
        <v>#NUM!</v>
      </c>
      <c r="X172">
        <f t="shared" si="42"/>
        <v>61.570799515387513</v>
      </c>
      <c r="Y172">
        <f t="shared" si="43"/>
        <v>28</v>
      </c>
      <c r="Z172">
        <f t="shared" si="44"/>
        <v>-1.5707963267948966</v>
      </c>
      <c r="AA172" t="e">
        <f t="shared" si="45"/>
        <v>#NUM!</v>
      </c>
      <c r="AB172" t="e">
        <f t="shared" si="46"/>
        <v>#NUM!</v>
      </c>
      <c r="AC172" t="e">
        <f t="shared" si="47"/>
        <v>#NUM!</v>
      </c>
      <c r="AE172">
        <v>3.2153875902064446E-6</v>
      </c>
      <c r="AF172">
        <v>-59.999999999999922</v>
      </c>
      <c r="AH172" s="1">
        <v>166</v>
      </c>
      <c r="AI172" s="1">
        <f t="shared" si="48"/>
        <v>0</v>
      </c>
      <c r="AJ172" s="1">
        <f t="shared" si="48"/>
        <v>0</v>
      </c>
      <c r="AK172" s="2">
        <f t="shared" si="49"/>
        <v>0</v>
      </c>
      <c r="AL172" s="2">
        <f t="shared" si="49"/>
        <v>0</v>
      </c>
      <c r="AY172">
        <v>-25.044343452319694</v>
      </c>
      <c r="BO172">
        <v>-111.51980094694878</v>
      </c>
    </row>
    <row r="173" spans="23:67" x14ac:dyDescent="0.25">
      <c r="W173" t="e">
        <f t="shared" si="40"/>
        <v>#NUM!</v>
      </c>
      <c r="X173">
        <f t="shared" si="42"/>
        <v>61.570799515387513</v>
      </c>
      <c r="Y173">
        <f t="shared" si="43"/>
        <v>28</v>
      </c>
      <c r="Z173">
        <f t="shared" si="44"/>
        <v>-1.5707963267948966</v>
      </c>
      <c r="AA173" t="e">
        <f t="shared" si="45"/>
        <v>#NUM!</v>
      </c>
      <c r="AB173" t="e">
        <f t="shared" si="46"/>
        <v>#NUM!</v>
      </c>
      <c r="AC173" t="e">
        <f t="shared" si="47"/>
        <v>#NUM!</v>
      </c>
      <c r="AE173">
        <v>3.2153875902064446E-6</v>
      </c>
      <c r="AF173">
        <v>-59.999999999999922</v>
      </c>
      <c r="AH173" s="1">
        <v>167</v>
      </c>
      <c r="AI173" s="1">
        <f t="shared" si="48"/>
        <v>0</v>
      </c>
      <c r="AJ173" s="1">
        <f t="shared" si="48"/>
        <v>0</v>
      </c>
      <c r="AK173" s="2">
        <f t="shared" si="49"/>
        <v>0</v>
      </c>
      <c r="AL173" s="2">
        <f t="shared" si="49"/>
        <v>0</v>
      </c>
      <c r="AY173">
        <v>-27.636679898033758</v>
      </c>
      <c r="BO173">
        <v>-110.63349483748591</v>
      </c>
    </row>
    <row r="174" spans="23:67" x14ac:dyDescent="0.25">
      <c r="W174" t="e">
        <f t="shared" si="40"/>
        <v>#NUM!</v>
      </c>
      <c r="X174">
        <f t="shared" si="42"/>
        <v>61.570799515387513</v>
      </c>
      <c r="Y174">
        <f t="shared" si="43"/>
        <v>28</v>
      </c>
      <c r="Z174">
        <f t="shared" si="44"/>
        <v>-1.5707963267948966</v>
      </c>
      <c r="AA174" t="e">
        <f t="shared" si="45"/>
        <v>#NUM!</v>
      </c>
      <c r="AB174" t="e">
        <f t="shared" si="46"/>
        <v>#NUM!</v>
      </c>
      <c r="AC174" t="e">
        <f t="shared" si="47"/>
        <v>#NUM!</v>
      </c>
      <c r="AE174">
        <v>3.2153875902064446E-6</v>
      </c>
      <c r="AF174">
        <v>-59.999999999999922</v>
      </c>
      <c r="AH174" s="1">
        <v>168</v>
      </c>
      <c r="AI174" s="1">
        <f t="shared" si="48"/>
        <v>0</v>
      </c>
      <c r="AJ174" s="1">
        <f t="shared" si="48"/>
        <v>0</v>
      </c>
      <c r="AK174" s="2">
        <f t="shared" si="49"/>
        <v>0</v>
      </c>
      <c r="AL174" s="2">
        <f t="shared" si="49"/>
        <v>0</v>
      </c>
      <c r="AY174">
        <v>-30.218540957437643</v>
      </c>
      <c r="BO174">
        <v>-109.68580648053688</v>
      </c>
    </row>
    <row r="175" spans="23:67" x14ac:dyDescent="0.25">
      <c r="W175" t="e">
        <f t="shared" si="40"/>
        <v>#NUM!</v>
      </c>
      <c r="X175">
        <f t="shared" si="42"/>
        <v>61.570799515387513</v>
      </c>
      <c r="Y175">
        <f t="shared" si="43"/>
        <v>28</v>
      </c>
      <c r="Z175">
        <f t="shared" si="44"/>
        <v>-1.5707963267948966</v>
      </c>
      <c r="AA175" t="e">
        <f t="shared" si="45"/>
        <v>#NUM!</v>
      </c>
      <c r="AB175" t="e">
        <f t="shared" si="46"/>
        <v>#NUM!</v>
      </c>
      <c r="AC175" t="e">
        <f t="shared" si="47"/>
        <v>#NUM!</v>
      </c>
      <c r="AE175">
        <v>3.2153875902064446E-6</v>
      </c>
      <c r="AF175">
        <v>-59.999999999999922</v>
      </c>
      <c r="AH175" s="1">
        <v>169</v>
      </c>
      <c r="AI175" s="1">
        <f t="shared" si="48"/>
        <v>0</v>
      </c>
      <c r="AJ175" s="1">
        <f t="shared" si="48"/>
        <v>0</v>
      </c>
      <c r="AK175" s="2">
        <f t="shared" si="49"/>
        <v>0</v>
      </c>
      <c r="AL175" s="2">
        <f t="shared" si="49"/>
        <v>0</v>
      </c>
      <c r="AY175">
        <v>-32.78754241013354</v>
      </c>
      <c r="BO175">
        <v>-108.67670141990781</v>
      </c>
    </row>
    <row r="176" spans="23:67" x14ac:dyDescent="0.25">
      <c r="W176" t="e">
        <f t="shared" si="40"/>
        <v>#NUM!</v>
      </c>
      <c r="X176">
        <f t="shared" si="42"/>
        <v>61.570799515387513</v>
      </c>
      <c r="Y176">
        <f t="shared" si="43"/>
        <v>28</v>
      </c>
      <c r="Z176">
        <f t="shared" si="44"/>
        <v>-1.5707963267948966</v>
      </c>
      <c r="AA176" t="e">
        <f t="shared" si="45"/>
        <v>#NUM!</v>
      </c>
      <c r="AB176" t="e">
        <f t="shared" si="46"/>
        <v>#NUM!</v>
      </c>
      <c r="AC176" t="e">
        <f t="shared" si="47"/>
        <v>#NUM!</v>
      </c>
      <c r="AE176">
        <v>3.2153875902064446E-6</v>
      </c>
      <c r="AF176">
        <v>-59.999999999999922</v>
      </c>
      <c r="AH176" s="1">
        <v>170</v>
      </c>
      <c r="AI176" s="1">
        <f t="shared" si="48"/>
        <v>0</v>
      </c>
      <c r="AJ176" s="1">
        <f t="shared" si="48"/>
        <v>0</v>
      </c>
      <c r="AK176" s="2">
        <f t="shared" si="49"/>
        <v>0</v>
      </c>
      <c r="AL176" s="2">
        <f t="shared" si="49"/>
        <v>0</v>
      </c>
      <c r="AY176">
        <v>-35.341460734846422</v>
      </c>
      <c r="BO176">
        <v>-107.60621967720326</v>
      </c>
    </row>
    <row r="177" spans="23:67" x14ac:dyDescent="0.25">
      <c r="W177" t="e">
        <f t="shared" si="40"/>
        <v>#NUM!</v>
      </c>
      <c r="X177">
        <f t="shared" si="42"/>
        <v>61.570799515387513</v>
      </c>
      <c r="Y177">
        <f t="shared" si="43"/>
        <v>28</v>
      </c>
      <c r="Z177">
        <f t="shared" si="44"/>
        <v>-1.5707963267948966</v>
      </c>
      <c r="AA177" t="e">
        <f t="shared" si="45"/>
        <v>#NUM!</v>
      </c>
      <c r="AB177" t="e">
        <f t="shared" si="46"/>
        <v>#NUM!</v>
      </c>
      <c r="AC177" t="e">
        <f t="shared" si="47"/>
        <v>#NUM!</v>
      </c>
      <c r="AE177">
        <v>3.2153875902064446E-6</v>
      </c>
      <c r="AF177">
        <v>-59.999999999999922</v>
      </c>
      <c r="AH177" s="1">
        <v>171</v>
      </c>
      <c r="AI177" s="1">
        <f t="shared" si="48"/>
        <v>0</v>
      </c>
      <c r="AJ177" s="1">
        <f t="shared" si="48"/>
        <v>0</v>
      </c>
      <c r="AK177" s="2">
        <f t="shared" si="49"/>
        <v>0</v>
      </c>
      <c r="AL177" s="2">
        <f t="shared" si="49"/>
        <v>0</v>
      </c>
      <c r="AY177">
        <v>-37.87819545249797</v>
      </c>
      <c r="BO177">
        <v>-106.47446724758071</v>
      </c>
    </row>
    <row r="178" spans="23:67" x14ac:dyDescent="0.25">
      <c r="W178" t="e">
        <f t="shared" si="40"/>
        <v>#NUM!</v>
      </c>
      <c r="X178">
        <f t="shared" si="42"/>
        <v>61.570799515387513</v>
      </c>
      <c r="Y178">
        <f t="shared" si="43"/>
        <v>28</v>
      </c>
      <c r="Z178">
        <f t="shared" si="44"/>
        <v>-1.5707963267948966</v>
      </c>
      <c r="AA178" t="e">
        <f t="shared" si="45"/>
        <v>#NUM!</v>
      </c>
      <c r="AB178" t="e">
        <f t="shared" si="46"/>
        <v>#NUM!</v>
      </c>
      <c r="AC178" t="e">
        <f t="shared" si="47"/>
        <v>#NUM!</v>
      </c>
      <c r="AE178">
        <v>3.2153875902064446E-6</v>
      </c>
      <c r="AF178">
        <v>-59.999999999999922</v>
      </c>
      <c r="AH178" s="1">
        <v>172</v>
      </c>
      <c r="AI178" s="1">
        <f t="shared" si="48"/>
        <v>0</v>
      </c>
      <c r="AJ178" s="1">
        <f t="shared" si="48"/>
        <v>0</v>
      </c>
      <c r="AK178" s="2">
        <f t="shared" si="49"/>
        <v>0</v>
      </c>
      <c r="AL178" s="2">
        <f t="shared" si="49"/>
        <v>0</v>
      </c>
      <c r="AY178">
        <v>-40.395742083457577</v>
      </c>
      <c r="BO178">
        <v>-105.28160981496619</v>
      </c>
    </row>
    <row r="179" spans="23:67" x14ac:dyDescent="0.25">
      <c r="W179" t="e">
        <f t="shared" si="40"/>
        <v>#NUM!</v>
      </c>
      <c r="X179">
        <f t="shared" si="42"/>
        <v>61.570799515387513</v>
      </c>
      <c r="Y179">
        <f t="shared" si="43"/>
        <v>28</v>
      </c>
      <c r="Z179">
        <f t="shared" si="44"/>
        <v>-1.5707963267948966</v>
      </c>
      <c r="AA179" t="e">
        <f t="shared" si="45"/>
        <v>#NUM!</v>
      </c>
      <c r="AB179" t="e">
        <f t="shared" si="46"/>
        <v>#NUM!</v>
      </c>
      <c r="AC179" t="e">
        <f t="shared" si="47"/>
        <v>#NUM!</v>
      </c>
      <c r="AE179">
        <v>3.2153875902064446E-6</v>
      </c>
      <c r="AF179">
        <v>-59.999999999999922</v>
      </c>
      <c r="AH179" s="1">
        <v>173</v>
      </c>
      <c r="AI179" s="1">
        <f t="shared" si="48"/>
        <v>0</v>
      </c>
      <c r="AJ179" s="1">
        <f t="shared" si="48"/>
        <v>0</v>
      </c>
      <c r="AK179" s="2">
        <f t="shared" si="49"/>
        <v>0</v>
      </c>
      <c r="AL179" s="2">
        <f t="shared" si="49"/>
        <v>0</v>
      </c>
      <c r="AY179">
        <v>-42.892172311294814</v>
      </c>
      <c r="BO179">
        <v>-104.02786804604477</v>
      </c>
    </row>
    <row r="180" spans="23:67" x14ac:dyDescent="0.25">
      <c r="W180" t="e">
        <f t="shared" si="40"/>
        <v>#NUM!</v>
      </c>
      <c r="X180">
        <f t="shared" si="42"/>
        <v>61.570799515387513</v>
      </c>
      <c r="Y180">
        <f t="shared" si="43"/>
        <v>28</v>
      </c>
      <c r="Z180">
        <f t="shared" si="44"/>
        <v>-1.5707963267948966</v>
      </c>
      <c r="AA180" t="e">
        <f t="shared" si="45"/>
        <v>#NUM!</v>
      </c>
      <c r="AB180" t="e">
        <f t="shared" si="46"/>
        <v>#NUM!</v>
      </c>
      <c r="AC180" t="e">
        <f t="shared" si="47"/>
        <v>#NUM!</v>
      </c>
      <c r="AE180">
        <v>3.2153875902064446E-6</v>
      </c>
      <c r="AF180">
        <v>-59.999999999999922</v>
      </c>
      <c r="AH180" s="1">
        <v>174</v>
      </c>
      <c r="AI180" s="1">
        <f t="shared" si="48"/>
        <v>0</v>
      </c>
      <c r="AJ180" s="1">
        <f t="shared" si="48"/>
        <v>0</v>
      </c>
      <c r="AK180" s="2">
        <f t="shared" si="49"/>
        <v>0</v>
      </c>
      <c r="AL180" s="2">
        <f t="shared" si="49"/>
        <v>0</v>
      </c>
      <c r="AY180">
        <v>-45.365619169152751</v>
      </c>
      <c r="BO180">
        <v>-102.71351403767144</v>
      </c>
    </row>
    <row r="181" spans="23:67" x14ac:dyDescent="0.25">
      <c r="W181" t="e">
        <f t="shared" si="40"/>
        <v>#NUM!</v>
      </c>
      <c r="X181">
        <f t="shared" si="42"/>
        <v>61.570799515387513</v>
      </c>
      <c r="Y181">
        <f t="shared" si="43"/>
        <v>28</v>
      </c>
      <c r="Z181">
        <f t="shared" si="44"/>
        <v>-1.5707963267948966</v>
      </c>
      <c r="AA181" t="e">
        <f t="shared" si="45"/>
        <v>#NUM!</v>
      </c>
      <c r="AB181" t="e">
        <f t="shared" si="46"/>
        <v>#NUM!</v>
      </c>
      <c r="AC181" t="e">
        <f t="shared" si="47"/>
        <v>#NUM!</v>
      </c>
      <c r="AE181">
        <v>3.2153875902064446E-6</v>
      </c>
      <c r="AF181">
        <v>-59.999999999999922</v>
      </c>
      <c r="AH181" s="1">
        <v>175</v>
      </c>
      <c r="AI181" s="1">
        <f t="shared" si="48"/>
        <v>0</v>
      </c>
      <c r="AJ181" s="1">
        <f t="shared" si="48"/>
        <v>0</v>
      </c>
      <c r="AK181" s="2">
        <f t="shared" si="49"/>
        <v>0</v>
      </c>
      <c r="AL181" s="2">
        <f t="shared" si="49"/>
        <v>0</v>
      </c>
      <c r="AY181">
        <v>-47.814265809250514</v>
      </c>
      <c r="BO181">
        <v>-101.33886862738464</v>
      </c>
    </row>
    <row r="182" spans="23:67" x14ac:dyDescent="0.25">
      <c r="W182" t="e">
        <f t="shared" si="40"/>
        <v>#NUM!</v>
      </c>
      <c r="X182">
        <f t="shared" si="42"/>
        <v>61.570799515387513</v>
      </c>
      <c r="Y182">
        <f t="shared" si="43"/>
        <v>28</v>
      </c>
      <c r="Z182">
        <f t="shared" si="44"/>
        <v>-1.5707963267948966</v>
      </c>
      <c r="AA182" t="e">
        <f t="shared" si="45"/>
        <v>#NUM!</v>
      </c>
      <c r="AB182" t="e">
        <f t="shared" si="46"/>
        <v>#NUM!</v>
      </c>
      <c r="AC182" t="e">
        <f t="shared" si="47"/>
        <v>#NUM!</v>
      </c>
      <c r="AE182">
        <v>3.2153875902064446E-6</v>
      </c>
      <c r="AF182">
        <v>-59.999999999999922</v>
      </c>
      <c r="AH182" s="1">
        <v>176</v>
      </c>
      <c r="AI182" s="1">
        <f t="shared" si="48"/>
        <v>0</v>
      </c>
      <c r="AJ182" s="1">
        <f t="shared" si="48"/>
        <v>0</v>
      </c>
      <c r="AK182" s="2">
        <f t="shared" si="49"/>
        <v>0</v>
      </c>
      <c r="AL182" s="2">
        <f t="shared" si="49"/>
        <v>0</v>
      </c>
      <c r="AY182">
        <v>-50.2363368832779</v>
      </c>
      <c r="BO182">
        <v>-99.904299363914163</v>
      </c>
    </row>
    <row r="183" spans="23:67" x14ac:dyDescent="0.25">
      <c r="W183" t="e">
        <f t="shared" si="40"/>
        <v>#NUM!</v>
      </c>
      <c r="X183">
        <f t="shared" si="42"/>
        <v>61.570799515387513</v>
      </c>
      <c r="Y183">
        <f t="shared" si="43"/>
        <v>28</v>
      </c>
      <c r="Z183">
        <f t="shared" si="44"/>
        <v>-1.5707963267948966</v>
      </c>
      <c r="AA183" t="e">
        <f t="shared" si="45"/>
        <v>#NUM!</v>
      </c>
      <c r="AB183" t="e">
        <f t="shared" si="46"/>
        <v>#NUM!</v>
      </c>
      <c r="AC183" t="e">
        <f t="shared" si="47"/>
        <v>#NUM!</v>
      </c>
      <c r="AE183">
        <v>3.2153875902064446E-6</v>
      </c>
      <c r="AF183">
        <v>-59.999999999999922</v>
      </c>
      <c r="AH183" s="1">
        <v>177</v>
      </c>
      <c r="AI183" s="1">
        <f t="shared" si="48"/>
        <v>0</v>
      </c>
      <c r="AJ183" s="1">
        <f t="shared" si="48"/>
        <v>0</v>
      </c>
      <c r="AK183" s="2">
        <f t="shared" si="49"/>
        <v>0</v>
      </c>
      <c r="AL183" s="2">
        <f t="shared" si="49"/>
        <v>0</v>
      </c>
      <c r="AY183">
        <v>-52.630091862955695</v>
      </c>
      <c r="BO183">
        <v>-98.410218992331124</v>
      </c>
    </row>
    <row r="184" spans="23:67" x14ac:dyDescent="0.25">
      <c r="W184" t="e">
        <f t="shared" si="40"/>
        <v>#NUM!</v>
      </c>
      <c r="X184">
        <f t="shared" si="42"/>
        <v>61.570799515387513</v>
      </c>
      <c r="Y184">
        <f t="shared" si="43"/>
        <v>28</v>
      </c>
      <c r="Z184">
        <f t="shared" si="44"/>
        <v>-1.5707963267948966</v>
      </c>
      <c r="AA184" t="e">
        <f t="shared" si="45"/>
        <v>#NUM!</v>
      </c>
      <c r="AB184" t="e">
        <f t="shared" si="46"/>
        <v>#NUM!</v>
      </c>
      <c r="AC184" t="e">
        <f t="shared" si="47"/>
        <v>#NUM!</v>
      </c>
      <c r="AE184">
        <v>3.2153875902064446E-6</v>
      </c>
      <c r="AF184">
        <v>-59.999999999999922</v>
      </c>
      <c r="AH184" s="1">
        <v>178</v>
      </c>
      <c r="AI184" s="1">
        <f t="shared" si="48"/>
        <v>0</v>
      </c>
      <c r="AJ184" s="1">
        <f t="shared" si="48"/>
        <v>0</v>
      </c>
      <c r="AK184" s="2">
        <f t="shared" si="49"/>
        <v>0</v>
      </c>
      <c r="AL184" s="2">
        <f t="shared" si="49"/>
        <v>0</v>
      </c>
      <c r="AY184">
        <v>-54.993819829410697</v>
      </c>
      <c r="BO184">
        <v>-96.857084347569554</v>
      </c>
    </row>
    <row r="185" spans="23:67" x14ac:dyDescent="0.25">
      <c r="W185" t="e">
        <f t="shared" si="40"/>
        <v>#NUM!</v>
      </c>
      <c r="X185">
        <f t="shared" si="42"/>
        <v>61.570799515387513</v>
      </c>
      <c r="Y185">
        <f t="shared" si="43"/>
        <v>28</v>
      </c>
      <c r="Z185">
        <f t="shared" si="44"/>
        <v>-1.5707963267948966</v>
      </c>
      <c r="AA185" t="e">
        <f t="shared" si="45"/>
        <v>#NUM!</v>
      </c>
      <c r="AB185" t="e">
        <f t="shared" si="46"/>
        <v>#NUM!</v>
      </c>
      <c r="AC185" t="e">
        <f t="shared" si="47"/>
        <v>#NUM!</v>
      </c>
      <c r="AE185">
        <v>3.2153875902064446E-6</v>
      </c>
      <c r="AF185">
        <v>-59.999999999999922</v>
      </c>
      <c r="AH185" s="1">
        <v>179</v>
      </c>
      <c r="AI185" s="1">
        <f t="shared" si="48"/>
        <v>0</v>
      </c>
      <c r="AJ185" s="1">
        <f t="shared" si="48"/>
        <v>0</v>
      </c>
      <c r="AK185" s="2">
        <f t="shared" si="49"/>
        <v>0</v>
      </c>
      <c r="AL185" s="2">
        <f t="shared" si="49"/>
        <v>0</v>
      </c>
      <c r="AY185">
        <v>-57.325835394749546</v>
      </c>
      <c r="BO185">
        <v>-95.245395576975156</v>
      </c>
    </row>
    <row r="186" spans="23:67" x14ac:dyDescent="0.25">
      <c r="W186" t="e">
        <f t="shared" si="40"/>
        <v>#NUM!</v>
      </c>
      <c r="X186">
        <f t="shared" si="42"/>
        <v>61.570799515387513</v>
      </c>
      <c r="Y186">
        <f t="shared" si="43"/>
        <v>28</v>
      </c>
      <c r="Z186">
        <f t="shared" si="44"/>
        <v>-1.5707963267948966</v>
      </c>
      <c r="AA186" t="e">
        <f t="shared" si="45"/>
        <v>#NUM!</v>
      </c>
      <c r="AB186" t="e">
        <f t="shared" si="46"/>
        <v>#NUM!</v>
      </c>
      <c r="AC186" t="e">
        <f t="shared" si="47"/>
        <v>#NUM!</v>
      </c>
      <c r="AE186">
        <v>3.2153875902064446E-6</v>
      </c>
      <c r="AF186">
        <v>-59.999999999999922</v>
      </c>
      <c r="AH186" s="1">
        <v>180</v>
      </c>
      <c r="AI186" s="1">
        <f t="shared" si="48"/>
        <v>0</v>
      </c>
      <c r="AJ186" s="1">
        <f t="shared" si="48"/>
        <v>0</v>
      </c>
      <c r="AK186" s="2">
        <f t="shared" si="49"/>
        <v>0</v>
      </c>
      <c r="AL186" s="2">
        <f t="shared" si="49"/>
        <v>0</v>
      </c>
      <c r="AY186">
        <v>-59.624475512051248</v>
      </c>
      <c r="BO186">
        <v>-93.575695631364809</v>
      </c>
    </row>
    <row r="187" spans="23:67" x14ac:dyDescent="0.25">
      <c r="W187" t="e">
        <f t="shared" si="40"/>
        <v>#NUM!</v>
      </c>
      <c r="X187">
        <f t="shared" si="42"/>
        <v>61.570799515387513</v>
      </c>
      <c r="Y187">
        <f t="shared" si="43"/>
        <v>28</v>
      </c>
      <c r="Z187">
        <f t="shared" si="44"/>
        <v>-1.5707963267948966</v>
      </c>
      <c r="AA187" t="e">
        <f t="shared" si="45"/>
        <v>#NUM!</v>
      </c>
      <c r="AB187" t="e">
        <f t="shared" si="46"/>
        <v>#NUM!</v>
      </c>
      <c r="AC187" t="e">
        <f t="shared" si="47"/>
        <v>#NUM!</v>
      </c>
      <c r="AE187">
        <v>3.2153875902064446E-6</v>
      </c>
      <c r="AF187">
        <v>-59.999999999999922</v>
      </c>
      <c r="AH187" s="1">
        <v>181</v>
      </c>
      <c r="AI187" s="1">
        <f t="shared" si="48"/>
        <v>0</v>
      </c>
      <c r="AJ187" s="1">
        <f t="shared" si="48"/>
        <v>0</v>
      </c>
      <c r="AK187" s="2">
        <f t="shared" si="49"/>
        <v>0</v>
      </c>
      <c r="AL187" s="2">
        <f t="shared" si="49"/>
        <v>0</v>
      </c>
      <c r="AY187">
        <v>-61.888096995078456</v>
      </c>
      <c r="BO187">
        <v>-91.848569977400587</v>
      </c>
    </row>
    <row r="188" spans="23:67" x14ac:dyDescent="0.25">
      <c r="W188" t="e">
        <f t="shared" si="40"/>
        <v>#NUM!</v>
      </c>
      <c r="X188">
        <f t="shared" si="42"/>
        <v>61.570799515387513</v>
      </c>
      <c r="Y188">
        <f t="shared" si="43"/>
        <v>28</v>
      </c>
      <c r="Z188">
        <f t="shared" si="44"/>
        <v>-1.5707963267948966</v>
      </c>
      <c r="AA188" t="e">
        <f t="shared" si="45"/>
        <v>#NUM!</v>
      </c>
      <c r="AB188" t="e">
        <f t="shared" si="46"/>
        <v>#NUM!</v>
      </c>
      <c r="AC188" t="e">
        <f t="shared" si="47"/>
        <v>#NUM!</v>
      </c>
      <c r="AE188">
        <v>3.2153875902064446E-6</v>
      </c>
      <c r="AF188">
        <v>-59.999999999999922</v>
      </c>
      <c r="AH188" s="1">
        <v>182</v>
      </c>
      <c r="AI188" s="1">
        <f t="shared" si="48"/>
        <v>0</v>
      </c>
      <c r="AJ188" s="1">
        <f t="shared" si="48"/>
        <v>0</v>
      </c>
      <c r="AK188" s="2">
        <f t="shared" si="49"/>
        <v>0</v>
      </c>
      <c r="AL188" s="2">
        <f t="shared" si="49"/>
        <v>0</v>
      </c>
      <c r="AY188">
        <v>-64.115074615332276</v>
      </c>
      <c r="BO188">
        <v>-90.064646493583368</v>
      </c>
    </row>
    <row r="189" spans="23:67" x14ac:dyDescent="0.25">
      <c r="W189" t="e">
        <f t="shared" si="40"/>
        <v>#NUM!</v>
      </c>
      <c r="X189">
        <f t="shared" si="42"/>
        <v>61.570799515387513</v>
      </c>
      <c r="Y189">
        <f t="shared" si="43"/>
        <v>28</v>
      </c>
      <c r="Z189">
        <f t="shared" si="44"/>
        <v>-1.5707963267948966</v>
      </c>
      <c r="AA189" t="e">
        <f t="shared" si="45"/>
        <v>#NUM!</v>
      </c>
      <c r="AB189" t="e">
        <f t="shared" si="46"/>
        <v>#NUM!</v>
      </c>
      <c r="AC189" t="e">
        <f t="shared" si="47"/>
        <v>#NUM!</v>
      </c>
      <c r="AE189">
        <v>3.2153875902064446E-6</v>
      </c>
      <c r="AF189">
        <v>-59.999999999999922</v>
      </c>
      <c r="AH189" s="1">
        <v>183</v>
      </c>
      <c r="AI189" s="1">
        <f t="shared" si="48"/>
        <v>0</v>
      </c>
      <c r="AJ189" s="1">
        <f t="shared" si="48"/>
        <v>0</v>
      </c>
      <c r="AK189" s="2">
        <f t="shared" si="49"/>
        <v>0</v>
      </c>
      <c r="AL189" s="2">
        <f t="shared" si="49"/>
        <v>0</v>
      </c>
      <c r="AY189">
        <v>-66.30379967749289</v>
      </c>
      <c r="BO189">
        <v>-88.224595518981275</v>
      </c>
    </row>
    <row r="190" spans="23:67" x14ac:dyDescent="0.25">
      <c r="W190" t="e">
        <f t="shared" si="40"/>
        <v>#NUM!</v>
      </c>
      <c r="X190">
        <f t="shared" si="42"/>
        <v>61.570799515387513</v>
      </c>
      <c r="Y190">
        <f t="shared" si="43"/>
        <v>28</v>
      </c>
      <c r="Z190">
        <f t="shared" si="44"/>
        <v>-1.5707963267948966</v>
      </c>
      <c r="AA190" t="e">
        <f t="shared" si="45"/>
        <v>#NUM!</v>
      </c>
      <c r="AB190" t="e">
        <f t="shared" si="46"/>
        <v>#NUM!</v>
      </c>
      <c r="AC190" t="e">
        <f t="shared" si="47"/>
        <v>#NUM!</v>
      </c>
      <c r="AE190">
        <v>3.2153875902064446E-6</v>
      </c>
      <c r="AF190">
        <v>-59.999999999999922</v>
      </c>
      <c r="AH190" s="1">
        <v>184</v>
      </c>
      <c r="AI190" s="1">
        <f t="shared" si="48"/>
        <v>0</v>
      </c>
      <c r="AJ190" s="1">
        <f t="shared" si="48"/>
        <v>0</v>
      </c>
      <c r="AK190" s="2">
        <f t="shared" si="49"/>
        <v>0</v>
      </c>
      <c r="AL190" s="2">
        <f t="shared" si="49"/>
        <v>0</v>
      </c>
      <c r="AY190">
        <v>-68.452678998667324</v>
      </c>
      <c r="BO190">
        <v>-86.32913002869627</v>
      </c>
    </row>
    <row r="191" spans="23:67" x14ac:dyDescent="0.25">
      <c r="W191" t="e">
        <f t="shared" si="40"/>
        <v>#NUM!</v>
      </c>
      <c r="X191">
        <f t="shared" si="42"/>
        <v>61.570799515387513</v>
      </c>
      <c r="Y191">
        <f t="shared" si="43"/>
        <v>28</v>
      </c>
      <c r="Z191">
        <f t="shared" si="44"/>
        <v>-1.5707963267948966</v>
      </c>
      <c r="AA191" t="e">
        <f t="shared" si="45"/>
        <v>#NUM!</v>
      </c>
      <c r="AB191" t="e">
        <f t="shared" si="46"/>
        <v>#NUM!</v>
      </c>
      <c r="AC191" t="e">
        <f t="shared" si="47"/>
        <v>#NUM!</v>
      </c>
      <c r="AE191">
        <v>3.2153875902064446E-6</v>
      </c>
      <c r="AF191">
        <v>-59.999999999999922</v>
      </c>
      <c r="AH191" s="1">
        <v>185</v>
      </c>
      <c r="AI191" s="1">
        <f t="shared" si="48"/>
        <v>0</v>
      </c>
      <c r="AJ191" s="1">
        <f t="shared" si="48"/>
        <v>0</v>
      </c>
      <c r="AK191" s="2">
        <f t="shared" si="49"/>
        <v>0</v>
      </c>
      <c r="AL191" s="2">
        <f t="shared" si="49"/>
        <v>0</v>
      </c>
      <c r="AY191">
        <v>-70.560134234811926</v>
      </c>
      <c r="BO191">
        <v>-84.379005913568776</v>
      </c>
    </row>
    <row r="192" spans="23:67" x14ac:dyDescent="0.25">
      <c r="W192" t="e">
        <f t="shared" si="40"/>
        <v>#NUM!</v>
      </c>
      <c r="X192">
        <f t="shared" si="42"/>
        <v>61.570799515387513</v>
      </c>
      <c r="Y192">
        <f t="shared" si="43"/>
        <v>28</v>
      </c>
      <c r="Z192">
        <f t="shared" si="44"/>
        <v>-1.5707963267948966</v>
      </c>
      <c r="AA192" t="e">
        <f t="shared" si="45"/>
        <v>#NUM!</v>
      </c>
      <c r="AB192" t="e">
        <f t="shared" si="46"/>
        <v>#NUM!</v>
      </c>
      <c r="AC192" t="e">
        <f t="shared" si="47"/>
        <v>#NUM!</v>
      </c>
      <c r="AE192">
        <v>3.2153875902064446E-6</v>
      </c>
      <c r="AF192">
        <v>-59.999999999999922</v>
      </c>
      <c r="AH192" s="1">
        <v>186</v>
      </c>
      <c r="AI192" s="1">
        <f t="shared" si="48"/>
        <v>0</v>
      </c>
      <c r="AJ192" s="1">
        <f t="shared" si="48"/>
        <v>0</v>
      </c>
      <c r="AK192" s="2">
        <f t="shared" si="49"/>
        <v>0</v>
      </c>
      <c r="AL192" s="2">
        <f t="shared" si="49"/>
        <v>0</v>
      </c>
      <c r="AY192">
        <v>-72.62460151099414</v>
      </c>
      <c r="BO192">
        <v>-82.375022344105417</v>
      </c>
    </row>
    <row r="193" spans="23:67" x14ac:dyDescent="0.25">
      <c r="W193" t="e">
        <f t="shared" si="40"/>
        <v>#NUM!</v>
      </c>
      <c r="X193">
        <f t="shared" si="42"/>
        <v>61.570799515387513</v>
      </c>
      <c r="Y193">
        <f t="shared" si="43"/>
        <v>28</v>
      </c>
      <c r="Z193">
        <f t="shared" si="44"/>
        <v>-1.5707963267948966</v>
      </c>
      <c r="AA193" t="e">
        <f t="shared" si="45"/>
        <v>#NUM!</v>
      </c>
      <c r="AB193" t="e">
        <f t="shared" si="46"/>
        <v>#NUM!</v>
      </c>
      <c r="AC193" t="e">
        <f t="shared" si="47"/>
        <v>#NUM!</v>
      </c>
      <c r="AE193">
        <v>3.2153875902064446E-6</v>
      </c>
      <c r="AF193">
        <v>-59.999999999999922</v>
      </c>
      <c r="AH193" s="1">
        <v>187</v>
      </c>
      <c r="AI193" s="1">
        <f t="shared" si="48"/>
        <v>0</v>
      </c>
      <c r="AJ193" s="1">
        <f t="shared" si="48"/>
        <v>0</v>
      </c>
      <c r="AK193" s="2">
        <f t="shared" si="49"/>
        <v>0</v>
      </c>
      <c r="AL193" s="2">
        <f t="shared" si="49"/>
        <v>0</v>
      </c>
      <c r="AY193">
        <v>-74.644531322041644</v>
      </c>
      <c r="BO193">
        <v>-80.318022200360048</v>
      </c>
    </row>
    <row r="194" spans="23:67" x14ac:dyDescent="0.25">
      <c r="W194" t="e">
        <f t="shared" si="40"/>
        <v>#NUM!</v>
      </c>
      <c r="X194">
        <f t="shared" si="42"/>
        <v>61.570799515387513</v>
      </c>
      <c r="Y194">
        <f t="shared" si="43"/>
        <v>28</v>
      </c>
      <c r="Z194">
        <f t="shared" si="44"/>
        <v>-1.5707963267948966</v>
      </c>
      <c r="AA194" t="e">
        <f t="shared" si="45"/>
        <v>#NUM!</v>
      </c>
      <c r="AB194" t="e">
        <f t="shared" si="46"/>
        <v>#NUM!</v>
      </c>
      <c r="AC194" t="e">
        <f t="shared" si="47"/>
        <v>#NUM!</v>
      </c>
      <c r="AE194">
        <v>3.2153875902064446E-6</v>
      </c>
      <c r="AF194">
        <v>-59.999999999999922</v>
      </c>
      <c r="AH194" s="1">
        <v>188</v>
      </c>
      <c r="AI194" s="1">
        <f t="shared" si="48"/>
        <v>0</v>
      </c>
      <c r="AJ194" s="1">
        <f t="shared" si="48"/>
        <v>0</v>
      </c>
      <c r="AK194" s="2">
        <f t="shared" si="49"/>
        <v>0</v>
      </c>
      <c r="AL194" s="2">
        <f t="shared" si="49"/>
        <v>0</v>
      </c>
      <c r="AY194">
        <v>-76.618388677470904</v>
      </c>
      <c r="BO194">
        <v>-78.208892550703069</v>
      </c>
    </row>
    <row r="195" spans="23:67" x14ac:dyDescent="0.25">
      <c r="W195" t="e">
        <f t="shared" si="40"/>
        <v>#NUM!</v>
      </c>
      <c r="X195">
        <f t="shared" si="42"/>
        <v>61.570799515387513</v>
      </c>
      <c r="Y195">
        <f t="shared" si="43"/>
        <v>28</v>
      </c>
      <c r="Z195">
        <f t="shared" si="44"/>
        <v>-1.5707963267948966</v>
      </c>
      <c r="AA195" t="e">
        <f t="shared" si="45"/>
        <v>#NUM!</v>
      </c>
      <c r="AB195" t="e">
        <f t="shared" si="46"/>
        <v>#NUM!</v>
      </c>
      <c r="AC195" t="e">
        <f t="shared" si="47"/>
        <v>#NUM!</v>
      </c>
      <c r="AE195">
        <v>3.2153875902064446E-6</v>
      </c>
      <c r="AF195">
        <v>-59.999999999999922</v>
      </c>
      <c r="AH195" s="1">
        <v>189</v>
      </c>
      <c r="AI195" s="1">
        <f t="shared" si="48"/>
        <v>0</v>
      </c>
      <c r="AJ195" s="1">
        <f t="shared" si="48"/>
        <v>0</v>
      </c>
      <c r="AK195" s="2">
        <f t="shared" si="49"/>
        <v>0</v>
      </c>
      <c r="AL195" s="2">
        <f t="shared" si="49"/>
        <v>0</v>
      </c>
      <c r="AY195">
        <v>-78.544653470010275</v>
      </c>
      <c r="BO195">
        <v>-76.048565163233263</v>
      </c>
    </row>
    <row r="196" spans="23:67" x14ac:dyDescent="0.25">
      <c r="W196" t="e">
        <f t="shared" si="40"/>
        <v>#NUM!</v>
      </c>
      <c r="X196">
        <f t="shared" si="42"/>
        <v>61.570799515387513</v>
      </c>
      <c r="Y196">
        <f t="shared" si="43"/>
        <v>28</v>
      </c>
      <c r="Z196">
        <f t="shared" si="44"/>
        <v>-1.5707963267948966</v>
      </c>
      <c r="AA196" t="e">
        <f t="shared" si="45"/>
        <v>#NUM!</v>
      </c>
      <c r="AB196" t="e">
        <f t="shared" si="46"/>
        <v>#NUM!</v>
      </c>
      <c r="AC196" t="e">
        <f t="shared" si="47"/>
        <v>#NUM!</v>
      </c>
      <c r="AE196">
        <v>3.2153875902064446E-6</v>
      </c>
      <c r="AF196">
        <v>-59.999999999999922</v>
      </c>
      <c r="AH196" s="1">
        <v>190</v>
      </c>
      <c r="AI196" s="1">
        <f t="shared" si="48"/>
        <v>0</v>
      </c>
      <c r="AJ196" s="1">
        <f t="shared" si="48"/>
        <v>0</v>
      </c>
      <c r="AK196" s="2">
        <f t="shared" si="49"/>
        <v>0</v>
      </c>
      <c r="AL196" s="2">
        <f t="shared" si="49"/>
        <v>0</v>
      </c>
      <c r="AY196">
        <v>-80.421821050989195</v>
      </c>
      <c r="BO196">
        <v>-73.838017034132406</v>
      </c>
    </row>
    <row r="197" spans="23:67" x14ac:dyDescent="0.25">
      <c r="W197" t="e">
        <f t="shared" si="40"/>
        <v>#NUM!</v>
      </c>
      <c r="X197">
        <f t="shared" si="42"/>
        <v>61.570799515387513</v>
      </c>
      <c r="Y197">
        <f t="shared" si="43"/>
        <v>28</v>
      </c>
      <c r="Z197">
        <f t="shared" si="44"/>
        <v>-1.5707963267948966</v>
      </c>
      <c r="AA197" t="e">
        <f t="shared" si="45"/>
        <v>#NUM!</v>
      </c>
      <c r="AB197" t="e">
        <f t="shared" si="46"/>
        <v>#NUM!</v>
      </c>
      <c r="AC197" t="e">
        <f t="shared" si="47"/>
        <v>#NUM!</v>
      </c>
      <c r="AE197">
        <v>3.2153875902064446E-6</v>
      </c>
      <c r="AF197">
        <v>-59.999999999999922</v>
      </c>
      <c r="AH197" s="1">
        <v>191</v>
      </c>
      <c r="AI197" s="1">
        <f t="shared" si="48"/>
        <v>0</v>
      </c>
      <c r="AJ197" s="1">
        <f t="shared" si="48"/>
        <v>0</v>
      </c>
      <c r="AK197" s="2">
        <f t="shared" si="49"/>
        <v>0</v>
      </c>
      <c r="AL197" s="2">
        <f t="shared" si="49"/>
        <v>0</v>
      </c>
      <c r="AY197">
        <v>-82.248402998682764</v>
      </c>
      <c r="BO197">
        <v>-71.578270917630903</v>
      </c>
    </row>
    <row r="198" spans="23:67" x14ac:dyDescent="0.25">
      <c r="W198" t="e">
        <f t="shared" ref="W198:W218" si="50">3.14159265358/2-Z198-AA198</f>
        <v>#NUM!</v>
      </c>
      <c r="X198">
        <f t="shared" si="42"/>
        <v>61.570799515387513</v>
      </c>
      <c r="Y198">
        <f t="shared" si="43"/>
        <v>28</v>
      </c>
      <c r="Z198">
        <f t="shared" si="44"/>
        <v>-1.5707963267948966</v>
      </c>
      <c r="AA198" t="e">
        <f t="shared" si="45"/>
        <v>#NUM!</v>
      </c>
      <c r="AB198" t="e">
        <f t="shared" si="46"/>
        <v>#NUM!</v>
      </c>
      <c r="AC198" t="e">
        <f t="shared" si="47"/>
        <v>#NUM!</v>
      </c>
      <c r="AE198">
        <v>3.2153875902064446E-6</v>
      </c>
      <c r="AF198">
        <v>-59.999999999999922</v>
      </c>
      <c r="AH198" s="1">
        <v>192</v>
      </c>
      <c r="AI198" s="1">
        <f t="shared" si="48"/>
        <v>0</v>
      </c>
      <c r="AJ198" s="1">
        <f t="shared" si="48"/>
        <v>0</v>
      </c>
      <c r="AK198" s="2">
        <f t="shared" si="49"/>
        <v>0</v>
      </c>
      <c r="AL198" s="2">
        <f t="shared" si="49"/>
        <v>0</v>
      </c>
      <c r="AY198">
        <v>-84.022928067629167</v>
      </c>
      <c r="BO198">
        <v>-69.270395842512329</v>
      </c>
    </row>
    <row r="199" spans="23:67" x14ac:dyDescent="0.25">
      <c r="W199" t="e">
        <f t="shared" si="50"/>
        <v>#NUM!</v>
      </c>
      <c r="X199">
        <f t="shared" ref="X199:X218" si="51">3.1415926/2+AE199-AF199</f>
        <v>61.570799515387513</v>
      </c>
      <c r="Y199">
        <f t="shared" ref="Y199:Y218" si="52">SQRT( V199*V199+(U199+$G$2)*(U199+$G$2)     )</f>
        <v>28</v>
      </c>
      <c r="Z199">
        <f t="shared" ref="Z199:Z218" si="53">ATAN2(  V199, -U199-$G$2)</f>
        <v>-1.5707963267948966</v>
      </c>
      <c r="AA199" t="e">
        <f t="shared" ref="AA199:AA218" si="54" xml:space="preserve"> ACOS((Y199*Y199+$C$2*$C$2-($E$2+$T$2)*($E$2+$T$2))/(2*Y199*$C$2))</f>
        <v>#NUM!</v>
      </c>
      <c r="AB199" t="e">
        <f t="shared" ref="AB199:AB218" si="55">-$G$2-$C$2*COS(W199)+(U199+$G$2+COS(W199)*$C$2)*$E$2/($E$2+$T$2)</f>
        <v>#NUM!</v>
      </c>
      <c r="AC199" t="e">
        <f t="shared" ref="AC199:AC218" si="56">$C$2*SIN(W199)+(V199-$C$2*SIN(W199))*$E$2/($T$2+$E$2)</f>
        <v>#NUM!</v>
      </c>
      <c r="AE199">
        <v>3.2153875902064446E-6</v>
      </c>
      <c r="AF199">
        <v>-59.999999999999922</v>
      </c>
      <c r="AH199" s="1">
        <v>193</v>
      </c>
      <c r="AI199" s="1">
        <f t="shared" si="48"/>
        <v>0</v>
      </c>
      <c r="AJ199" s="1">
        <f t="shared" si="48"/>
        <v>0</v>
      </c>
      <c r="AK199" s="2">
        <f t="shared" si="49"/>
        <v>0</v>
      </c>
      <c r="AL199" s="2">
        <f t="shared" si="49"/>
        <v>0</v>
      </c>
      <c r="AY199">
        <v>-85.743943308162585</v>
      </c>
      <c r="BO199">
        <v>-66.915507600298938</v>
      </c>
    </row>
    <row r="200" spans="23:67" x14ac:dyDescent="0.25">
      <c r="W200" t="e">
        <f t="shared" si="50"/>
        <v>#NUM!</v>
      </c>
      <c r="X200">
        <f t="shared" si="51"/>
        <v>61.570799515387513</v>
      </c>
      <c r="Y200">
        <f t="shared" si="52"/>
        <v>28</v>
      </c>
      <c r="Z200">
        <f t="shared" si="53"/>
        <v>-1.5707963267948966</v>
      </c>
      <c r="AA200" t="e">
        <f t="shared" si="54"/>
        <v>#NUM!</v>
      </c>
      <c r="AB200" t="e">
        <f t="shared" si="55"/>
        <v>#NUM!</v>
      </c>
      <c r="AC200" t="e">
        <f t="shared" si="56"/>
        <v>#NUM!</v>
      </c>
      <c r="AE200">
        <v>3.2153875902064446E-6</v>
      </c>
      <c r="AF200">
        <v>-59.999999999999922</v>
      </c>
      <c r="AH200" s="1">
        <v>194</v>
      </c>
      <c r="AI200" s="1">
        <f t="shared" si="48"/>
        <v>0</v>
      </c>
      <c r="AJ200" s="1">
        <f t="shared" si="48"/>
        <v>0</v>
      </c>
      <c r="AK200" s="2">
        <f t="shared" si="49"/>
        <v>0</v>
      </c>
      <c r="AL200" s="2">
        <f t="shared" si="49"/>
        <v>0</v>
      </c>
      <c r="AY200">
        <v>-87.410015346074147</v>
      </c>
      <c r="BO200">
        <v>-64.514769190474993</v>
      </c>
    </row>
    <row r="201" spans="23:67" x14ac:dyDescent="0.25">
      <c r="W201" t="e">
        <f t="shared" si="50"/>
        <v>#NUM!</v>
      </c>
      <c r="X201">
        <f t="shared" si="51"/>
        <v>61.570799515387513</v>
      </c>
      <c r="Y201">
        <f t="shared" si="52"/>
        <v>28</v>
      </c>
      <c r="Z201">
        <f t="shared" si="53"/>
        <v>-1.5707963267948966</v>
      </c>
      <c r="AA201" t="e">
        <f t="shared" si="54"/>
        <v>#NUM!</v>
      </c>
      <c r="AB201" t="e">
        <f t="shared" si="55"/>
        <v>#NUM!</v>
      </c>
      <c r="AC201" t="e">
        <f t="shared" si="56"/>
        <v>#NUM!</v>
      </c>
      <c r="AE201">
        <v>3.2153875902064446E-6</v>
      </c>
      <c r="AF201">
        <v>-59.999999999999922</v>
      </c>
      <c r="AH201" s="1">
        <v>195</v>
      </c>
      <c r="AI201" s="1">
        <f t="shared" si="48"/>
        <v>0</v>
      </c>
      <c r="AJ201" s="1">
        <f t="shared" si="48"/>
        <v>0</v>
      </c>
      <c r="AK201" s="2">
        <f t="shared" si="49"/>
        <v>0</v>
      </c>
      <c r="AL201" s="2">
        <f t="shared" si="49"/>
        <v>0</v>
      </c>
      <c r="AY201">
        <v>-89.019731812542062</v>
      </c>
      <c r="BO201">
        <v>-62.069391208362894</v>
      </c>
    </row>
    <row r="202" spans="23:67" x14ac:dyDescent="0.25">
      <c r="W202" t="e">
        <f t="shared" si="50"/>
        <v>#NUM!</v>
      </c>
      <c r="X202">
        <f t="shared" si="51"/>
        <v>61.570799515387513</v>
      </c>
      <c r="Y202">
        <f t="shared" si="52"/>
        <v>28</v>
      </c>
      <c r="Z202">
        <f t="shared" si="53"/>
        <v>-1.5707963267948966</v>
      </c>
      <c r="AA202" t="e">
        <f t="shared" si="54"/>
        <v>#NUM!</v>
      </c>
      <c r="AB202" t="e">
        <f t="shared" si="55"/>
        <v>#NUM!</v>
      </c>
      <c r="AC202" t="e">
        <f t="shared" si="56"/>
        <v>#NUM!</v>
      </c>
      <c r="AE202">
        <v>3.2153875902064446E-6</v>
      </c>
      <c r="AF202">
        <v>-59.999999999999922</v>
      </c>
      <c r="AH202" s="1">
        <v>196</v>
      </c>
      <c r="AI202" s="1">
        <f t="shared" si="48"/>
        <v>0</v>
      </c>
      <c r="AJ202" s="1">
        <f t="shared" si="48"/>
        <v>0</v>
      </c>
      <c r="AK202" s="2">
        <f t="shared" si="49"/>
        <v>0</v>
      </c>
      <c r="AL202" s="2">
        <f t="shared" si="49"/>
        <v>0</v>
      </c>
      <c r="AY202">
        <v>-90.571702914357161</v>
      </c>
      <c r="BO202">
        <v>-59.580632161598629</v>
      </c>
    </row>
    <row r="203" spans="23:67" x14ac:dyDescent="0.25">
      <c r="W203" t="e">
        <f t="shared" si="50"/>
        <v>#NUM!</v>
      </c>
      <c r="X203">
        <f t="shared" si="51"/>
        <v>61.570799515387513</v>
      </c>
      <c r="Y203">
        <f t="shared" si="52"/>
        <v>28</v>
      </c>
      <c r="Z203">
        <f t="shared" si="53"/>
        <v>-1.5707963267948966</v>
      </c>
      <c r="AA203" t="e">
        <f t="shared" si="54"/>
        <v>#NUM!</v>
      </c>
      <c r="AB203" t="e">
        <f t="shared" si="55"/>
        <v>#NUM!</v>
      </c>
      <c r="AC203" t="e">
        <f t="shared" si="56"/>
        <v>#NUM!</v>
      </c>
      <c r="AE203">
        <v>3.2153875902064446E-6</v>
      </c>
      <c r="AF203">
        <v>-59.999999999999922</v>
      </c>
      <c r="AH203" s="1">
        <v>197</v>
      </c>
      <c r="AI203" s="1">
        <f t="shared" si="48"/>
        <v>0</v>
      </c>
      <c r="AJ203" s="1">
        <f t="shared" si="48"/>
        <v>0</v>
      </c>
      <c r="AK203" s="2">
        <f t="shared" si="49"/>
        <v>0</v>
      </c>
      <c r="AL203" s="2">
        <f t="shared" si="49"/>
        <v>0</v>
      </c>
      <c r="AY203">
        <v>-92.064563134086512</v>
      </c>
      <c r="BO203">
        <v>-57.049798701590817</v>
      </c>
    </row>
    <row r="204" spans="23:67" x14ac:dyDescent="0.25">
      <c r="W204" t="e">
        <f t="shared" si="50"/>
        <v>#NUM!</v>
      </c>
      <c r="X204">
        <f t="shared" si="51"/>
        <v>61.570799515387513</v>
      </c>
      <c r="Y204">
        <f t="shared" si="52"/>
        <v>28</v>
      </c>
      <c r="Z204">
        <f t="shared" si="53"/>
        <v>-1.5707963267948966</v>
      </c>
      <c r="AA204" t="e">
        <f t="shared" si="54"/>
        <v>#NUM!</v>
      </c>
      <c r="AB204" t="e">
        <f t="shared" si="55"/>
        <v>#NUM!</v>
      </c>
      <c r="AC204" t="e">
        <f t="shared" si="56"/>
        <v>#NUM!</v>
      </c>
      <c r="AE204">
        <v>3.2153875902064446E-6</v>
      </c>
      <c r="AF204">
        <v>-59.999999999999922</v>
      </c>
      <c r="AH204" s="1">
        <v>198</v>
      </c>
      <c r="AI204" s="1">
        <f t="shared" si="48"/>
        <v>0</v>
      </c>
      <c r="AJ204" s="1">
        <f t="shared" si="48"/>
        <v>0</v>
      </c>
      <c r="AK204" s="2">
        <f t="shared" si="49"/>
        <v>0</v>
      </c>
      <c r="AL204" s="2">
        <f t="shared" si="49"/>
        <v>0</v>
      </c>
      <c r="AY204">
        <v>-93.496973049239003</v>
      </c>
      <c r="BO204">
        <v>-54.47824575690386</v>
      </c>
    </row>
    <row r="205" spans="23:67" x14ac:dyDescent="0.25">
      <c r="W205" t="e">
        <f t="shared" si="50"/>
        <v>#NUM!</v>
      </c>
      <c r="X205">
        <f t="shared" si="51"/>
        <v>61.570799515387513</v>
      </c>
      <c r="Y205">
        <f t="shared" si="52"/>
        <v>28</v>
      </c>
      <c r="Z205">
        <f t="shared" si="53"/>
        <v>-1.5707963267948966</v>
      </c>
      <c r="AA205" t="e">
        <f t="shared" si="54"/>
        <v>#NUM!</v>
      </c>
      <c r="AB205" t="e">
        <f t="shared" si="55"/>
        <v>#NUM!</v>
      </c>
      <c r="AC205" t="e">
        <f t="shared" si="56"/>
        <v>#NUM!</v>
      </c>
      <c r="AE205">
        <v>3.2153875902064446E-6</v>
      </c>
      <c r="AF205">
        <v>-59.999999999999922</v>
      </c>
      <c r="AH205" s="1">
        <v>199</v>
      </c>
      <c r="AI205" s="1">
        <f t="shared" si="48"/>
        <v>0</v>
      </c>
      <c r="AJ205" s="1">
        <f t="shared" si="48"/>
        <v>0</v>
      </c>
      <c r="AK205" s="2">
        <f t="shared" si="49"/>
        <v>0</v>
      </c>
      <c r="AL205" s="2">
        <f t="shared" si="49"/>
        <v>0</v>
      </c>
      <c r="AY205">
        <v>-94.867621258778129</v>
      </c>
      <c r="BO205">
        <v>-51.867376556203979</v>
      </c>
    </row>
    <row r="206" spans="23:67" x14ac:dyDescent="0.25">
      <c r="W206" t="e">
        <f t="shared" si="50"/>
        <v>#NUM!</v>
      </c>
      <c r="X206">
        <f t="shared" si="51"/>
        <v>61.570799515387513</v>
      </c>
      <c r="Y206">
        <f t="shared" si="52"/>
        <v>28</v>
      </c>
      <c r="Z206">
        <f t="shared" si="53"/>
        <v>-1.5707963267948966</v>
      </c>
      <c r="AA206" t="e">
        <f t="shared" si="54"/>
        <v>#NUM!</v>
      </c>
      <c r="AB206" t="e">
        <f t="shared" si="55"/>
        <v>#NUM!</v>
      </c>
      <c r="AC206" t="e">
        <f t="shared" si="56"/>
        <v>#NUM!</v>
      </c>
      <c r="AE206">
        <v>3.2153875902064446E-6</v>
      </c>
      <c r="AF206">
        <v>-59.999999999999922</v>
      </c>
      <c r="AH206" s="1">
        <v>200</v>
      </c>
      <c r="AI206" s="1">
        <f t="shared" si="48"/>
        <v>0</v>
      </c>
      <c r="AJ206" s="1">
        <f t="shared" si="48"/>
        <v>0</v>
      </c>
      <c r="AK206" s="2">
        <f t="shared" si="49"/>
        <v>0</v>
      </c>
      <c r="AL206" s="2">
        <f t="shared" si="49"/>
        <v>0</v>
      </c>
      <c r="AY206">
        <v>-96.175226404524849</v>
      </c>
      <c r="BO206">
        <v>-49.218642529253216</v>
      </c>
    </row>
    <row r="207" spans="23:67" x14ac:dyDescent="0.25">
      <c r="W207" t="e">
        <f t="shared" si="50"/>
        <v>#NUM!</v>
      </c>
      <c r="X207">
        <f t="shared" si="51"/>
        <v>61.570799515387513</v>
      </c>
      <c r="Y207">
        <f t="shared" si="52"/>
        <v>28</v>
      </c>
      <c r="Z207">
        <f t="shared" si="53"/>
        <v>-1.5707963267948966</v>
      </c>
      <c r="AA207" t="e">
        <f t="shared" si="54"/>
        <v>#NUM!</v>
      </c>
      <c r="AB207" t="e">
        <f t="shared" si="55"/>
        <v>#NUM!</v>
      </c>
      <c r="AC207" t="e">
        <f t="shared" si="56"/>
        <v>#NUM!</v>
      </c>
      <c r="AE207">
        <v>3.2153875902064446E-6</v>
      </c>
      <c r="AF207">
        <v>-59.999999999999922</v>
      </c>
      <c r="AH207" s="1">
        <v>201</v>
      </c>
      <c r="AI207" s="1">
        <f t="shared" si="48"/>
        <v>0</v>
      </c>
      <c r="AJ207" s="1">
        <f t="shared" si="48"/>
        <v>0</v>
      </c>
      <c r="AK207" s="2">
        <f t="shared" si="49"/>
        <v>0</v>
      </c>
      <c r="AL207" s="2">
        <f t="shared" si="49"/>
        <v>0</v>
      </c>
      <c r="AY207">
        <v>-97.418539274155421</v>
      </c>
      <c r="BO207">
        <v>-46.533543075434004</v>
      </c>
    </row>
    <row r="208" spans="23:67" x14ac:dyDescent="0.25">
      <c r="W208" t="e">
        <f t="shared" si="50"/>
        <v>#NUM!</v>
      </c>
      <c r="X208">
        <f t="shared" si="51"/>
        <v>61.570799515387513</v>
      </c>
      <c r="Y208">
        <f t="shared" si="52"/>
        <v>28</v>
      </c>
      <c r="Z208">
        <f t="shared" si="53"/>
        <v>-1.5707963267948966</v>
      </c>
      <c r="AA208" t="e">
        <f t="shared" si="54"/>
        <v>#NUM!</v>
      </c>
      <c r="AB208" t="e">
        <f t="shared" si="55"/>
        <v>#NUM!</v>
      </c>
      <c r="AC208" t="e">
        <f t="shared" si="56"/>
        <v>#NUM!</v>
      </c>
      <c r="AE208">
        <v>3.2153875902064446E-6</v>
      </c>
      <c r="AF208">
        <v>-59.999999999999922</v>
      </c>
      <c r="AH208" s="1">
        <v>202</v>
      </c>
      <c r="AI208" s="1">
        <f t="shared" si="48"/>
        <v>0</v>
      </c>
      <c r="AJ208" s="1">
        <f t="shared" si="48"/>
        <v>0</v>
      </c>
      <c r="AK208" s="2">
        <f t="shared" si="49"/>
        <v>0</v>
      </c>
      <c r="AL208" s="2">
        <f t="shared" si="49"/>
        <v>0</v>
      </c>
      <c r="AY208">
        <v>-98.596344971669311</v>
      </c>
      <c r="BO208">
        <v>-43.813625190438827</v>
      </c>
    </row>
    <row r="209" spans="23:67" x14ac:dyDescent="0.25">
      <c r="W209" t="e">
        <f t="shared" si="50"/>
        <v>#NUM!</v>
      </c>
      <c r="X209">
        <f t="shared" si="51"/>
        <v>61.570799515387513</v>
      </c>
      <c r="Y209">
        <f t="shared" si="52"/>
        <v>28</v>
      </c>
      <c r="Z209">
        <f t="shared" si="53"/>
        <v>-1.5707963267948966</v>
      </c>
      <c r="AA209" t="e">
        <f t="shared" si="54"/>
        <v>#NUM!</v>
      </c>
      <c r="AB209" t="e">
        <f t="shared" si="55"/>
        <v>#NUM!</v>
      </c>
      <c r="AC209" t="e">
        <f t="shared" si="56"/>
        <v>#NUM!</v>
      </c>
      <c r="AE209">
        <v>3.2153875902064446E-6</v>
      </c>
      <c r="AF209">
        <v>-59.999999999999922</v>
      </c>
      <c r="AH209" s="1">
        <v>203</v>
      </c>
      <c r="AI209" s="1">
        <f t="shared" si="48"/>
        <v>0</v>
      </c>
      <c r="AJ209" s="1">
        <f t="shared" si="48"/>
        <v>0</v>
      </c>
      <c r="AK209" s="2">
        <f t="shared" si="49"/>
        <v>0</v>
      </c>
      <c r="AL209" s="2">
        <f t="shared" si="49"/>
        <v>0</v>
      </c>
      <c r="AY209">
        <v>-99.707465140420894</v>
      </c>
      <c r="BO209">
        <v>-41.060482943056698</v>
      </c>
    </row>
    <row r="210" spans="23:67" x14ac:dyDescent="0.25">
      <c r="W210" t="e">
        <f t="shared" si="50"/>
        <v>#NUM!</v>
      </c>
      <c r="X210">
        <f t="shared" si="51"/>
        <v>61.570799515387513</v>
      </c>
      <c r="Y210">
        <f t="shared" si="52"/>
        <v>28</v>
      </c>
      <c r="Z210">
        <f t="shared" si="53"/>
        <v>-1.5707963267948966</v>
      </c>
      <c r="AA210" t="e">
        <f t="shared" si="54"/>
        <v>#NUM!</v>
      </c>
      <c r="AB210" t="e">
        <f t="shared" si="55"/>
        <v>#NUM!</v>
      </c>
      <c r="AC210" t="e">
        <f t="shared" si="56"/>
        <v>#NUM!</v>
      </c>
      <c r="AE210">
        <v>3.2153875902064446E-6</v>
      </c>
      <c r="AF210">
        <v>-59.999999999999922</v>
      </c>
      <c r="AH210" s="1">
        <v>204</v>
      </c>
      <c r="AI210" s="1">
        <f t="shared" si="48"/>
        <v>0</v>
      </c>
      <c r="AJ210" s="1">
        <f t="shared" si="48"/>
        <v>0</v>
      </c>
      <c r="AK210" s="2">
        <f t="shared" si="49"/>
        <v>0</v>
      </c>
      <c r="AL210" s="2">
        <f t="shared" si="49"/>
        <v>0</v>
      </c>
      <c r="AY210">
        <v>-100.75076022311241</v>
      </c>
      <c r="BO210">
        <v>-38.275756795420236</v>
      </c>
    </row>
    <row r="211" spans="23:67" x14ac:dyDescent="0.25">
      <c r="W211" t="e">
        <f t="shared" si="50"/>
        <v>#NUM!</v>
      </c>
      <c r="X211">
        <f t="shared" si="51"/>
        <v>61.570799515387513</v>
      </c>
      <c r="Y211">
        <f t="shared" si="52"/>
        <v>28</v>
      </c>
      <c r="Z211">
        <f t="shared" si="53"/>
        <v>-1.5707963267948966</v>
      </c>
      <c r="AA211" t="e">
        <f t="shared" si="54"/>
        <v>#NUM!</v>
      </c>
      <c r="AB211" t="e">
        <f t="shared" si="55"/>
        <v>#NUM!</v>
      </c>
      <c r="AC211" t="e">
        <f t="shared" si="56"/>
        <v>#NUM!</v>
      </c>
      <c r="AE211">
        <v>3.2153875902064446E-6</v>
      </c>
      <c r="AF211">
        <v>-59.999999999999922</v>
      </c>
      <c r="AH211" s="1">
        <v>205</v>
      </c>
      <c r="AI211" s="1">
        <f t="shared" si="48"/>
        <v>0</v>
      </c>
      <c r="AJ211" s="1">
        <f t="shared" si="48"/>
        <v>0</v>
      </c>
      <c r="AK211" s="2">
        <f t="shared" si="49"/>
        <v>0</v>
      </c>
      <c r="AL211" s="2">
        <f t="shared" si="49"/>
        <v>0</v>
      </c>
      <c r="AY211">
        <v>-101.72513174256733</v>
      </c>
      <c r="BO211">
        <v>-35.461132761629614</v>
      </c>
    </row>
    <row r="212" spans="23:67" x14ac:dyDescent="0.25">
      <c r="W212" t="e">
        <f t="shared" si="50"/>
        <v>#NUM!</v>
      </c>
      <c r="X212">
        <f t="shared" si="51"/>
        <v>61.570799515387513</v>
      </c>
      <c r="Y212">
        <f t="shared" si="52"/>
        <v>28</v>
      </c>
      <c r="Z212">
        <f t="shared" si="53"/>
        <v>-1.5707963267948966</v>
      </c>
      <c r="AA212" t="e">
        <f t="shared" si="54"/>
        <v>#NUM!</v>
      </c>
      <c r="AB212" t="e">
        <f t="shared" si="55"/>
        <v>#NUM!</v>
      </c>
      <c r="AC212" t="e">
        <f t="shared" si="56"/>
        <v>#NUM!</v>
      </c>
      <c r="AE212">
        <v>3.2153875902064446E-6</v>
      </c>
      <c r="AF212">
        <v>-59.999999999999922</v>
      </c>
      <c r="AH212" s="1">
        <v>206</v>
      </c>
      <c r="AI212" s="1">
        <f t="shared" si="48"/>
        <v>0</v>
      </c>
      <c r="AJ212" s="1">
        <f t="shared" si="48"/>
        <v>0</v>
      </c>
      <c r="AK212" s="2">
        <f t="shared" si="49"/>
        <v>0</v>
      </c>
      <c r="AL212" s="2">
        <f t="shared" si="49"/>
        <v>0</v>
      </c>
      <c r="AY212">
        <v>-102.62952458666661</v>
      </c>
      <c r="BO212">
        <v>-32.61834140132202</v>
      </c>
    </row>
    <row r="213" spans="23:67" x14ac:dyDescent="0.25">
      <c r="W213" t="e">
        <f t="shared" si="50"/>
        <v>#NUM!</v>
      </c>
      <c r="X213">
        <f t="shared" si="51"/>
        <v>61.570799515387513</v>
      </c>
      <c r="Y213">
        <f t="shared" si="52"/>
        <v>28</v>
      </c>
      <c r="Z213">
        <f t="shared" si="53"/>
        <v>-1.5707963267948966</v>
      </c>
      <c r="AA213" t="e">
        <f t="shared" si="54"/>
        <v>#NUM!</v>
      </c>
      <c r="AB213" t="e">
        <f t="shared" si="55"/>
        <v>#NUM!</v>
      </c>
      <c r="AC213" t="e">
        <f t="shared" si="56"/>
        <v>#NUM!</v>
      </c>
      <c r="AE213">
        <v>3.2153875902064446E-6</v>
      </c>
      <c r="AF213">
        <v>-59.999999999999922</v>
      </c>
      <c r="AH213" s="1">
        <v>207</v>
      </c>
      <c r="AI213" s="1">
        <f t="shared" si="48"/>
        <v>0</v>
      </c>
      <c r="AJ213" s="1">
        <f t="shared" si="48"/>
        <v>0</v>
      </c>
      <c r="AK213" s="2">
        <f t="shared" si="49"/>
        <v>0</v>
      </c>
      <c r="AL213" s="2">
        <f t="shared" si="49"/>
        <v>0</v>
      </c>
      <c r="AY213">
        <v>-103.46292928056559</v>
      </c>
      <c r="BO213">
        <v>-29.749156646483328</v>
      </c>
    </row>
    <row r="214" spans="23:67" x14ac:dyDescent="0.25">
      <c r="W214" t="e">
        <f t="shared" si="50"/>
        <v>#NUM!</v>
      </c>
      <c r="X214">
        <f t="shared" si="51"/>
        <v>61.570799515387513</v>
      </c>
      <c r="Y214">
        <f t="shared" si="52"/>
        <v>28</v>
      </c>
      <c r="Z214">
        <f t="shared" si="53"/>
        <v>-1.5707963267948966</v>
      </c>
      <c r="AA214" t="e">
        <f t="shared" si="54"/>
        <v>#NUM!</v>
      </c>
      <c r="AB214" t="e">
        <f t="shared" si="55"/>
        <v>#NUM!</v>
      </c>
      <c r="AC214" t="e">
        <f t="shared" si="56"/>
        <v>#NUM!</v>
      </c>
      <c r="AE214">
        <v>3.2153875902064446E-6</v>
      </c>
      <c r="AF214">
        <v>-59.999999999999922</v>
      </c>
      <c r="AH214" s="1">
        <v>208</v>
      </c>
      <c r="AI214" s="1">
        <f t="shared" si="48"/>
        <v>0</v>
      </c>
      <c r="AJ214" s="1">
        <f t="shared" si="48"/>
        <v>0</v>
      </c>
      <c r="AK214" s="2">
        <f t="shared" si="49"/>
        <v>0</v>
      </c>
      <c r="AL214" s="2">
        <f t="shared" si="49"/>
        <v>0</v>
      </c>
      <c r="AY214">
        <v>-104.22438422922602</v>
      </c>
      <c r="BO214">
        <v>-26.85539446157609</v>
      </c>
    </row>
    <row r="215" spans="23:67" x14ac:dyDescent="0.25">
      <c r="W215" t="e">
        <f t="shared" si="50"/>
        <v>#NUM!</v>
      </c>
      <c r="X215">
        <f t="shared" si="51"/>
        <v>61.570799515387513</v>
      </c>
      <c r="Y215">
        <f t="shared" si="52"/>
        <v>28</v>
      </c>
      <c r="Z215">
        <f t="shared" si="53"/>
        <v>-1.5707963267948966</v>
      </c>
      <c r="AA215" t="e">
        <f t="shared" si="54"/>
        <v>#NUM!</v>
      </c>
      <c r="AB215" t="e">
        <f t="shared" si="55"/>
        <v>#NUM!</v>
      </c>
      <c r="AC215" t="e">
        <f t="shared" si="56"/>
        <v>#NUM!</v>
      </c>
      <c r="AE215">
        <v>3.2153875902064446E-6</v>
      </c>
      <c r="AF215">
        <v>-59.999999999999922</v>
      </c>
      <c r="AH215" s="1">
        <v>209</v>
      </c>
      <c r="AI215" s="1">
        <f t="shared" ref="AI215:AJ220" si="57">U215</f>
        <v>0</v>
      </c>
      <c r="AJ215" s="1">
        <f t="shared" si="57"/>
        <v>0</v>
      </c>
      <c r="AK215" s="2">
        <f t="shared" ref="AK215:AL220" si="58">D215*180/3.1415926</f>
        <v>0</v>
      </c>
      <c r="AL215" s="2">
        <f t="shared" si="58"/>
        <v>0</v>
      </c>
      <c r="AY215">
        <v>-104.91297791341526</v>
      </c>
      <c r="BO215">
        <v>-23.938911338856585</v>
      </c>
    </row>
    <row r="216" spans="23:67" x14ac:dyDescent="0.25">
      <c r="W216" t="e">
        <f t="shared" si="50"/>
        <v>#NUM!</v>
      </c>
      <c r="X216">
        <f t="shared" si="51"/>
        <v>61.570799515387513</v>
      </c>
      <c r="Y216">
        <f t="shared" si="52"/>
        <v>28</v>
      </c>
      <c r="Z216">
        <f t="shared" si="53"/>
        <v>-1.5707963267948966</v>
      </c>
      <c r="AA216" t="e">
        <f t="shared" si="54"/>
        <v>#NUM!</v>
      </c>
      <c r="AB216" t="e">
        <f t="shared" si="55"/>
        <v>#NUM!</v>
      </c>
      <c r="AC216" t="e">
        <f t="shared" si="56"/>
        <v>#NUM!</v>
      </c>
      <c r="AE216">
        <v>3.2153875902064446E-6</v>
      </c>
      <c r="AF216">
        <v>-59.999999999999922</v>
      </c>
      <c r="AH216" s="1">
        <v>210</v>
      </c>
      <c r="AI216" s="1">
        <f t="shared" si="57"/>
        <v>0</v>
      </c>
      <c r="AJ216" s="1">
        <f t="shared" si="57"/>
        <v>0</v>
      </c>
      <c r="AK216" s="2">
        <f t="shared" si="58"/>
        <v>0</v>
      </c>
      <c r="AL216" s="2">
        <f t="shared" si="58"/>
        <v>0</v>
      </c>
      <c r="AY216">
        <v>-105.527851022645</v>
      </c>
      <c r="BO216">
        <v>-21.001602632541804</v>
      </c>
    </row>
    <row r="217" spans="23:67" x14ac:dyDescent="0.25">
      <c r="W217" t="e">
        <f t="shared" si="50"/>
        <v>#NUM!</v>
      </c>
      <c r="X217">
        <f t="shared" si="51"/>
        <v>61.570799515387513</v>
      </c>
      <c r="Y217">
        <f t="shared" si="52"/>
        <v>28</v>
      </c>
      <c r="Z217">
        <f t="shared" si="53"/>
        <v>-1.5707963267948966</v>
      </c>
      <c r="AA217" t="e">
        <f t="shared" si="54"/>
        <v>#NUM!</v>
      </c>
      <c r="AB217" t="e">
        <f t="shared" si="55"/>
        <v>#NUM!</v>
      </c>
      <c r="AC217" t="e">
        <f t="shared" si="56"/>
        <v>#NUM!</v>
      </c>
      <c r="AE217">
        <v>3.2153875902064446E-6</v>
      </c>
      <c r="AF217">
        <v>-59.999999999999922</v>
      </c>
      <c r="AH217" s="1">
        <v>211</v>
      </c>
      <c r="AI217" s="1">
        <f t="shared" si="57"/>
        <v>0</v>
      </c>
      <c r="AJ217" s="1">
        <f t="shared" si="57"/>
        <v>0</v>
      </c>
      <c r="AK217" s="2">
        <f t="shared" si="58"/>
        <v>0</v>
      </c>
      <c r="AL217" s="2">
        <f t="shared" si="58"/>
        <v>0</v>
      </c>
      <c r="AY217">
        <v>-106.06819850905003</v>
      </c>
      <c r="BO217">
        <v>-18.04540073723404</v>
      </c>
    </row>
    <row r="218" spans="23:67" x14ac:dyDescent="0.25">
      <c r="W218" t="e">
        <f t="shared" si="50"/>
        <v>#NUM!</v>
      </c>
      <c r="X218">
        <f t="shared" si="51"/>
        <v>61.570799515387513</v>
      </c>
      <c r="Y218">
        <f t="shared" si="52"/>
        <v>28</v>
      </c>
      <c r="Z218">
        <f t="shared" si="53"/>
        <v>-1.5707963267948966</v>
      </c>
      <c r="AA218" t="e">
        <f t="shared" si="54"/>
        <v>#NUM!</v>
      </c>
      <c r="AB218" t="e">
        <f t="shared" si="55"/>
        <v>#NUM!</v>
      </c>
      <c r="AC218" t="e">
        <f t="shared" si="56"/>
        <v>#NUM!</v>
      </c>
      <c r="AE218">
        <v>3.2153875902064446E-6</v>
      </c>
      <c r="AF218">
        <v>-59.999999999999922</v>
      </c>
      <c r="AH218" s="1">
        <v>212</v>
      </c>
      <c r="AI218" s="1">
        <f t="shared" si="57"/>
        <v>0</v>
      </c>
      <c r="AJ218" s="1">
        <f t="shared" si="57"/>
        <v>0</v>
      </c>
      <c r="AK218" s="2">
        <f t="shared" si="58"/>
        <v>0</v>
      </c>
      <c r="AL218" s="2">
        <f t="shared" si="58"/>
        <v>0</v>
      </c>
      <c r="AY218">
        <v>-106.53327154693659</v>
      </c>
      <c r="BO218">
        <v>-15.072273117684958</v>
      </c>
    </row>
    <row r="219" spans="23:67" x14ac:dyDescent="0.25">
      <c r="AH219" s="1">
        <v>213</v>
      </c>
      <c r="AI219" s="1">
        <f t="shared" si="57"/>
        <v>0</v>
      </c>
      <c r="AJ219" s="1">
        <f t="shared" si="57"/>
        <v>0</v>
      </c>
      <c r="AK219" s="2">
        <f t="shared" si="58"/>
        <v>0</v>
      </c>
      <c r="AL219" s="2">
        <f t="shared" si="58"/>
        <v>0</v>
      </c>
      <c r="AY219">
        <v>-106.92237938365012</v>
      </c>
      <c r="BO219">
        <v>-12.084220198555332</v>
      </c>
    </row>
    <row r="220" spans="23:67" x14ac:dyDescent="0.25">
      <c r="AH220" s="1">
        <v>214</v>
      </c>
      <c r="AI220" s="1">
        <f t="shared" si="57"/>
        <v>0</v>
      </c>
      <c r="AJ220" s="1">
        <f t="shared" si="57"/>
        <v>0</v>
      </c>
      <c r="AK220" s="2">
        <f t="shared" si="58"/>
        <v>0</v>
      </c>
      <c r="AL220" s="2">
        <f t="shared" si="58"/>
        <v>0</v>
      </c>
      <c r="AY220">
        <v>-107.23489106851224</v>
      </c>
      <c r="BO220">
        <v>-9.0832731242685902</v>
      </c>
    </row>
    <row r="221" spans="23:67" x14ac:dyDescent="0.25">
      <c r="AY221">
        <v>-107.47023704783025</v>
      </c>
      <c r="BO221">
        <v>-6.0714914003477425</v>
      </c>
    </row>
    <row r="222" spans="23:67" x14ac:dyDescent="0.25">
      <c r="AY222">
        <v>-107.62791061537467</v>
      </c>
      <c r="BO222">
        <v>-3.0509604287390886</v>
      </c>
    </row>
    <row r="223" spans="23:67" x14ac:dyDescent="0.25">
      <c r="AY223">
        <v>-107.70746920921601</v>
      </c>
      <c r="BO223">
        <v>-2.3788950550098775E-2</v>
      </c>
    </row>
    <row r="224" spans="23:67" x14ac:dyDescent="0.25">
      <c r="AY224">
        <v>-107.70853554738908</v>
      </c>
      <c r="BO224">
        <v>3.0078935896526602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C3:AM163"/>
  <sheetViews>
    <sheetView topLeftCell="A38" workbookViewId="0">
      <selection activeCell="D70" sqref="D70"/>
    </sheetView>
  </sheetViews>
  <sheetFormatPr defaultRowHeight="15" x14ac:dyDescent="0.25"/>
  <cols>
    <col min="24" max="24" width="22.7109375" customWidth="1"/>
    <col min="32" max="32" width="24.5703125" customWidth="1"/>
  </cols>
  <sheetData>
    <row r="3" spans="3:39" x14ac:dyDescent="0.25">
      <c r="C3">
        <v>40.358376252180449</v>
      </c>
      <c r="D3">
        <f>-C3</f>
        <v>-40.358376252180449</v>
      </c>
      <c r="G3">
        <v>117.49084787531784</v>
      </c>
      <c r="H3">
        <f>-G3</f>
        <v>-117.49084787531784</v>
      </c>
      <c r="K3">
        <v>0</v>
      </c>
      <c r="X3">
        <f>-K3</f>
        <v>0</v>
      </c>
      <c r="Y3">
        <f t="shared" ref="Y3:AM3" si="0">-L3</f>
        <v>0</v>
      </c>
      <c r="Z3">
        <f t="shared" si="0"/>
        <v>0</v>
      </c>
      <c r="AA3">
        <f t="shared" si="0"/>
        <v>0</v>
      </c>
      <c r="AB3">
        <f t="shared" si="0"/>
        <v>0</v>
      </c>
      <c r="AC3">
        <f t="shared" si="0"/>
        <v>0</v>
      </c>
      <c r="AD3">
        <f t="shared" si="0"/>
        <v>0</v>
      </c>
      <c r="AE3">
        <f t="shared" si="0"/>
        <v>0</v>
      </c>
      <c r="AF3">
        <f t="shared" si="0"/>
        <v>0</v>
      </c>
      <c r="AG3">
        <f t="shared" si="0"/>
        <v>0</v>
      </c>
      <c r="AH3">
        <f t="shared" si="0"/>
        <v>0</v>
      </c>
      <c r="AI3">
        <f t="shared" si="0"/>
        <v>0</v>
      </c>
      <c r="AJ3">
        <f t="shared" si="0"/>
        <v>0</v>
      </c>
      <c r="AK3">
        <f t="shared" si="0"/>
        <v>0</v>
      </c>
      <c r="AL3">
        <f t="shared" si="0"/>
        <v>0</v>
      </c>
      <c r="AM3">
        <f t="shared" si="0"/>
        <v>0</v>
      </c>
    </row>
    <row r="7" spans="3:39" x14ac:dyDescent="0.25">
      <c r="AB7" s="5"/>
      <c r="AG7" s="5"/>
    </row>
    <row r="8" spans="3:39" x14ac:dyDescent="0.25">
      <c r="AB8" s="5"/>
      <c r="AG8" s="5"/>
    </row>
    <row r="9" spans="3:39" x14ac:dyDescent="0.25">
      <c r="AB9" s="5"/>
      <c r="AG9" s="5"/>
    </row>
    <row r="10" spans="3:39" x14ac:dyDescent="0.25">
      <c r="C10" t="s">
        <v>25</v>
      </c>
      <c r="D10" t="s">
        <v>0</v>
      </c>
      <c r="E10" t="s">
        <v>1</v>
      </c>
      <c r="F10" t="s">
        <v>108</v>
      </c>
      <c r="G10" t="s">
        <v>2</v>
      </c>
      <c r="H10" t="s">
        <v>109</v>
      </c>
      <c r="I10" t="s">
        <v>110</v>
      </c>
      <c r="K10" t="s">
        <v>111</v>
      </c>
      <c r="AB10" s="5"/>
      <c r="AG10" s="5"/>
    </row>
    <row r="11" spans="3:39" x14ac:dyDescent="0.25">
      <c r="C11">
        <v>60</v>
      </c>
      <c r="D11">
        <v>32</v>
      </c>
      <c r="E11">
        <v>45</v>
      </c>
      <c r="F11">
        <v>20</v>
      </c>
      <c r="G11">
        <v>9</v>
      </c>
      <c r="H11">
        <f xml:space="preserve"> -G11+SQRT((D11+E11+F11)*(D11+E11+F11)-C11*C11)</f>
        <v>67.216796049164913</v>
      </c>
      <c r="I11">
        <f>-G11-SQRT((D11+E11+F11)*(D11+E11+F11)-C11*C11)</f>
        <v>-85.216796049164913</v>
      </c>
      <c r="K11" t="e">
        <f>SQRT( (E11+F11-D11)*(E11+F11-D11)-C11*C11)-G11</f>
        <v>#NUM!</v>
      </c>
      <c r="AB11" s="5"/>
      <c r="AG11" s="5"/>
    </row>
    <row r="12" spans="3:39" x14ac:dyDescent="0.25">
      <c r="C12">
        <v>40</v>
      </c>
      <c r="D12">
        <v>32</v>
      </c>
      <c r="E12">
        <v>45</v>
      </c>
      <c r="F12">
        <v>20</v>
      </c>
      <c r="G12">
        <v>9</v>
      </c>
      <c r="H12">
        <f t="shared" ref="H12:H31" si="1" xml:space="preserve"> -G12+SQRT((D12+E12+F12)*(D12+E12+F12)-C12*C12)</f>
        <v>79.3685464404615</v>
      </c>
      <c r="I12">
        <f t="shared" ref="I12:I31" si="2">-G12-SQRT((D12+E12+F12)*(D12+E12+F12)-C12*C12)</f>
        <v>-97.3685464404615</v>
      </c>
      <c r="K12" t="e">
        <f t="shared" ref="K12:K31" si="3">SQRT( (E12+F12-D12)*(E12+F12-D12)-C12*C12)-G12</f>
        <v>#NUM!</v>
      </c>
      <c r="AA12" s="5"/>
      <c r="AB12" s="5"/>
      <c r="AG12" s="5"/>
    </row>
    <row r="13" spans="3:39" x14ac:dyDescent="0.25">
      <c r="C13">
        <v>30</v>
      </c>
      <c r="D13">
        <v>32</v>
      </c>
      <c r="E13">
        <v>45</v>
      </c>
      <c r="F13">
        <v>20</v>
      </c>
      <c r="G13">
        <v>9</v>
      </c>
      <c r="H13">
        <f t="shared" si="1"/>
        <v>83.244241012650761</v>
      </c>
      <c r="I13">
        <f t="shared" si="2"/>
        <v>-101.24424101265076</v>
      </c>
      <c r="K13">
        <f t="shared" si="3"/>
        <v>4.7477270848675204</v>
      </c>
      <c r="AA13" s="5"/>
      <c r="AB13" s="5"/>
      <c r="AG13" s="5"/>
    </row>
    <row r="14" spans="3:39" x14ac:dyDescent="0.25">
      <c r="C14">
        <v>25</v>
      </c>
      <c r="D14">
        <v>32</v>
      </c>
      <c r="E14">
        <v>45</v>
      </c>
      <c r="F14">
        <v>20</v>
      </c>
      <c r="G14">
        <v>9</v>
      </c>
      <c r="H14">
        <f t="shared" si="1"/>
        <v>84.722996110879848</v>
      </c>
      <c r="I14">
        <f t="shared" si="2"/>
        <v>-102.72299611087985</v>
      </c>
      <c r="K14">
        <f t="shared" si="3"/>
        <v>12.540659228538015</v>
      </c>
      <c r="AB14" s="6"/>
      <c r="AG14" s="6"/>
    </row>
    <row r="15" spans="3:39" x14ac:dyDescent="0.25">
      <c r="C15">
        <v>20</v>
      </c>
      <c r="D15">
        <v>32</v>
      </c>
      <c r="E15">
        <v>45</v>
      </c>
      <c r="F15">
        <v>20</v>
      </c>
      <c r="G15">
        <v>9</v>
      </c>
      <c r="H15">
        <f t="shared" si="1"/>
        <v>85.915752117338243</v>
      </c>
      <c r="I15">
        <f t="shared" si="2"/>
        <v>-103.91575211733824</v>
      </c>
      <c r="K15">
        <f t="shared" si="3"/>
        <v>17.248809496813376</v>
      </c>
      <c r="AB15" s="5"/>
      <c r="AG15" s="5"/>
    </row>
    <row r="16" spans="3:39" x14ac:dyDescent="0.25">
      <c r="C16">
        <v>10</v>
      </c>
      <c r="D16">
        <v>32</v>
      </c>
      <c r="E16">
        <v>45</v>
      </c>
      <c r="F16">
        <v>20</v>
      </c>
      <c r="G16">
        <v>9</v>
      </c>
      <c r="H16">
        <f t="shared" si="1"/>
        <v>87.483159152258281</v>
      </c>
      <c r="I16">
        <f t="shared" si="2"/>
        <v>-105.48315915225828</v>
      </c>
      <c r="K16">
        <f t="shared" si="3"/>
        <v>22.448370387032774</v>
      </c>
      <c r="AB16" s="5"/>
      <c r="AG16" s="5"/>
    </row>
    <row r="17" spans="3:33" x14ac:dyDescent="0.25">
      <c r="C17">
        <v>0</v>
      </c>
      <c r="D17">
        <v>32</v>
      </c>
      <c r="E17">
        <v>45</v>
      </c>
      <c r="F17">
        <v>20</v>
      </c>
      <c r="G17">
        <v>9</v>
      </c>
      <c r="H17">
        <f t="shared" si="1"/>
        <v>88</v>
      </c>
      <c r="I17">
        <f t="shared" si="2"/>
        <v>-106</v>
      </c>
      <c r="K17">
        <f t="shared" si="3"/>
        <v>24</v>
      </c>
      <c r="AB17" s="6"/>
      <c r="AG17" s="6"/>
    </row>
    <row r="18" spans="3:33" x14ac:dyDescent="0.25">
      <c r="C18">
        <v>29.83</v>
      </c>
      <c r="D18">
        <v>32</v>
      </c>
      <c r="E18">
        <v>45</v>
      </c>
      <c r="F18">
        <v>20</v>
      </c>
      <c r="G18">
        <v>9</v>
      </c>
      <c r="H18">
        <f t="shared" si="1"/>
        <v>83.299355902411364</v>
      </c>
      <c r="I18">
        <f t="shared" si="2"/>
        <v>-101.29935590241136</v>
      </c>
      <c r="K18">
        <f t="shared" si="3"/>
        <v>5.1127991553766581</v>
      </c>
      <c r="AB18" s="5"/>
      <c r="AG18" s="5"/>
    </row>
    <row r="19" spans="3:33" x14ac:dyDescent="0.25">
      <c r="C19">
        <v>60</v>
      </c>
      <c r="D19">
        <v>32</v>
      </c>
      <c r="E19">
        <v>45</v>
      </c>
      <c r="F19">
        <v>20</v>
      </c>
      <c r="G19">
        <v>9</v>
      </c>
      <c r="H19">
        <f t="shared" si="1"/>
        <v>67.216796049164913</v>
      </c>
      <c r="I19">
        <f t="shared" si="2"/>
        <v>-85.216796049164913</v>
      </c>
      <c r="K19" t="e">
        <f t="shared" si="3"/>
        <v>#NUM!</v>
      </c>
      <c r="AB19" s="5"/>
      <c r="AG19" s="5"/>
    </row>
    <row r="20" spans="3:33" x14ac:dyDescent="0.25">
      <c r="C20">
        <v>60</v>
      </c>
      <c r="D20">
        <v>32</v>
      </c>
      <c r="E20">
        <v>45</v>
      </c>
      <c r="F20">
        <v>20</v>
      </c>
      <c r="G20">
        <v>9</v>
      </c>
      <c r="H20">
        <f t="shared" si="1"/>
        <v>67.216796049164913</v>
      </c>
      <c r="I20">
        <f t="shared" si="2"/>
        <v>-85.216796049164913</v>
      </c>
      <c r="K20" t="e">
        <f t="shared" si="3"/>
        <v>#NUM!</v>
      </c>
      <c r="AA20" s="6"/>
      <c r="AB20" s="5"/>
      <c r="AG20" s="5"/>
    </row>
    <row r="21" spans="3:33" x14ac:dyDescent="0.25">
      <c r="C21">
        <v>60</v>
      </c>
      <c r="D21">
        <v>32</v>
      </c>
      <c r="E21">
        <v>45</v>
      </c>
      <c r="F21">
        <v>20</v>
      </c>
      <c r="G21">
        <v>9</v>
      </c>
      <c r="H21">
        <f t="shared" si="1"/>
        <v>67.216796049164913</v>
      </c>
      <c r="I21">
        <f t="shared" si="2"/>
        <v>-85.216796049164913</v>
      </c>
      <c r="K21" t="e">
        <f t="shared" si="3"/>
        <v>#NUM!</v>
      </c>
      <c r="AA21" s="5"/>
      <c r="AB21" s="6"/>
      <c r="AG21" s="6"/>
    </row>
    <row r="22" spans="3:33" x14ac:dyDescent="0.25">
      <c r="C22">
        <v>60</v>
      </c>
      <c r="D22">
        <v>32</v>
      </c>
      <c r="E22">
        <v>45</v>
      </c>
      <c r="F22">
        <v>20</v>
      </c>
      <c r="G22">
        <v>9</v>
      </c>
      <c r="H22">
        <f t="shared" si="1"/>
        <v>67.216796049164913</v>
      </c>
      <c r="I22">
        <f t="shared" si="2"/>
        <v>-85.216796049164913</v>
      </c>
      <c r="K22" t="e">
        <f t="shared" si="3"/>
        <v>#NUM!</v>
      </c>
      <c r="AB22" s="5"/>
      <c r="AG22" s="5"/>
    </row>
    <row r="23" spans="3:33" x14ac:dyDescent="0.25">
      <c r="C23">
        <v>60</v>
      </c>
      <c r="D23">
        <v>32</v>
      </c>
      <c r="E23">
        <v>45</v>
      </c>
      <c r="F23">
        <v>20</v>
      </c>
      <c r="G23">
        <v>9</v>
      </c>
      <c r="H23">
        <f t="shared" si="1"/>
        <v>67.216796049164913</v>
      </c>
      <c r="I23">
        <f t="shared" si="2"/>
        <v>-85.216796049164913</v>
      </c>
      <c r="K23" t="e">
        <f t="shared" si="3"/>
        <v>#NUM!</v>
      </c>
      <c r="AB23" s="5"/>
      <c r="AG23" s="5"/>
    </row>
    <row r="24" spans="3:33" x14ac:dyDescent="0.25">
      <c r="C24">
        <v>60</v>
      </c>
      <c r="D24">
        <v>32</v>
      </c>
      <c r="E24">
        <v>45</v>
      </c>
      <c r="F24">
        <v>20</v>
      </c>
      <c r="G24">
        <v>9</v>
      </c>
      <c r="H24">
        <f t="shared" si="1"/>
        <v>67.216796049164913</v>
      </c>
      <c r="I24">
        <f t="shared" si="2"/>
        <v>-85.216796049164913</v>
      </c>
      <c r="K24" t="e">
        <f t="shared" si="3"/>
        <v>#NUM!</v>
      </c>
      <c r="AB24" s="5"/>
      <c r="AG24" s="5"/>
    </row>
    <row r="25" spans="3:33" x14ac:dyDescent="0.25">
      <c r="C25">
        <v>60</v>
      </c>
      <c r="D25">
        <v>32</v>
      </c>
      <c r="E25">
        <v>45</v>
      </c>
      <c r="F25">
        <v>20</v>
      </c>
      <c r="G25">
        <v>9</v>
      </c>
      <c r="H25">
        <f t="shared" si="1"/>
        <v>67.216796049164913</v>
      </c>
      <c r="I25">
        <f t="shared" si="2"/>
        <v>-85.216796049164913</v>
      </c>
      <c r="K25" t="e">
        <f t="shared" si="3"/>
        <v>#NUM!</v>
      </c>
      <c r="AB25" s="5"/>
      <c r="AG25" s="5"/>
    </row>
    <row r="26" spans="3:33" x14ac:dyDescent="0.25">
      <c r="C26">
        <v>60</v>
      </c>
      <c r="D26">
        <v>32</v>
      </c>
      <c r="E26">
        <v>45</v>
      </c>
      <c r="F26">
        <v>20</v>
      </c>
      <c r="G26">
        <v>9</v>
      </c>
      <c r="H26">
        <f t="shared" si="1"/>
        <v>67.216796049164913</v>
      </c>
      <c r="I26">
        <f t="shared" si="2"/>
        <v>-85.216796049164913</v>
      </c>
      <c r="K26" t="e">
        <f t="shared" si="3"/>
        <v>#NUM!</v>
      </c>
      <c r="AB26" s="5"/>
      <c r="AG26" s="5"/>
    </row>
    <row r="27" spans="3:33" x14ac:dyDescent="0.25">
      <c r="C27">
        <v>60</v>
      </c>
      <c r="D27">
        <v>32</v>
      </c>
      <c r="E27">
        <v>45</v>
      </c>
      <c r="F27">
        <v>20</v>
      </c>
      <c r="G27">
        <v>9</v>
      </c>
      <c r="H27">
        <f t="shared" si="1"/>
        <v>67.216796049164913</v>
      </c>
      <c r="I27">
        <f t="shared" si="2"/>
        <v>-85.216796049164913</v>
      </c>
      <c r="K27" t="e">
        <f t="shared" si="3"/>
        <v>#NUM!</v>
      </c>
      <c r="AB27" s="5"/>
      <c r="AG27" s="5"/>
    </row>
    <row r="28" spans="3:33" x14ac:dyDescent="0.25">
      <c r="C28">
        <v>60</v>
      </c>
      <c r="D28">
        <v>32</v>
      </c>
      <c r="E28">
        <v>45</v>
      </c>
      <c r="F28">
        <v>20</v>
      </c>
      <c r="G28">
        <v>9</v>
      </c>
      <c r="H28">
        <f t="shared" si="1"/>
        <v>67.216796049164913</v>
      </c>
      <c r="I28">
        <f t="shared" si="2"/>
        <v>-85.216796049164913</v>
      </c>
      <c r="K28" t="e">
        <f t="shared" si="3"/>
        <v>#NUM!</v>
      </c>
      <c r="AB28" s="5"/>
      <c r="AG28" s="5"/>
    </row>
    <row r="29" spans="3:33" x14ac:dyDescent="0.25">
      <c r="C29">
        <v>60</v>
      </c>
      <c r="D29">
        <v>32</v>
      </c>
      <c r="E29">
        <v>45</v>
      </c>
      <c r="F29">
        <v>20</v>
      </c>
      <c r="G29">
        <v>9</v>
      </c>
      <c r="H29">
        <f t="shared" si="1"/>
        <v>67.216796049164913</v>
      </c>
      <c r="I29">
        <f t="shared" si="2"/>
        <v>-85.216796049164913</v>
      </c>
      <c r="K29" t="e">
        <f t="shared" si="3"/>
        <v>#NUM!</v>
      </c>
      <c r="AA29" s="5"/>
      <c r="AB29" s="5"/>
      <c r="AG29" s="5"/>
    </row>
    <row r="30" spans="3:33" x14ac:dyDescent="0.25">
      <c r="C30">
        <v>60</v>
      </c>
      <c r="D30">
        <v>32</v>
      </c>
      <c r="E30">
        <v>45</v>
      </c>
      <c r="F30">
        <v>20</v>
      </c>
      <c r="G30">
        <v>9</v>
      </c>
      <c r="H30">
        <f t="shared" si="1"/>
        <v>67.216796049164913</v>
      </c>
      <c r="I30">
        <f t="shared" si="2"/>
        <v>-85.216796049164913</v>
      </c>
      <c r="K30" t="e">
        <f t="shared" si="3"/>
        <v>#NUM!</v>
      </c>
      <c r="AB30" s="5"/>
      <c r="AG30" s="5"/>
    </row>
    <row r="31" spans="3:33" x14ac:dyDescent="0.25">
      <c r="C31">
        <v>60</v>
      </c>
      <c r="D31">
        <v>32</v>
      </c>
      <c r="E31">
        <v>45</v>
      </c>
      <c r="F31">
        <v>20</v>
      </c>
      <c r="G31">
        <v>9</v>
      </c>
      <c r="H31">
        <f t="shared" si="1"/>
        <v>67.216796049164913</v>
      </c>
      <c r="I31">
        <f t="shared" si="2"/>
        <v>-85.216796049164913</v>
      </c>
      <c r="K31" t="e">
        <f t="shared" si="3"/>
        <v>#NUM!</v>
      </c>
      <c r="AB31" s="5"/>
      <c r="AG31" s="5"/>
    </row>
    <row r="32" spans="3:33" x14ac:dyDescent="0.25">
      <c r="AB32" s="6"/>
      <c r="AG32" s="6"/>
    </row>
    <row r="33" spans="3:33" x14ac:dyDescent="0.25">
      <c r="AB33" s="5"/>
      <c r="AG33" s="5"/>
    </row>
    <row r="34" spans="3:33" x14ac:dyDescent="0.25">
      <c r="AB34" s="5"/>
      <c r="AG34" s="5"/>
    </row>
    <row r="35" spans="3:33" x14ac:dyDescent="0.25">
      <c r="C35" t="s">
        <v>112</v>
      </c>
      <c r="D35">
        <f>(D11+E11+F11)*SQRT(1-G11*G11/( (D11+E11)*(D11+E11)))</f>
        <v>96.335130729745487</v>
      </c>
      <c r="AB35" s="6"/>
      <c r="AG35" s="6"/>
    </row>
    <row r="36" spans="3:33" x14ac:dyDescent="0.25">
      <c r="C36" t="s">
        <v>113</v>
      </c>
      <c r="D36">
        <f>E11+F11-D11</f>
        <v>33</v>
      </c>
      <c r="AB36" s="5"/>
      <c r="AG36" s="5"/>
    </row>
    <row r="37" spans="3:33" x14ac:dyDescent="0.25">
      <c r="AA37" s="5"/>
      <c r="AB37" s="5"/>
      <c r="AG37" s="5"/>
    </row>
    <row r="38" spans="3:33" x14ac:dyDescent="0.25">
      <c r="AA38" s="5"/>
      <c r="AB38" s="5"/>
      <c r="AG38" s="5"/>
    </row>
    <row r="39" spans="3:33" x14ac:dyDescent="0.25">
      <c r="Q39" t="s">
        <v>25</v>
      </c>
      <c r="R39" t="s">
        <v>119</v>
      </c>
      <c r="S39" t="s">
        <v>120</v>
      </c>
      <c r="AA39" s="5"/>
      <c r="AB39" s="5"/>
      <c r="AG39" s="5"/>
    </row>
    <row r="40" spans="3:33" x14ac:dyDescent="0.25">
      <c r="D40" t="s">
        <v>114</v>
      </c>
      <c r="F40">
        <v>34</v>
      </c>
      <c r="G40" t="s">
        <v>117</v>
      </c>
      <c r="H40">
        <v>133</v>
      </c>
      <c r="I40" t="s">
        <v>118</v>
      </c>
      <c r="J40">
        <v>199</v>
      </c>
      <c r="K40" t="s">
        <v>115</v>
      </c>
      <c r="L40">
        <v>-1</v>
      </c>
      <c r="M40" t="s">
        <v>116</v>
      </c>
      <c r="N40">
        <v>78</v>
      </c>
      <c r="P40" t="str">
        <f>LEFT(F40,2)</f>
        <v>34</v>
      </c>
      <c r="Q40">
        <f>F40</f>
        <v>34</v>
      </c>
      <c r="R40">
        <f>L40</f>
        <v>-1</v>
      </c>
      <c r="S40">
        <f>N40</f>
        <v>78</v>
      </c>
      <c r="V40">
        <v>-1</v>
      </c>
      <c r="W40">
        <v>34</v>
      </c>
    </row>
    <row r="41" spans="3:33" x14ac:dyDescent="0.25">
      <c r="E41" t="s">
        <v>114</v>
      </c>
      <c r="F41">
        <v>35</v>
      </c>
      <c r="G41" t="s">
        <v>117</v>
      </c>
      <c r="H41">
        <v>133</v>
      </c>
      <c r="I41" t="s">
        <v>118</v>
      </c>
      <c r="J41">
        <v>198</v>
      </c>
      <c r="K41" t="s">
        <v>115</v>
      </c>
      <c r="L41">
        <v>-2</v>
      </c>
      <c r="M41" t="s">
        <v>116</v>
      </c>
      <c r="N41">
        <v>78</v>
      </c>
      <c r="Q41">
        <f t="shared" ref="Q41:Q101" si="4">F41</f>
        <v>35</v>
      </c>
      <c r="R41">
        <f t="shared" ref="R41:R101" si="5">L41</f>
        <v>-2</v>
      </c>
      <c r="S41">
        <f t="shared" ref="S41:S101" si="6">N41</f>
        <v>78</v>
      </c>
      <c r="V41">
        <v>-2</v>
      </c>
      <c r="W41">
        <v>35</v>
      </c>
    </row>
    <row r="42" spans="3:33" x14ac:dyDescent="0.25">
      <c r="E42" t="s">
        <v>114</v>
      </c>
      <c r="F42">
        <v>36</v>
      </c>
      <c r="G42" t="s">
        <v>117</v>
      </c>
      <c r="H42">
        <v>134</v>
      </c>
      <c r="I42" t="s">
        <v>118</v>
      </c>
      <c r="J42">
        <v>196</v>
      </c>
      <c r="K42" t="s">
        <v>115</v>
      </c>
      <c r="L42">
        <v>-4</v>
      </c>
      <c r="M42" t="s">
        <v>116</v>
      </c>
      <c r="N42">
        <v>78</v>
      </c>
      <c r="Q42">
        <f t="shared" si="4"/>
        <v>36</v>
      </c>
      <c r="R42">
        <f t="shared" si="5"/>
        <v>-4</v>
      </c>
      <c r="S42">
        <f t="shared" si="6"/>
        <v>78</v>
      </c>
      <c r="V42">
        <v>-4</v>
      </c>
      <c r="W42">
        <v>36</v>
      </c>
    </row>
    <row r="43" spans="3:33" x14ac:dyDescent="0.25">
      <c r="E43" t="s">
        <v>114</v>
      </c>
      <c r="F43">
        <v>37</v>
      </c>
      <c r="G43" t="s">
        <v>117</v>
      </c>
      <c r="H43">
        <v>134</v>
      </c>
      <c r="I43" t="s">
        <v>118</v>
      </c>
      <c r="J43">
        <v>195</v>
      </c>
      <c r="K43" t="s">
        <v>115</v>
      </c>
      <c r="L43">
        <v>-7</v>
      </c>
      <c r="M43" t="s">
        <v>116</v>
      </c>
      <c r="N43">
        <v>78</v>
      </c>
      <c r="Q43">
        <f t="shared" si="4"/>
        <v>37</v>
      </c>
      <c r="R43">
        <f t="shared" si="5"/>
        <v>-7</v>
      </c>
      <c r="S43">
        <f t="shared" si="6"/>
        <v>78</v>
      </c>
      <c r="V43">
        <v>-7</v>
      </c>
      <c r="W43">
        <v>37</v>
      </c>
    </row>
    <row r="44" spans="3:33" x14ac:dyDescent="0.25">
      <c r="E44" t="s">
        <v>114</v>
      </c>
      <c r="F44">
        <v>38</v>
      </c>
      <c r="G44" t="s">
        <v>117</v>
      </c>
      <c r="H44">
        <v>135</v>
      </c>
      <c r="I44" t="s">
        <v>118</v>
      </c>
      <c r="J44">
        <v>194</v>
      </c>
      <c r="K44" t="s">
        <v>115</v>
      </c>
      <c r="L44">
        <v>-9</v>
      </c>
      <c r="M44" t="s">
        <v>116</v>
      </c>
      <c r="N44">
        <v>78</v>
      </c>
      <c r="Q44">
        <f t="shared" si="4"/>
        <v>38</v>
      </c>
      <c r="R44">
        <f t="shared" si="5"/>
        <v>-9</v>
      </c>
      <c r="S44">
        <f t="shared" si="6"/>
        <v>78</v>
      </c>
      <c r="V44">
        <v>-9</v>
      </c>
      <c r="W44">
        <v>38</v>
      </c>
    </row>
    <row r="45" spans="3:33" x14ac:dyDescent="0.25">
      <c r="E45" t="s">
        <v>114</v>
      </c>
      <c r="F45">
        <v>39</v>
      </c>
      <c r="G45" t="s">
        <v>117</v>
      </c>
      <c r="H45">
        <v>133</v>
      </c>
      <c r="I45" t="s">
        <v>118</v>
      </c>
      <c r="J45">
        <v>193</v>
      </c>
      <c r="K45" t="s">
        <v>115</v>
      </c>
      <c r="L45">
        <v>-12</v>
      </c>
      <c r="M45" t="s">
        <v>116</v>
      </c>
      <c r="N45">
        <v>77</v>
      </c>
      <c r="Q45">
        <f t="shared" si="4"/>
        <v>39</v>
      </c>
      <c r="R45">
        <f t="shared" si="5"/>
        <v>-12</v>
      </c>
      <c r="S45">
        <f t="shared" si="6"/>
        <v>77</v>
      </c>
      <c r="V45">
        <v>-12</v>
      </c>
      <c r="W45">
        <v>39</v>
      </c>
    </row>
    <row r="46" spans="3:33" x14ac:dyDescent="0.25">
      <c r="E46" t="s">
        <v>114</v>
      </c>
      <c r="F46">
        <v>40</v>
      </c>
      <c r="G46" t="s">
        <v>117</v>
      </c>
      <c r="H46">
        <v>134</v>
      </c>
      <c r="I46" t="s">
        <v>118</v>
      </c>
      <c r="J46">
        <v>192</v>
      </c>
      <c r="K46" t="s">
        <v>115</v>
      </c>
      <c r="L46">
        <v>-16</v>
      </c>
      <c r="M46" t="s">
        <v>116</v>
      </c>
      <c r="N46">
        <v>77</v>
      </c>
      <c r="Q46">
        <f t="shared" si="4"/>
        <v>40</v>
      </c>
      <c r="R46">
        <f t="shared" si="5"/>
        <v>-16</v>
      </c>
      <c r="S46">
        <f t="shared" si="6"/>
        <v>77</v>
      </c>
      <c r="V46">
        <v>-16</v>
      </c>
      <c r="W46">
        <v>40</v>
      </c>
    </row>
    <row r="47" spans="3:33" x14ac:dyDescent="0.25">
      <c r="E47" t="s">
        <v>114</v>
      </c>
      <c r="F47">
        <v>41</v>
      </c>
      <c r="G47" t="s">
        <v>117</v>
      </c>
      <c r="H47">
        <v>135</v>
      </c>
      <c r="I47" t="s">
        <v>118</v>
      </c>
      <c r="J47">
        <v>191</v>
      </c>
      <c r="K47" t="s">
        <v>115</v>
      </c>
      <c r="L47">
        <v>-20</v>
      </c>
      <c r="M47" t="s">
        <v>116</v>
      </c>
      <c r="N47">
        <v>77</v>
      </c>
      <c r="Q47">
        <f t="shared" si="4"/>
        <v>41</v>
      </c>
      <c r="R47">
        <f t="shared" si="5"/>
        <v>-20</v>
      </c>
      <c r="S47">
        <f t="shared" si="6"/>
        <v>77</v>
      </c>
      <c r="V47">
        <v>-20</v>
      </c>
      <c r="W47">
        <v>41</v>
      </c>
    </row>
    <row r="48" spans="3:33" x14ac:dyDescent="0.25">
      <c r="E48" t="s">
        <v>114</v>
      </c>
      <c r="F48">
        <v>42</v>
      </c>
      <c r="G48" t="s">
        <v>117</v>
      </c>
      <c r="H48">
        <v>132</v>
      </c>
      <c r="I48" t="s">
        <v>118</v>
      </c>
      <c r="J48">
        <v>190</v>
      </c>
      <c r="K48" t="s">
        <v>115</v>
      </c>
      <c r="L48">
        <v>-69</v>
      </c>
      <c r="M48" t="s">
        <v>116</v>
      </c>
      <c r="N48">
        <v>76</v>
      </c>
      <c r="Q48">
        <f t="shared" si="4"/>
        <v>42</v>
      </c>
      <c r="R48">
        <f t="shared" si="5"/>
        <v>-69</v>
      </c>
      <c r="S48">
        <f t="shared" si="6"/>
        <v>76</v>
      </c>
      <c r="V48">
        <v>-69</v>
      </c>
      <c r="W48">
        <v>42</v>
      </c>
    </row>
    <row r="49" spans="5:23" x14ac:dyDescent="0.25">
      <c r="E49" t="s">
        <v>114</v>
      </c>
      <c r="F49">
        <v>43</v>
      </c>
      <c r="G49" t="s">
        <v>117</v>
      </c>
      <c r="H49">
        <v>133</v>
      </c>
      <c r="I49" t="s">
        <v>118</v>
      </c>
      <c r="J49">
        <v>189</v>
      </c>
      <c r="K49" t="s">
        <v>115</v>
      </c>
      <c r="L49">
        <v>-68</v>
      </c>
      <c r="M49" t="s">
        <v>116</v>
      </c>
      <c r="N49">
        <v>76</v>
      </c>
      <c r="Q49">
        <f t="shared" si="4"/>
        <v>43</v>
      </c>
      <c r="R49">
        <f t="shared" si="5"/>
        <v>-68</v>
      </c>
      <c r="S49">
        <f t="shared" si="6"/>
        <v>76</v>
      </c>
      <c r="V49">
        <v>-68</v>
      </c>
      <c r="W49">
        <v>43</v>
      </c>
    </row>
    <row r="50" spans="5:23" x14ac:dyDescent="0.25">
      <c r="E50" t="s">
        <v>114</v>
      </c>
      <c r="F50">
        <v>44</v>
      </c>
      <c r="G50" t="s">
        <v>117</v>
      </c>
      <c r="H50">
        <v>134</v>
      </c>
      <c r="I50" t="s">
        <v>118</v>
      </c>
      <c r="J50">
        <v>188</v>
      </c>
      <c r="K50" t="s">
        <v>115</v>
      </c>
      <c r="L50">
        <v>-68</v>
      </c>
      <c r="M50" t="s">
        <v>116</v>
      </c>
      <c r="N50">
        <v>76</v>
      </c>
      <c r="Q50">
        <f t="shared" si="4"/>
        <v>44</v>
      </c>
      <c r="R50">
        <f t="shared" si="5"/>
        <v>-68</v>
      </c>
      <c r="S50">
        <f t="shared" si="6"/>
        <v>76</v>
      </c>
      <c r="V50">
        <v>-68</v>
      </c>
      <c r="W50">
        <v>44</v>
      </c>
    </row>
    <row r="51" spans="5:23" x14ac:dyDescent="0.25">
      <c r="E51" t="s">
        <v>114</v>
      </c>
      <c r="F51">
        <v>45</v>
      </c>
      <c r="G51" t="s">
        <v>117</v>
      </c>
      <c r="H51">
        <v>132</v>
      </c>
      <c r="I51" t="s">
        <v>118</v>
      </c>
      <c r="J51">
        <v>187</v>
      </c>
      <c r="K51" t="s">
        <v>115</v>
      </c>
      <c r="L51">
        <v>-68</v>
      </c>
      <c r="M51" t="s">
        <v>116</v>
      </c>
      <c r="N51">
        <v>75</v>
      </c>
      <c r="Q51">
        <f t="shared" si="4"/>
        <v>45</v>
      </c>
      <c r="R51">
        <f t="shared" si="5"/>
        <v>-68</v>
      </c>
      <c r="S51">
        <f t="shared" si="6"/>
        <v>75</v>
      </c>
      <c r="V51">
        <v>-68</v>
      </c>
      <c r="W51">
        <v>45</v>
      </c>
    </row>
    <row r="52" spans="5:23" x14ac:dyDescent="0.25">
      <c r="E52" t="s">
        <v>114</v>
      </c>
      <c r="F52">
        <v>46</v>
      </c>
      <c r="G52" t="s">
        <v>117</v>
      </c>
      <c r="H52">
        <v>133</v>
      </c>
      <c r="I52" t="s">
        <v>118</v>
      </c>
      <c r="J52">
        <v>186</v>
      </c>
      <c r="K52" t="s">
        <v>115</v>
      </c>
      <c r="L52">
        <v>-68</v>
      </c>
      <c r="M52" t="s">
        <v>116</v>
      </c>
      <c r="N52">
        <v>75</v>
      </c>
      <c r="Q52">
        <f t="shared" si="4"/>
        <v>46</v>
      </c>
      <c r="R52">
        <f t="shared" si="5"/>
        <v>-68</v>
      </c>
      <c r="S52">
        <f t="shared" si="6"/>
        <v>75</v>
      </c>
      <c r="V52">
        <v>-68</v>
      </c>
      <c r="W52">
        <v>46</v>
      </c>
    </row>
    <row r="53" spans="5:23" x14ac:dyDescent="0.25">
      <c r="E53" t="s">
        <v>114</v>
      </c>
      <c r="F53">
        <v>47</v>
      </c>
      <c r="G53" t="s">
        <v>117</v>
      </c>
      <c r="H53">
        <v>135</v>
      </c>
      <c r="I53" t="s">
        <v>118</v>
      </c>
      <c r="J53">
        <v>185</v>
      </c>
      <c r="K53" t="s">
        <v>115</v>
      </c>
      <c r="L53">
        <v>-67</v>
      </c>
      <c r="M53" t="s">
        <v>116</v>
      </c>
      <c r="N53">
        <v>75</v>
      </c>
      <c r="Q53">
        <f t="shared" si="4"/>
        <v>47</v>
      </c>
      <c r="R53">
        <f t="shared" si="5"/>
        <v>-67</v>
      </c>
      <c r="S53">
        <f t="shared" si="6"/>
        <v>75</v>
      </c>
      <c r="V53">
        <v>-67</v>
      </c>
      <c r="W53">
        <v>47</v>
      </c>
    </row>
    <row r="54" spans="5:23" x14ac:dyDescent="0.25">
      <c r="E54" t="s">
        <v>114</v>
      </c>
      <c r="F54">
        <v>48</v>
      </c>
      <c r="G54" t="s">
        <v>117</v>
      </c>
      <c r="H54">
        <v>133</v>
      </c>
      <c r="I54" t="s">
        <v>118</v>
      </c>
      <c r="J54">
        <v>184</v>
      </c>
      <c r="K54" t="s">
        <v>115</v>
      </c>
      <c r="L54">
        <v>-67</v>
      </c>
      <c r="M54" t="s">
        <v>116</v>
      </c>
      <c r="N54">
        <v>74</v>
      </c>
      <c r="Q54">
        <f t="shared" si="4"/>
        <v>48</v>
      </c>
      <c r="R54">
        <f t="shared" si="5"/>
        <v>-67</v>
      </c>
      <c r="S54">
        <f t="shared" si="6"/>
        <v>74</v>
      </c>
      <c r="V54">
        <v>-67</v>
      </c>
      <c r="W54">
        <v>48</v>
      </c>
    </row>
    <row r="55" spans="5:23" x14ac:dyDescent="0.25">
      <c r="E55" t="s">
        <v>114</v>
      </c>
      <c r="F55">
        <v>49</v>
      </c>
      <c r="G55" t="s">
        <v>117</v>
      </c>
      <c r="H55">
        <v>134</v>
      </c>
      <c r="I55" t="s">
        <v>118</v>
      </c>
      <c r="J55">
        <v>183</v>
      </c>
      <c r="K55" t="s">
        <v>115</v>
      </c>
      <c r="L55">
        <v>-67</v>
      </c>
      <c r="M55" t="s">
        <v>116</v>
      </c>
      <c r="N55">
        <v>74</v>
      </c>
      <c r="Q55">
        <f t="shared" si="4"/>
        <v>49</v>
      </c>
      <c r="R55">
        <f t="shared" si="5"/>
        <v>-67</v>
      </c>
      <c r="S55">
        <f t="shared" si="6"/>
        <v>74</v>
      </c>
      <c r="V55">
        <v>-67</v>
      </c>
      <c r="W55">
        <v>49</v>
      </c>
    </row>
    <row r="56" spans="5:23" x14ac:dyDescent="0.25">
      <c r="E56" t="s">
        <v>114</v>
      </c>
      <c r="F56">
        <v>50</v>
      </c>
      <c r="G56" t="s">
        <v>117</v>
      </c>
      <c r="H56">
        <v>132</v>
      </c>
      <c r="I56" t="s">
        <v>118</v>
      </c>
      <c r="J56">
        <v>182</v>
      </c>
      <c r="K56" t="s">
        <v>115</v>
      </c>
      <c r="L56">
        <v>-66</v>
      </c>
      <c r="M56" t="s">
        <v>116</v>
      </c>
      <c r="N56">
        <v>73</v>
      </c>
      <c r="Q56">
        <f t="shared" si="4"/>
        <v>50</v>
      </c>
      <c r="R56">
        <f t="shared" si="5"/>
        <v>-66</v>
      </c>
      <c r="S56">
        <f t="shared" si="6"/>
        <v>73</v>
      </c>
      <c r="V56">
        <v>-66</v>
      </c>
      <c r="W56">
        <v>50</v>
      </c>
    </row>
    <row r="57" spans="5:23" x14ac:dyDescent="0.25">
      <c r="E57" t="s">
        <v>114</v>
      </c>
      <c r="F57">
        <v>51</v>
      </c>
      <c r="G57" t="s">
        <v>117</v>
      </c>
      <c r="H57">
        <v>134</v>
      </c>
      <c r="I57" t="s">
        <v>118</v>
      </c>
      <c r="J57">
        <v>181</v>
      </c>
      <c r="K57" t="s">
        <v>115</v>
      </c>
      <c r="L57">
        <v>-66</v>
      </c>
      <c r="M57" t="s">
        <v>116</v>
      </c>
      <c r="N57">
        <v>73</v>
      </c>
      <c r="Q57">
        <f t="shared" si="4"/>
        <v>51</v>
      </c>
      <c r="R57">
        <f t="shared" si="5"/>
        <v>-66</v>
      </c>
      <c r="S57">
        <f t="shared" si="6"/>
        <v>73</v>
      </c>
      <c r="V57">
        <v>-66</v>
      </c>
      <c r="W57">
        <v>51</v>
      </c>
    </row>
    <row r="58" spans="5:23" x14ac:dyDescent="0.25">
      <c r="E58" t="s">
        <v>114</v>
      </c>
      <c r="F58">
        <v>52</v>
      </c>
      <c r="G58" t="s">
        <v>117</v>
      </c>
      <c r="H58">
        <v>132</v>
      </c>
      <c r="I58" t="s">
        <v>118</v>
      </c>
      <c r="J58">
        <v>180</v>
      </c>
      <c r="K58" t="s">
        <v>115</v>
      </c>
      <c r="L58">
        <v>-65</v>
      </c>
      <c r="M58" t="s">
        <v>116</v>
      </c>
      <c r="N58">
        <v>72</v>
      </c>
      <c r="Q58">
        <f t="shared" si="4"/>
        <v>52</v>
      </c>
      <c r="R58">
        <f t="shared" si="5"/>
        <v>-65</v>
      </c>
      <c r="S58">
        <f t="shared" si="6"/>
        <v>72</v>
      </c>
      <c r="V58">
        <v>-65</v>
      </c>
      <c r="W58">
        <v>52</v>
      </c>
    </row>
    <row r="59" spans="5:23" x14ac:dyDescent="0.25">
      <c r="E59" t="s">
        <v>114</v>
      </c>
      <c r="F59">
        <v>53</v>
      </c>
      <c r="G59" t="s">
        <v>117</v>
      </c>
      <c r="H59">
        <v>134</v>
      </c>
      <c r="I59" t="s">
        <v>118</v>
      </c>
      <c r="J59">
        <v>179</v>
      </c>
      <c r="K59" t="s">
        <v>115</v>
      </c>
      <c r="L59">
        <v>-65</v>
      </c>
      <c r="M59" t="s">
        <v>116</v>
      </c>
      <c r="N59">
        <v>72</v>
      </c>
      <c r="Q59">
        <f t="shared" si="4"/>
        <v>53</v>
      </c>
      <c r="R59">
        <f t="shared" si="5"/>
        <v>-65</v>
      </c>
      <c r="S59">
        <f t="shared" si="6"/>
        <v>72</v>
      </c>
      <c r="V59">
        <v>-65</v>
      </c>
      <c r="W59">
        <v>53</v>
      </c>
    </row>
    <row r="60" spans="5:23" x14ac:dyDescent="0.25">
      <c r="E60" t="s">
        <v>114</v>
      </c>
      <c r="F60">
        <v>54</v>
      </c>
      <c r="G60" t="s">
        <v>117</v>
      </c>
      <c r="H60">
        <v>132</v>
      </c>
      <c r="I60" t="s">
        <v>118</v>
      </c>
      <c r="J60">
        <v>177</v>
      </c>
      <c r="K60" t="s">
        <v>115</v>
      </c>
      <c r="L60">
        <v>-65</v>
      </c>
      <c r="M60" t="s">
        <v>116</v>
      </c>
      <c r="N60">
        <v>71</v>
      </c>
      <c r="Q60">
        <f t="shared" si="4"/>
        <v>54</v>
      </c>
      <c r="R60">
        <f t="shared" si="5"/>
        <v>-65</v>
      </c>
      <c r="S60">
        <f t="shared" si="6"/>
        <v>71</v>
      </c>
      <c r="V60">
        <v>-65</v>
      </c>
      <c r="W60">
        <v>54</v>
      </c>
    </row>
    <row r="61" spans="5:23" x14ac:dyDescent="0.25">
      <c r="E61" t="s">
        <v>114</v>
      </c>
      <c r="F61">
        <v>55</v>
      </c>
      <c r="G61" t="s">
        <v>117</v>
      </c>
      <c r="H61">
        <v>135</v>
      </c>
      <c r="I61" t="s">
        <v>118</v>
      </c>
      <c r="J61">
        <v>177</v>
      </c>
      <c r="K61" t="s">
        <v>115</v>
      </c>
      <c r="L61">
        <v>-64</v>
      </c>
      <c r="M61" t="s">
        <v>116</v>
      </c>
      <c r="N61">
        <v>71</v>
      </c>
      <c r="Q61">
        <f t="shared" si="4"/>
        <v>55</v>
      </c>
      <c r="R61">
        <f t="shared" si="5"/>
        <v>-64</v>
      </c>
      <c r="S61">
        <f t="shared" si="6"/>
        <v>71</v>
      </c>
      <c r="V61">
        <v>-64</v>
      </c>
      <c r="W61">
        <v>55</v>
      </c>
    </row>
    <row r="62" spans="5:23" x14ac:dyDescent="0.25">
      <c r="E62" t="s">
        <v>114</v>
      </c>
      <c r="F62">
        <v>56</v>
      </c>
      <c r="G62" t="s">
        <v>117</v>
      </c>
      <c r="H62">
        <v>132</v>
      </c>
      <c r="I62" t="s">
        <v>118</v>
      </c>
      <c r="J62">
        <v>175</v>
      </c>
      <c r="K62" t="s">
        <v>115</v>
      </c>
      <c r="L62">
        <v>-64</v>
      </c>
      <c r="M62" t="s">
        <v>116</v>
      </c>
      <c r="N62">
        <v>70</v>
      </c>
      <c r="Q62">
        <f t="shared" si="4"/>
        <v>56</v>
      </c>
      <c r="R62">
        <f t="shared" si="5"/>
        <v>-64</v>
      </c>
      <c r="S62">
        <f t="shared" si="6"/>
        <v>70</v>
      </c>
      <c r="V62">
        <v>-64</v>
      </c>
      <c r="W62">
        <v>56</v>
      </c>
    </row>
    <row r="63" spans="5:23" x14ac:dyDescent="0.25">
      <c r="E63" t="s">
        <v>114</v>
      </c>
      <c r="F63">
        <v>57</v>
      </c>
      <c r="G63" t="s">
        <v>117</v>
      </c>
      <c r="H63">
        <v>130</v>
      </c>
      <c r="I63" t="s">
        <v>118</v>
      </c>
      <c r="J63">
        <v>174</v>
      </c>
      <c r="K63" t="s">
        <v>115</v>
      </c>
      <c r="L63">
        <v>-63</v>
      </c>
      <c r="M63" t="s">
        <v>116</v>
      </c>
      <c r="N63">
        <v>69</v>
      </c>
      <c r="Q63">
        <f t="shared" si="4"/>
        <v>57</v>
      </c>
      <c r="R63">
        <f t="shared" si="5"/>
        <v>-63</v>
      </c>
      <c r="S63">
        <f t="shared" si="6"/>
        <v>69</v>
      </c>
      <c r="V63">
        <v>-63</v>
      </c>
      <c r="W63">
        <v>57</v>
      </c>
    </row>
    <row r="64" spans="5:23" x14ac:dyDescent="0.25">
      <c r="E64" t="s">
        <v>114</v>
      </c>
      <c r="F64">
        <v>58</v>
      </c>
      <c r="G64" t="s">
        <v>117</v>
      </c>
      <c r="H64">
        <v>133</v>
      </c>
      <c r="I64" t="s">
        <v>118</v>
      </c>
      <c r="J64">
        <v>173</v>
      </c>
      <c r="K64" t="s">
        <v>115</v>
      </c>
      <c r="L64">
        <v>-63</v>
      </c>
      <c r="M64" t="s">
        <v>116</v>
      </c>
      <c r="N64">
        <v>69</v>
      </c>
      <c r="Q64">
        <f t="shared" si="4"/>
        <v>58</v>
      </c>
      <c r="R64">
        <f t="shared" si="5"/>
        <v>-63</v>
      </c>
      <c r="S64">
        <f t="shared" si="6"/>
        <v>69</v>
      </c>
      <c r="V64">
        <v>-63</v>
      </c>
      <c r="W64">
        <v>58</v>
      </c>
    </row>
    <row r="65" spans="5:23" x14ac:dyDescent="0.25">
      <c r="E65" t="s">
        <v>114</v>
      </c>
      <c r="F65">
        <v>59</v>
      </c>
      <c r="G65" t="s">
        <v>117</v>
      </c>
      <c r="H65">
        <v>131</v>
      </c>
      <c r="I65" t="s">
        <v>118</v>
      </c>
      <c r="J65">
        <v>172</v>
      </c>
      <c r="K65" t="s">
        <v>115</v>
      </c>
      <c r="L65">
        <v>-62</v>
      </c>
      <c r="M65" t="s">
        <v>116</v>
      </c>
      <c r="N65">
        <v>68</v>
      </c>
      <c r="Q65">
        <f t="shared" si="4"/>
        <v>59</v>
      </c>
      <c r="R65">
        <f t="shared" si="5"/>
        <v>-62</v>
      </c>
      <c r="S65">
        <f t="shared" si="6"/>
        <v>68</v>
      </c>
      <c r="V65">
        <v>-62</v>
      </c>
      <c r="W65">
        <v>59</v>
      </c>
    </row>
    <row r="66" spans="5:23" x14ac:dyDescent="0.25">
      <c r="E66" t="s">
        <v>114</v>
      </c>
      <c r="F66">
        <v>60</v>
      </c>
      <c r="G66" t="s">
        <v>117</v>
      </c>
      <c r="H66">
        <v>129</v>
      </c>
      <c r="I66" t="s">
        <v>118</v>
      </c>
      <c r="J66">
        <v>171</v>
      </c>
      <c r="K66" t="s">
        <v>115</v>
      </c>
      <c r="L66">
        <v>-61</v>
      </c>
      <c r="M66" t="s">
        <v>116</v>
      </c>
      <c r="N66">
        <v>67</v>
      </c>
      <c r="Q66">
        <f t="shared" si="4"/>
        <v>60</v>
      </c>
      <c r="R66">
        <f t="shared" si="5"/>
        <v>-61</v>
      </c>
      <c r="S66">
        <f t="shared" si="6"/>
        <v>67</v>
      </c>
      <c r="V66">
        <v>-61</v>
      </c>
      <c r="W66">
        <v>60</v>
      </c>
    </row>
    <row r="67" spans="5:23" x14ac:dyDescent="0.25">
      <c r="E67" t="s">
        <v>114</v>
      </c>
      <c r="F67">
        <v>61</v>
      </c>
      <c r="G67" t="s">
        <v>117</v>
      </c>
      <c r="H67">
        <v>134</v>
      </c>
      <c r="I67" t="s">
        <v>118</v>
      </c>
      <c r="J67">
        <v>170</v>
      </c>
      <c r="K67" t="s">
        <v>115</v>
      </c>
      <c r="L67">
        <v>-61</v>
      </c>
      <c r="M67" t="s">
        <v>116</v>
      </c>
      <c r="N67">
        <v>67</v>
      </c>
      <c r="Q67">
        <f t="shared" si="4"/>
        <v>61</v>
      </c>
      <c r="R67">
        <f t="shared" si="5"/>
        <v>-61</v>
      </c>
      <c r="S67">
        <f t="shared" si="6"/>
        <v>67</v>
      </c>
      <c r="V67">
        <v>-61</v>
      </c>
      <c r="W67">
        <v>61</v>
      </c>
    </row>
    <row r="68" spans="5:23" x14ac:dyDescent="0.25">
      <c r="E68" t="s">
        <v>114</v>
      </c>
      <c r="F68">
        <v>62</v>
      </c>
      <c r="G68" t="s">
        <v>117</v>
      </c>
      <c r="H68">
        <v>132</v>
      </c>
      <c r="I68" t="s">
        <v>118</v>
      </c>
      <c r="J68">
        <v>169</v>
      </c>
      <c r="K68" t="s">
        <v>115</v>
      </c>
      <c r="L68">
        <v>-60</v>
      </c>
      <c r="M68" t="s">
        <v>116</v>
      </c>
      <c r="N68">
        <v>66</v>
      </c>
      <c r="Q68">
        <f t="shared" si="4"/>
        <v>62</v>
      </c>
      <c r="R68">
        <f t="shared" si="5"/>
        <v>-60</v>
      </c>
      <c r="S68">
        <f t="shared" si="6"/>
        <v>66</v>
      </c>
      <c r="V68">
        <v>-60</v>
      </c>
      <c r="W68">
        <v>62</v>
      </c>
    </row>
    <row r="69" spans="5:23" x14ac:dyDescent="0.25">
      <c r="E69" t="s">
        <v>114</v>
      </c>
      <c r="F69">
        <v>63</v>
      </c>
      <c r="G69" t="s">
        <v>117</v>
      </c>
      <c r="H69">
        <v>130</v>
      </c>
      <c r="I69" t="s">
        <v>118</v>
      </c>
      <c r="J69">
        <v>167</v>
      </c>
      <c r="K69" t="s">
        <v>115</v>
      </c>
      <c r="L69">
        <v>-59</v>
      </c>
      <c r="M69" t="s">
        <v>116</v>
      </c>
      <c r="N69">
        <v>65</v>
      </c>
      <c r="Q69">
        <f t="shared" si="4"/>
        <v>63</v>
      </c>
      <c r="R69">
        <f t="shared" si="5"/>
        <v>-59</v>
      </c>
      <c r="S69">
        <f t="shared" si="6"/>
        <v>65</v>
      </c>
      <c r="V69">
        <v>-59</v>
      </c>
      <c r="W69">
        <v>63</v>
      </c>
    </row>
    <row r="70" spans="5:23" x14ac:dyDescent="0.25">
      <c r="E70" t="s">
        <v>114</v>
      </c>
      <c r="F70">
        <v>64</v>
      </c>
      <c r="G70" t="s">
        <v>117</v>
      </c>
      <c r="H70">
        <v>128</v>
      </c>
      <c r="I70" t="s">
        <v>118</v>
      </c>
      <c r="J70">
        <v>166</v>
      </c>
      <c r="K70" t="s">
        <v>115</v>
      </c>
      <c r="L70">
        <v>-59</v>
      </c>
      <c r="M70" t="s">
        <v>116</v>
      </c>
      <c r="N70">
        <v>64</v>
      </c>
      <c r="Q70">
        <f t="shared" si="4"/>
        <v>64</v>
      </c>
      <c r="R70">
        <f t="shared" si="5"/>
        <v>-59</v>
      </c>
      <c r="S70">
        <f t="shared" si="6"/>
        <v>64</v>
      </c>
      <c r="V70">
        <v>-59</v>
      </c>
      <c r="W70">
        <v>64</v>
      </c>
    </row>
    <row r="71" spans="5:23" x14ac:dyDescent="0.25">
      <c r="E71" t="s">
        <v>114</v>
      </c>
      <c r="F71">
        <v>65</v>
      </c>
      <c r="G71" t="s">
        <v>117</v>
      </c>
      <c r="H71">
        <v>127</v>
      </c>
      <c r="I71" t="s">
        <v>118</v>
      </c>
      <c r="J71">
        <v>165</v>
      </c>
      <c r="K71" t="s">
        <v>115</v>
      </c>
      <c r="L71">
        <v>-58</v>
      </c>
      <c r="M71" t="s">
        <v>116</v>
      </c>
      <c r="N71">
        <v>63</v>
      </c>
      <c r="Q71">
        <f t="shared" si="4"/>
        <v>65</v>
      </c>
      <c r="R71">
        <f t="shared" si="5"/>
        <v>-58</v>
      </c>
      <c r="S71">
        <f t="shared" si="6"/>
        <v>63</v>
      </c>
      <c r="V71">
        <v>-58</v>
      </c>
      <c r="W71">
        <v>65</v>
      </c>
    </row>
    <row r="72" spans="5:23" x14ac:dyDescent="0.25">
      <c r="E72" t="s">
        <v>114</v>
      </c>
      <c r="F72">
        <v>66</v>
      </c>
      <c r="G72" t="s">
        <v>117</v>
      </c>
      <c r="H72">
        <v>134</v>
      </c>
      <c r="I72" t="s">
        <v>118</v>
      </c>
      <c r="J72">
        <v>164</v>
      </c>
      <c r="K72" t="s">
        <v>115</v>
      </c>
      <c r="L72">
        <v>-57</v>
      </c>
      <c r="M72" t="s">
        <v>116</v>
      </c>
      <c r="N72">
        <v>63</v>
      </c>
      <c r="Q72">
        <f t="shared" si="4"/>
        <v>66</v>
      </c>
      <c r="R72">
        <f t="shared" si="5"/>
        <v>-57</v>
      </c>
      <c r="S72">
        <f t="shared" si="6"/>
        <v>63</v>
      </c>
      <c r="V72">
        <v>-57</v>
      </c>
      <c r="W72">
        <v>66</v>
      </c>
    </row>
    <row r="73" spans="5:23" x14ac:dyDescent="0.25">
      <c r="E73" t="s">
        <v>114</v>
      </c>
      <c r="F73">
        <v>67</v>
      </c>
      <c r="G73" t="s">
        <v>117</v>
      </c>
      <c r="H73">
        <v>132</v>
      </c>
      <c r="I73" t="s">
        <v>118</v>
      </c>
      <c r="J73">
        <v>163</v>
      </c>
      <c r="K73" t="s">
        <v>115</v>
      </c>
      <c r="L73">
        <v>-56</v>
      </c>
      <c r="M73" t="s">
        <v>116</v>
      </c>
      <c r="N73">
        <v>62</v>
      </c>
      <c r="Q73">
        <f t="shared" si="4"/>
        <v>67</v>
      </c>
      <c r="R73">
        <f t="shared" si="5"/>
        <v>-56</v>
      </c>
      <c r="S73">
        <f t="shared" si="6"/>
        <v>62</v>
      </c>
      <c r="V73">
        <v>-56</v>
      </c>
      <c r="W73">
        <v>67</v>
      </c>
    </row>
    <row r="74" spans="5:23" x14ac:dyDescent="0.25">
      <c r="E74" t="s">
        <v>114</v>
      </c>
      <c r="F74">
        <v>68</v>
      </c>
      <c r="G74" t="s">
        <v>117</v>
      </c>
      <c r="H74">
        <v>131</v>
      </c>
      <c r="I74" t="s">
        <v>118</v>
      </c>
      <c r="J74">
        <v>162</v>
      </c>
      <c r="K74" t="s">
        <v>115</v>
      </c>
      <c r="L74">
        <v>-55</v>
      </c>
      <c r="M74" t="s">
        <v>116</v>
      </c>
      <c r="N74">
        <v>61</v>
      </c>
      <c r="Q74">
        <f t="shared" si="4"/>
        <v>68</v>
      </c>
      <c r="R74">
        <f t="shared" si="5"/>
        <v>-55</v>
      </c>
      <c r="S74">
        <f t="shared" si="6"/>
        <v>61</v>
      </c>
      <c r="V74">
        <v>-55</v>
      </c>
      <c r="W74">
        <v>68</v>
      </c>
    </row>
    <row r="75" spans="5:23" x14ac:dyDescent="0.25">
      <c r="E75" t="s">
        <v>114</v>
      </c>
      <c r="F75">
        <v>69</v>
      </c>
      <c r="G75" t="s">
        <v>117</v>
      </c>
      <c r="H75">
        <v>130</v>
      </c>
      <c r="I75" t="s">
        <v>118</v>
      </c>
      <c r="J75">
        <v>160</v>
      </c>
      <c r="K75" t="s">
        <v>115</v>
      </c>
      <c r="L75">
        <v>-54</v>
      </c>
      <c r="M75" t="s">
        <v>116</v>
      </c>
      <c r="N75">
        <v>60</v>
      </c>
      <c r="Q75">
        <f t="shared" si="4"/>
        <v>69</v>
      </c>
      <c r="R75">
        <f t="shared" si="5"/>
        <v>-54</v>
      </c>
      <c r="S75">
        <f t="shared" si="6"/>
        <v>60</v>
      </c>
      <c r="V75">
        <v>-54</v>
      </c>
      <c r="W75">
        <v>69</v>
      </c>
    </row>
    <row r="76" spans="5:23" x14ac:dyDescent="0.25">
      <c r="E76" t="s">
        <v>114</v>
      </c>
      <c r="F76">
        <v>70</v>
      </c>
      <c r="G76" t="s">
        <v>117</v>
      </c>
      <c r="H76">
        <v>129</v>
      </c>
      <c r="I76" t="s">
        <v>118</v>
      </c>
      <c r="J76">
        <v>159</v>
      </c>
      <c r="K76" t="s">
        <v>115</v>
      </c>
      <c r="L76">
        <v>-53</v>
      </c>
      <c r="M76" t="s">
        <v>116</v>
      </c>
      <c r="N76">
        <v>59</v>
      </c>
      <c r="Q76">
        <f t="shared" si="4"/>
        <v>70</v>
      </c>
      <c r="R76">
        <f t="shared" si="5"/>
        <v>-53</v>
      </c>
      <c r="S76">
        <f t="shared" si="6"/>
        <v>59</v>
      </c>
      <c r="V76">
        <v>-53</v>
      </c>
      <c r="W76">
        <v>70</v>
      </c>
    </row>
    <row r="77" spans="5:23" x14ac:dyDescent="0.25">
      <c r="E77" t="s">
        <v>114</v>
      </c>
      <c r="F77">
        <v>71</v>
      </c>
      <c r="G77" t="s">
        <v>117</v>
      </c>
      <c r="H77">
        <v>129</v>
      </c>
      <c r="I77" t="s">
        <v>118</v>
      </c>
      <c r="J77">
        <v>158</v>
      </c>
      <c r="K77" t="s">
        <v>115</v>
      </c>
      <c r="L77">
        <v>-52</v>
      </c>
      <c r="M77" t="s">
        <v>116</v>
      </c>
      <c r="N77">
        <v>58</v>
      </c>
      <c r="Q77">
        <f t="shared" si="4"/>
        <v>71</v>
      </c>
      <c r="R77">
        <f t="shared" si="5"/>
        <v>-52</v>
      </c>
      <c r="S77">
        <f t="shared" si="6"/>
        <v>58</v>
      </c>
      <c r="V77">
        <v>-52</v>
      </c>
      <c r="W77">
        <v>71</v>
      </c>
    </row>
    <row r="78" spans="5:23" x14ac:dyDescent="0.25">
      <c r="E78" t="s">
        <v>114</v>
      </c>
      <c r="F78">
        <v>72</v>
      </c>
      <c r="G78" t="s">
        <v>117</v>
      </c>
      <c r="H78">
        <v>132</v>
      </c>
      <c r="I78" t="s">
        <v>118</v>
      </c>
      <c r="J78">
        <v>157</v>
      </c>
      <c r="K78" t="s">
        <v>115</v>
      </c>
      <c r="L78">
        <v>-51</v>
      </c>
      <c r="M78" t="s">
        <v>116</v>
      </c>
      <c r="N78">
        <v>57</v>
      </c>
      <c r="Q78">
        <f t="shared" si="4"/>
        <v>72</v>
      </c>
      <c r="R78">
        <f t="shared" si="5"/>
        <v>-51</v>
      </c>
      <c r="S78">
        <f t="shared" si="6"/>
        <v>57</v>
      </c>
      <c r="V78">
        <v>-51</v>
      </c>
      <c r="W78">
        <v>72</v>
      </c>
    </row>
    <row r="79" spans="5:23" x14ac:dyDescent="0.25">
      <c r="E79" t="s">
        <v>114</v>
      </c>
      <c r="F79">
        <v>73</v>
      </c>
      <c r="G79" t="s">
        <v>117</v>
      </c>
      <c r="H79">
        <v>121</v>
      </c>
      <c r="I79" t="s">
        <v>118</v>
      </c>
      <c r="J79">
        <v>154</v>
      </c>
      <c r="K79" t="s">
        <v>115</v>
      </c>
      <c r="L79">
        <v>-50</v>
      </c>
      <c r="M79" t="s">
        <v>116</v>
      </c>
      <c r="N79">
        <v>55</v>
      </c>
      <c r="Q79">
        <f t="shared" si="4"/>
        <v>73</v>
      </c>
      <c r="R79">
        <f t="shared" si="5"/>
        <v>-50</v>
      </c>
      <c r="S79">
        <f t="shared" si="6"/>
        <v>55</v>
      </c>
      <c r="V79">
        <v>-50</v>
      </c>
      <c r="W79">
        <v>73</v>
      </c>
    </row>
    <row r="80" spans="5:23" x14ac:dyDescent="0.25">
      <c r="E80" t="s">
        <v>114</v>
      </c>
      <c r="F80">
        <v>74</v>
      </c>
      <c r="G80" t="s">
        <v>117</v>
      </c>
      <c r="H80">
        <v>121</v>
      </c>
      <c r="I80" t="s">
        <v>118</v>
      </c>
      <c r="J80">
        <v>152</v>
      </c>
      <c r="K80" t="s">
        <v>115</v>
      </c>
      <c r="L80">
        <v>-49</v>
      </c>
      <c r="M80" t="s">
        <v>116</v>
      </c>
      <c r="N80">
        <v>54</v>
      </c>
      <c r="Q80">
        <f t="shared" si="4"/>
        <v>74</v>
      </c>
      <c r="R80">
        <f t="shared" si="5"/>
        <v>-49</v>
      </c>
      <c r="S80">
        <f t="shared" si="6"/>
        <v>54</v>
      </c>
      <c r="V80">
        <v>-49</v>
      </c>
      <c r="W80">
        <v>74</v>
      </c>
    </row>
    <row r="81" spans="5:23" x14ac:dyDescent="0.25">
      <c r="E81" t="s">
        <v>114</v>
      </c>
      <c r="F81">
        <v>75</v>
      </c>
      <c r="G81" t="s">
        <v>117</v>
      </c>
      <c r="H81">
        <v>122</v>
      </c>
      <c r="I81" t="s">
        <v>118</v>
      </c>
      <c r="J81">
        <v>151</v>
      </c>
      <c r="K81" t="s">
        <v>115</v>
      </c>
      <c r="L81">
        <v>-48</v>
      </c>
      <c r="M81" t="s">
        <v>116</v>
      </c>
      <c r="N81">
        <v>53</v>
      </c>
      <c r="Q81">
        <f t="shared" si="4"/>
        <v>75</v>
      </c>
      <c r="R81">
        <f t="shared" si="5"/>
        <v>-48</v>
      </c>
      <c r="S81">
        <f t="shared" si="6"/>
        <v>53</v>
      </c>
      <c r="V81">
        <v>-48</v>
      </c>
      <c r="W81">
        <v>75</v>
      </c>
    </row>
    <row r="82" spans="5:23" x14ac:dyDescent="0.25">
      <c r="E82" t="s">
        <v>114</v>
      </c>
      <c r="F82">
        <v>76</v>
      </c>
      <c r="G82" t="s">
        <v>117</v>
      </c>
      <c r="H82">
        <v>123</v>
      </c>
      <c r="I82" t="s">
        <v>118</v>
      </c>
      <c r="J82">
        <v>150</v>
      </c>
      <c r="K82" t="s">
        <v>115</v>
      </c>
      <c r="L82">
        <v>-46</v>
      </c>
      <c r="M82" t="s">
        <v>116</v>
      </c>
      <c r="N82">
        <v>52</v>
      </c>
      <c r="Q82">
        <f t="shared" si="4"/>
        <v>76</v>
      </c>
      <c r="R82">
        <f t="shared" si="5"/>
        <v>-46</v>
      </c>
      <c r="S82">
        <f t="shared" si="6"/>
        <v>52</v>
      </c>
      <c r="V82">
        <v>-46</v>
      </c>
      <c r="W82">
        <v>76</v>
      </c>
    </row>
    <row r="83" spans="5:23" x14ac:dyDescent="0.25">
      <c r="E83" t="s">
        <v>114</v>
      </c>
      <c r="F83">
        <v>77</v>
      </c>
      <c r="G83" t="s">
        <v>117</v>
      </c>
      <c r="H83">
        <v>117</v>
      </c>
      <c r="I83" t="s">
        <v>118</v>
      </c>
      <c r="J83">
        <v>147</v>
      </c>
      <c r="K83" t="s">
        <v>115</v>
      </c>
      <c r="L83">
        <v>-45</v>
      </c>
      <c r="M83" t="s">
        <v>116</v>
      </c>
      <c r="N83">
        <v>50</v>
      </c>
      <c r="Q83">
        <f t="shared" si="4"/>
        <v>77</v>
      </c>
      <c r="R83">
        <f t="shared" si="5"/>
        <v>-45</v>
      </c>
      <c r="S83">
        <f t="shared" si="6"/>
        <v>50</v>
      </c>
      <c r="V83">
        <v>-45</v>
      </c>
      <c r="W83">
        <v>77</v>
      </c>
    </row>
    <row r="84" spans="5:23" x14ac:dyDescent="0.25">
      <c r="E84" t="s">
        <v>114</v>
      </c>
      <c r="F84">
        <v>78</v>
      </c>
      <c r="G84" t="s">
        <v>117</v>
      </c>
      <c r="H84">
        <v>118</v>
      </c>
      <c r="I84" t="s">
        <v>118</v>
      </c>
      <c r="J84">
        <v>146</v>
      </c>
      <c r="K84" t="s">
        <v>115</v>
      </c>
      <c r="L84">
        <v>-44</v>
      </c>
      <c r="M84" t="s">
        <v>116</v>
      </c>
      <c r="N84">
        <v>49</v>
      </c>
      <c r="Q84">
        <f t="shared" si="4"/>
        <v>78</v>
      </c>
      <c r="R84">
        <f t="shared" si="5"/>
        <v>-44</v>
      </c>
      <c r="S84">
        <f t="shared" si="6"/>
        <v>49</v>
      </c>
      <c r="V84">
        <v>-44</v>
      </c>
      <c r="W84">
        <v>78</v>
      </c>
    </row>
    <row r="85" spans="5:23" x14ac:dyDescent="0.25">
      <c r="E85" t="s">
        <v>114</v>
      </c>
      <c r="F85">
        <v>79</v>
      </c>
      <c r="G85" t="s">
        <v>117</v>
      </c>
      <c r="H85">
        <v>120</v>
      </c>
      <c r="I85" t="s">
        <v>118</v>
      </c>
      <c r="J85">
        <v>145</v>
      </c>
      <c r="K85" t="s">
        <v>115</v>
      </c>
      <c r="L85">
        <v>-42</v>
      </c>
      <c r="M85" t="s">
        <v>116</v>
      </c>
      <c r="N85">
        <v>48</v>
      </c>
      <c r="Q85">
        <f t="shared" si="4"/>
        <v>79</v>
      </c>
      <c r="R85">
        <f t="shared" si="5"/>
        <v>-42</v>
      </c>
      <c r="S85">
        <f t="shared" si="6"/>
        <v>48</v>
      </c>
      <c r="V85">
        <v>-42</v>
      </c>
      <c r="W85">
        <v>79</v>
      </c>
    </row>
    <row r="86" spans="5:23" x14ac:dyDescent="0.25">
      <c r="E86" t="s">
        <v>114</v>
      </c>
      <c r="F86">
        <v>80</v>
      </c>
      <c r="G86" t="s">
        <v>117</v>
      </c>
      <c r="H86">
        <v>115</v>
      </c>
      <c r="I86" t="s">
        <v>118</v>
      </c>
      <c r="J86">
        <v>142</v>
      </c>
      <c r="K86" t="s">
        <v>115</v>
      </c>
      <c r="L86">
        <v>-41</v>
      </c>
      <c r="M86" t="s">
        <v>116</v>
      </c>
      <c r="N86">
        <v>46</v>
      </c>
      <c r="Q86">
        <f t="shared" si="4"/>
        <v>80</v>
      </c>
      <c r="R86">
        <f t="shared" si="5"/>
        <v>-41</v>
      </c>
      <c r="S86">
        <f t="shared" si="6"/>
        <v>46</v>
      </c>
      <c r="V86">
        <v>-41</v>
      </c>
      <c r="W86">
        <v>80</v>
      </c>
    </row>
    <row r="87" spans="5:23" x14ac:dyDescent="0.25">
      <c r="E87" t="s">
        <v>114</v>
      </c>
      <c r="F87">
        <v>81</v>
      </c>
      <c r="G87" t="s">
        <v>117</v>
      </c>
      <c r="H87">
        <v>117</v>
      </c>
      <c r="I87" t="s">
        <v>118</v>
      </c>
      <c r="J87">
        <v>141</v>
      </c>
      <c r="K87" t="s">
        <v>115</v>
      </c>
      <c r="L87">
        <v>-39</v>
      </c>
      <c r="M87" t="s">
        <v>116</v>
      </c>
      <c r="N87">
        <v>45</v>
      </c>
      <c r="Q87">
        <f t="shared" si="4"/>
        <v>81</v>
      </c>
      <c r="R87">
        <f t="shared" si="5"/>
        <v>-39</v>
      </c>
      <c r="S87">
        <f t="shared" si="6"/>
        <v>45</v>
      </c>
      <c r="V87">
        <v>-39</v>
      </c>
      <c r="W87">
        <v>81</v>
      </c>
    </row>
    <row r="88" spans="5:23" x14ac:dyDescent="0.25">
      <c r="E88" t="s">
        <v>114</v>
      </c>
      <c r="F88">
        <v>82</v>
      </c>
      <c r="G88" t="s">
        <v>117</v>
      </c>
      <c r="H88">
        <v>114</v>
      </c>
      <c r="I88" t="s">
        <v>118</v>
      </c>
      <c r="J88">
        <v>139</v>
      </c>
      <c r="K88" t="s">
        <v>115</v>
      </c>
      <c r="L88">
        <v>-37</v>
      </c>
      <c r="M88" t="s">
        <v>116</v>
      </c>
      <c r="N88">
        <v>43</v>
      </c>
      <c r="Q88">
        <f t="shared" si="4"/>
        <v>82</v>
      </c>
      <c r="R88">
        <f t="shared" si="5"/>
        <v>-37</v>
      </c>
      <c r="S88">
        <f t="shared" si="6"/>
        <v>43</v>
      </c>
      <c r="V88">
        <v>-37</v>
      </c>
      <c r="W88">
        <v>82</v>
      </c>
    </row>
    <row r="89" spans="5:23" x14ac:dyDescent="0.25">
      <c r="E89" t="s">
        <v>114</v>
      </c>
      <c r="F89">
        <v>83</v>
      </c>
      <c r="G89" t="s">
        <v>117</v>
      </c>
      <c r="H89">
        <v>117</v>
      </c>
      <c r="I89" t="s">
        <v>118</v>
      </c>
      <c r="J89">
        <v>138</v>
      </c>
      <c r="K89" t="s">
        <v>115</v>
      </c>
      <c r="L89">
        <v>-36</v>
      </c>
      <c r="M89" t="s">
        <v>116</v>
      </c>
      <c r="N89">
        <v>42</v>
      </c>
      <c r="Q89">
        <f t="shared" si="4"/>
        <v>83</v>
      </c>
      <c r="R89">
        <f t="shared" si="5"/>
        <v>-36</v>
      </c>
      <c r="S89">
        <f t="shared" si="6"/>
        <v>42</v>
      </c>
      <c r="V89">
        <v>-36</v>
      </c>
      <c r="W89">
        <v>83</v>
      </c>
    </row>
    <row r="90" spans="5:23" x14ac:dyDescent="0.25">
      <c r="E90" t="s">
        <v>114</v>
      </c>
      <c r="F90">
        <v>84</v>
      </c>
      <c r="G90" t="s">
        <v>117</v>
      </c>
      <c r="H90">
        <v>113</v>
      </c>
      <c r="I90" t="s">
        <v>118</v>
      </c>
      <c r="J90">
        <v>135</v>
      </c>
      <c r="K90" t="s">
        <v>115</v>
      </c>
      <c r="L90">
        <v>-34</v>
      </c>
      <c r="M90" t="s">
        <v>116</v>
      </c>
      <c r="N90">
        <v>40</v>
      </c>
      <c r="Q90">
        <f t="shared" si="4"/>
        <v>84</v>
      </c>
      <c r="R90">
        <f t="shared" si="5"/>
        <v>-34</v>
      </c>
      <c r="S90">
        <f t="shared" si="6"/>
        <v>40</v>
      </c>
      <c r="V90">
        <v>-34</v>
      </c>
      <c r="W90">
        <v>84</v>
      </c>
    </row>
    <row r="91" spans="5:23" x14ac:dyDescent="0.25">
      <c r="E91" t="s">
        <v>114</v>
      </c>
      <c r="F91">
        <v>85</v>
      </c>
      <c r="G91" t="s">
        <v>117</v>
      </c>
      <c r="H91">
        <v>111</v>
      </c>
      <c r="I91" t="s">
        <v>118</v>
      </c>
      <c r="J91">
        <v>133</v>
      </c>
      <c r="K91" t="s">
        <v>115</v>
      </c>
      <c r="L91">
        <v>-32</v>
      </c>
      <c r="M91" t="s">
        <v>116</v>
      </c>
      <c r="N91">
        <v>38</v>
      </c>
      <c r="Q91">
        <f t="shared" si="4"/>
        <v>85</v>
      </c>
      <c r="R91">
        <f t="shared" si="5"/>
        <v>-32</v>
      </c>
      <c r="S91">
        <f t="shared" si="6"/>
        <v>38</v>
      </c>
      <c r="V91">
        <v>-32</v>
      </c>
      <c r="W91">
        <v>85</v>
      </c>
    </row>
    <row r="92" spans="5:23" x14ac:dyDescent="0.25">
      <c r="E92" t="s">
        <v>114</v>
      </c>
      <c r="F92">
        <v>86</v>
      </c>
      <c r="G92" t="s">
        <v>117</v>
      </c>
      <c r="H92">
        <v>109</v>
      </c>
      <c r="I92" t="s">
        <v>118</v>
      </c>
      <c r="J92">
        <v>131</v>
      </c>
      <c r="K92" t="s">
        <v>115</v>
      </c>
      <c r="L92">
        <v>-30</v>
      </c>
      <c r="M92" t="s">
        <v>116</v>
      </c>
      <c r="N92">
        <v>36</v>
      </c>
      <c r="Q92">
        <f t="shared" si="4"/>
        <v>86</v>
      </c>
      <c r="R92">
        <f t="shared" si="5"/>
        <v>-30</v>
      </c>
      <c r="S92">
        <f t="shared" si="6"/>
        <v>36</v>
      </c>
      <c r="V92">
        <v>-30</v>
      </c>
      <c r="W92">
        <v>86</v>
      </c>
    </row>
    <row r="93" spans="5:23" x14ac:dyDescent="0.25">
      <c r="E93" t="s">
        <v>114</v>
      </c>
      <c r="F93">
        <v>87</v>
      </c>
      <c r="G93" t="s">
        <v>117</v>
      </c>
      <c r="H93">
        <v>108</v>
      </c>
      <c r="I93" t="s">
        <v>118</v>
      </c>
      <c r="J93">
        <v>128</v>
      </c>
      <c r="K93" t="s">
        <v>115</v>
      </c>
      <c r="L93">
        <v>-28</v>
      </c>
      <c r="M93" t="s">
        <v>116</v>
      </c>
      <c r="N93">
        <v>34</v>
      </c>
      <c r="Q93">
        <f t="shared" si="4"/>
        <v>87</v>
      </c>
      <c r="R93">
        <f t="shared" si="5"/>
        <v>-28</v>
      </c>
      <c r="S93">
        <f t="shared" si="6"/>
        <v>34</v>
      </c>
      <c r="V93">
        <v>-28</v>
      </c>
      <c r="W93">
        <v>87</v>
      </c>
    </row>
    <row r="94" spans="5:23" x14ac:dyDescent="0.25">
      <c r="E94" t="s">
        <v>114</v>
      </c>
      <c r="F94">
        <v>88</v>
      </c>
      <c r="G94" t="s">
        <v>117</v>
      </c>
      <c r="H94">
        <v>107</v>
      </c>
      <c r="I94" t="s">
        <v>118</v>
      </c>
      <c r="J94">
        <v>126</v>
      </c>
      <c r="K94" t="s">
        <v>115</v>
      </c>
      <c r="L94">
        <v>-26</v>
      </c>
      <c r="M94" t="s">
        <v>116</v>
      </c>
      <c r="N94">
        <v>32</v>
      </c>
      <c r="Q94">
        <f t="shared" si="4"/>
        <v>88</v>
      </c>
      <c r="R94">
        <f t="shared" si="5"/>
        <v>-26</v>
      </c>
      <c r="S94">
        <f t="shared" si="6"/>
        <v>32</v>
      </c>
      <c r="V94">
        <v>-26</v>
      </c>
      <c r="W94">
        <v>88</v>
      </c>
    </row>
    <row r="95" spans="5:23" x14ac:dyDescent="0.25">
      <c r="E95" t="s">
        <v>114</v>
      </c>
      <c r="F95">
        <v>89</v>
      </c>
      <c r="G95" t="s">
        <v>117</v>
      </c>
      <c r="H95">
        <v>107</v>
      </c>
      <c r="I95" t="s">
        <v>118</v>
      </c>
      <c r="J95">
        <v>124</v>
      </c>
      <c r="K95" t="s">
        <v>115</v>
      </c>
      <c r="L95">
        <v>-23</v>
      </c>
      <c r="M95" t="s">
        <v>116</v>
      </c>
      <c r="N95">
        <v>30</v>
      </c>
      <c r="Q95">
        <f t="shared" si="4"/>
        <v>89</v>
      </c>
      <c r="R95">
        <f t="shared" si="5"/>
        <v>-23</v>
      </c>
      <c r="S95">
        <f t="shared" si="6"/>
        <v>30</v>
      </c>
      <c r="V95">
        <v>-23</v>
      </c>
      <c r="W95">
        <v>89</v>
      </c>
    </row>
    <row r="96" spans="5:23" x14ac:dyDescent="0.25">
      <c r="E96" t="s">
        <v>114</v>
      </c>
      <c r="F96">
        <v>90</v>
      </c>
      <c r="G96" t="s">
        <v>117</v>
      </c>
      <c r="H96">
        <v>108</v>
      </c>
      <c r="I96" t="s">
        <v>118</v>
      </c>
      <c r="J96">
        <v>121</v>
      </c>
      <c r="K96" t="s">
        <v>115</v>
      </c>
      <c r="L96">
        <v>-21</v>
      </c>
      <c r="M96" t="s">
        <v>116</v>
      </c>
      <c r="N96">
        <v>28</v>
      </c>
      <c r="Q96">
        <f t="shared" si="4"/>
        <v>90</v>
      </c>
      <c r="R96">
        <f t="shared" si="5"/>
        <v>-21</v>
      </c>
      <c r="S96">
        <f t="shared" si="6"/>
        <v>28</v>
      </c>
      <c r="V96">
        <v>-21</v>
      </c>
      <c r="W96">
        <v>90</v>
      </c>
    </row>
    <row r="97" spans="5:24" x14ac:dyDescent="0.25">
      <c r="E97" t="s">
        <v>114</v>
      </c>
      <c r="F97">
        <v>91</v>
      </c>
      <c r="G97" t="s">
        <v>117</v>
      </c>
      <c r="H97">
        <v>104</v>
      </c>
      <c r="I97" t="s">
        <v>118</v>
      </c>
      <c r="J97">
        <v>118</v>
      </c>
      <c r="K97" t="s">
        <v>115</v>
      </c>
      <c r="L97">
        <v>-18</v>
      </c>
      <c r="M97" t="s">
        <v>116</v>
      </c>
      <c r="N97">
        <v>25</v>
      </c>
      <c r="Q97">
        <f t="shared" si="4"/>
        <v>91</v>
      </c>
      <c r="R97">
        <f t="shared" si="5"/>
        <v>-18</v>
      </c>
      <c r="S97">
        <f t="shared" si="6"/>
        <v>25</v>
      </c>
      <c r="V97">
        <v>-18</v>
      </c>
      <c r="W97">
        <v>91</v>
      </c>
    </row>
    <row r="98" spans="5:24" x14ac:dyDescent="0.25">
      <c r="E98" t="s">
        <v>114</v>
      </c>
      <c r="F98">
        <v>92</v>
      </c>
      <c r="G98" t="s">
        <v>117</v>
      </c>
      <c r="H98">
        <v>102</v>
      </c>
      <c r="I98" t="s">
        <v>118</v>
      </c>
      <c r="J98">
        <v>114</v>
      </c>
      <c r="K98" t="s">
        <v>115</v>
      </c>
      <c r="L98">
        <v>-15</v>
      </c>
      <c r="M98" t="s">
        <v>116</v>
      </c>
      <c r="N98">
        <v>22</v>
      </c>
      <c r="Q98">
        <f t="shared" si="4"/>
        <v>92</v>
      </c>
      <c r="R98">
        <f t="shared" si="5"/>
        <v>-15</v>
      </c>
      <c r="S98">
        <f t="shared" si="6"/>
        <v>22</v>
      </c>
      <c r="V98">
        <v>-15</v>
      </c>
      <c r="W98">
        <v>92</v>
      </c>
    </row>
    <row r="99" spans="5:24" x14ac:dyDescent="0.25">
      <c r="E99" t="s">
        <v>114</v>
      </c>
      <c r="F99">
        <v>93</v>
      </c>
      <c r="G99" t="s">
        <v>117</v>
      </c>
      <c r="H99">
        <v>101</v>
      </c>
      <c r="I99" t="s">
        <v>118</v>
      </c>
      <c r="J99">
        <v>110</v>
      </c>
      <c r="K99" t="s">
        <v>115</v>
      </c>
      <c r="L99">
        <v>-12</v>
      </c>
      <c r="M99" t="s">
        <v>116</v>
      </c>
      <c r="N99">
        <v>19</v>
      </c>
      <c r="Q99">
        <f t="shared" si="4"/>
        <v>93</v>
      </c>
      <c r="R99">
        <f t="shared" si="5"/>
        <v>-12</v>
      </c>
      <c r="S99">
        <f t="shared" si="6"/>
        <v>19</v>
      </c>
      <c r="V99">
        <v>-12</v>
      </c>
      <c r="W99">
        <v>93</v>
      </c>
    </row>
    <row r="100" spans="5:24" x14ac:dyDescent="0.25">
      <c r="E100" t="s">
        <v>114</v>
      </c>
      <c r="F100">
        <v>94</v>
      </c>
      <c r="G100" t="s">
        <v>117</v>
      </c>
      <c r="H100">
        <v>98</v>
      </c>
      <c r="I100" t="s">
        <v>118</v>
      </c>
      <c r="J100">
        <v>105</v>
      </c>
      <c r="K100" t="s">
        <v>115</v>
      </c>
      <c r="L100">
        <v>-8</v>
      </c>
      <c r="M100" t="s">
        <v>116</v>
      </c>
      <c r="N100">
        <v>15</v>
      </c>
      <c r="Q100">
        <f t="shared" si="4"/>
        <v>94</v>
      </c>
      <c r="R100">
        <f t="shared" si="5"/>
        <v>-8</v>
      </c>
      <c r="S100">
        <f t="shared" si="6"/>
        <v>15</v>
      </c>
      <c r="V100">
        <v>-8</v>
      </c>
      <c r="W100">
        <v>94</v>
      </c>
    </row>
    <row r="101" spans="5:24" x14ac:dyDescent="0.25">
      <c r="E101" t="s">
        <v>114</v>
      </c>
      <c r="F101">
        <v>95</v>
      </c>
      <c r="G101" t="s">
        <v>117</v>
      </c>
      <c r="H101">
        <v>97</v>
      </c>
      <c r="I101" t="s">
        <v>118</v>
      </c>
      <c r="J101">
        <v>100</v>
      </c>
      <c r="K101" t="s">
        <v>115</v>
      </c>
      <c r="L101">
        <v>-3</v>
      </c>
      <c r="M101" t="s">
        <v>116</v>
      </c>
      <c r="N101">
        <v>11</v>
      </c>
      <c r="Q101">
        <f t="shared" si="4"/>
        <v>95</v>
      </c>
      <c r="R101">
        <f t="shared" si="5"/>
        <v>-3</v>
      </c>
      <c r="S101">
        <f t="shared" si="6"/>
        <v>11</v>
      </c>
      <c r="V101">
        <v>-3</v>
      </c>
      <c r="W101">
        <v>95</v>
      </c>
    </row>
    <row r="102" spans="5:24" x14ac:dyDescent="0.25">
      <c r="V102">
        <v>78</v>
      </c>
      <c r="X102">
        <v>34</v>
      </c>
    </row>
    <row r="103" spans="5:24" x14ac:dyDescent="0.25">
      <c r="V103">
        <v>78</v>
      </c>
      <c r="X103">
        <v>35</v>
      </c>
    </row>
    <row r="104" spans="5:24" x14ac:dyDescent="0.25">
      <c r="V104">
        <v>78</v>
      </c>
      <c r="X104">
        <v>36</v>
      </c>
    </row>
    <row r="105" spans="5:24" x14ac:dyDescent="0.25">
      <c r="V105">
        <v>78</v>
      </c>
      <c r="X105">
        <v>37</v>
      </c>
    </row>
    <row r="106" spans="5:24" x14ac:dyDescent="0.25">
      <c r="V106">
        <v>78</v>
      </c>
      <c r="X106">
        <v>38</v>
      </c>
    </row>
    <row r="107" spans="5:24" x14ac:dyDescent="0.25">
      <c r="V107">
        <v>77</v>
      </c>
      <c r="X107">
        <v>39</v>
      </c>
    </row>
    <row r="108" spans="5:24" x14ac:dyDescent="0.25">
      <c r="V108">
        <v>77</v>
      </c>
      <c r="X108">
        <v>40</v>
      </c>
    </row>
    <row r="109" spans="5:24" x14ac:dyDescent="0.25">
      <c r="V109">
        <v>77</v>
      </c>
      <c r="X109">
        <v>41</v>
      </c>
    </row>
    <row r="110" spans="5:24" x14ac:dyDescent="0.25">
      <c r="V110">
        <v>76</v>
      </c>
      <c r="X110">
        <v>42</v>
      </c>
    </row>
    <row r="111" spans="5:24" x14ac:dyDescent="0.25">
      <c r="V111">
        <v>76</v>
      </c>
      <c r="X111">
        <v>43</v>
      </c>
    </row>
    <row r="112" spans="5:24" x14ac:dyDescent="0.25">
      <c r="V112">
        <v>76</v>
      </c>
      <c r="X112">
        <v>44</v>
      </c>
    </row>
    <row r="113" spans="22:24" x14ac:dyDescent="0.25">
      <c r="V113">
        <v>75</v>
      </c>
      <c r="X113">
        <v>45</v>
      </c>
    </row>
    <row r="114" spans="22:24" x14ac:dyDescent="0.25">
      <c r="V114">
        <v>75</v>
      </c>
      <c r="X114">
        <v>46</v>
      </c>
    </row>
    <row r="115" spans="22:24" x14ac:dyDescent="0.25">
      <c r="V115">
        <v>75</v>
      </c>
      <c r="X115">
        <v>47</v>
      </c>
    </row>
    <row r="116" spans="22:24" x14ac:dyDescent="0.25">
      <c r="V116">
        <v>74</v>
      </c>
      <c r="X116">
        <v>48</v>
      </c>
    </row>
    <row r="117" spans="22:24" x14ac:dyDescent="0.25">
      <c r="V117">
        <v>74</v>
      </c>
      <c r="X117">
        <v>49</v>
      </c>
    </row>
    <row r="118" spans="22:24" x14ac:dyDescent="0.25">
      <c r="V118">
        <v>73</v>
      </c>
      <c r="X118">
        <v>50</v>
      </c>
    </row>
    <row r="119" spans="22:24" x14ac:dyDescent="0.25">
      <c r="V119">
        <v>73</v>
      </c>
      <c r="X119">
        <v>51</v>
      </c>
    </row>
    <row r="120" spans="22:24" x14ac:dyDescent="0.25">
      <c r="V120">
        <v>72</v>
      </c>
      <c r="X120">
        <v>52</v>
      </c>
    </row>
    <row r="121" spans="22:24" x14ac:dyDescent="0.25">
      <c r="V121">
        <v>72</v>
      </c>
      <c r="X121">
        <v>53</v>
      </c>
    </row>
    <row r="122" spans="22:24" x14ac:dyDescent="0.25">
      <c r="V122">
        <v>71</v>
      </c>
      <c r="X122">
        <v>54</v>
      </c>
    </row>
    <row r="123" spans="22:24" x14ac:dyDescent="0.25">
      <c r="V123">
        <v>71</v>
      </c>
      <c r="X123">
        <v>55</v>
      </c>
    </row>
    <row r="124" spans="22:24" x14ac:dyDescent="0.25">
      <c r="V124">
        <v>70</v>
      </c>
      <c r="X124">
        <v>56</v>
      </c>
    </row>
    <row r="125" spans="22:24" x14ac:dyDescent="0.25">
      <c r="V125">
        <v>69</v>
      </c>
      <c r="X125">
        <v>57</v>
      </c>
    </row>
    <row r="126" spans="22:24" x14ac:dyDescent="0.25">
      <c r="V126">
        <v>69</v>
      </c>
      <c r="X126">
        <v>58</v>
      </c>
    </row>
    <row r="127" spans="22:24" x14ac:dyDescent="0.25">
      <c r="V127">
        <v>68</v>
      </c>
      <c r="X127">
        <v>59</v>
      </c>
    </row>
    <row r="128" spans="22:24" x14ac:dyDescent="0.25">
      <c r="V128">
        <v>67</v>
      </c>
      <c r="X128">
        <v>60</v>
      </c>
    </row>
    <row r="129" spans="22:24" x14ac:dyDescent="0.25">
      <c r="V129">
        <v>67</v>
      </c>
      <c r="X129">
        <v>61</v>
      </c>
    </row>
    <row r="130" spans="22:24" x14ac:dyDescent="0.25">
      <c r="V130">
        <v>66</v>
      </c>
      <c r="X130">
        <v>62</v>
      </c>
    </row>
    <row r="131" spans="22:24" x14ac:dyDescent="0.25">
      <c r="V131">
        <v>65</v>
      </c>
      <c r="X131">
        <v>63</v>
      </c>
    </row>
    <row r="132" spans="22:24" x14ac:dyDescent="0.25">
      <c r="V132">
        <v>64</v>
      </c>
      <c r="X132">
        <v>64</v>
      </c>
    </row>
    <row r="133" spans="22:24" x14ac:dyDescent="0.25">
      <c r="V133">
        <v>63</v>
      </c>
      <c r="X133">
        <v>65</v>
      </c>
    </row>
    <row r="134" spans="22:24" x14ac:dyDescent="0.25">
      <c r="V134">
        <v>63</v>
      </c>
      <c r="X134">
        <v>66</v>
      </c>
    </row>
    <row r="135" spans="22:24" x14ac:dyDescent="0.25">
      <c r="V135">
        <v>62</v>
      </c>
      <c r="X135">
        <v>67</v>
      </c>
    </row>
    <row r="136" spans="22:24" x14ac:dyDescent="0.25">
      <c r="V136">
        <v>61</v>
      </c>
      <c r="X136">
        <v>68</v>
      </c>
    </row>
    <row r="137" spans="22:24" x14ac:dyDescent="0.25">
      <c r="V137">
        <v>60</v>
      </c>
      <c r="X137">
        <v>69</v>
      </c>
    </row>
    <row r="138" spans="22:24" x14ac:dyDescent="0.25">
      <c r="V138">
        <v>59</v>
      </c>
      <c r="X138">
        <v>70</v>
      </c>
    </row>
    <row r="139" spans="22:24" x14ac:dyDescent="0.25">
      <c r="V139">
        <v>58</v>
      </c>
      <c r="X139">
        <v>71</v>
      </c>
    </row>
    <row r="140" spans="22:24" x14ac:dyDescent="0.25">
      <c r="V140">
        <v>57</v>
      </c>
      <c r="X140">
        <v>72</v>
      </c>
    </row>
    <row r="141" spans="22:24" x14ac:dyDescent="0.25">
      <c r="V141">
        <v>55</v>
      </c>
      <c r="X141">
        <v>73</v>
      </c>
    </row>
    <row r="142" spans="22:24" x14ac:dyDescent="0.25">
      <c r="V142">
        <v>54</v>
      </c>
      <c r="X142">
        <v>74</v>
      </c>
    </row>
    <row r="143" spans="22:24" x14ac:dyDescent="0.25">
      <c r="V143">
        <v>53</v>
      </c>
      <c r="X143">
        <v>75</v>
      </c>
    </row>
    <row r="144" spans="22:24" x14ac:dyDescent="0.25">
      <c r="V144">
        <v>52</v>
      </c>
      <c r="X144">
        <v>76</v>
      </c>
    </row>
    <row r="145" spans="22:24" x14ac:dyDescent="0.25">
      <c r="V145">
        <v>50</v>
      </c>
      <c r="X145">
        <v>77</v>
      </c>
    </row>
    <row r="146" spans="22:24" x14ac:dyDescent="0.25">
      <c r="V146">
        <v>49</v>
      </c>
      <c r="X146">
        <v>78</v>
      </c>
    </row>
    <row r="147" spans="22:24" x14ac:dyDescent="0.25">
      <c r="V147">
        <v>48</v>
      </c>
      <c r="X147">
        <v>79</v>
      </c>
    </row>
    <row r="148" spans="22:24" x14ac:dyDescent="0.25">
      <c r="V148">
        <v>46</v>
      </c>
      <c r="X148">
        <v>80</v>
      </c>
    </row>
    <row r="149" spans="22:24" x14ac:dyDescent="0.25">
      <c r="V149">
        <v>45</v>
      </c>
      <c r="X149">
        <v>81</v>
      </c>
    </row>
    <row r="150" spans="22:24" x14ac:dyDescent="0.25">
      <c r="V150">
        <v>43</v>
      </c>
      <c r="X150">
        <v>82</v>
      </c>
    </row>
    <row r="151" spans="22:24" x14ac:dyDescent="0.25">
      <c r="V151">
        <v>42</v>
      </c>
      <c r="X151">
        <v>83</v>
      </c>
    </row>
    <row r="152" spans="22:24" x14ac:dyDescent="0.25">
      <c r="V152">
        <v>40</v>
      </c>
      <c r="X152">
        <v>84</v>
      </c>
    </row>
    <row r="153" spans="22:24" x14ac:dyDescent="0.25">
      <c r="V153">
        <v>38</v>
      </c>
      <c r="X153">
        <v>85</v>
      </c>
    </row>
    <row r="154" spans="22:24" x14ac:dyDescent="0.25">
      <c r="V154">
        <v>36</v>
      </c>
      <c r="X154">
        <v>86</v>
      </c>
    </row>
    <row r="155" spans="22:24" x14ac:dyDescent="0.25">
      <c r="V155">
        <v>34</v>
      </c>
      <c r="X155">
        <v>87</v>
      </c>
    </row>
    <row r="156" spans="22:24" x14ac:dyDescent="0.25">
      <c r="V156">
        <v>32</v>
      </c>
      <c r="X156">
        <v>88</v>
      </c>
    </row>
    <row r="157" spans="22:24" x14ac:dyDescent="0.25">
      <c r="V157">
        <v>30</v>
      </c>
      <c r="X157">
        <v>89</v>
      </c>
    </row>
    <row r="158" spans="22:24" x14ac:dyDescent="0.25">
      <c r="V158">
        <v>28</v>
      </c>
      <c r="X158">
        <v>90</v>
      </c>
    </row>
    <row r="159" spans="22:24" x14ac:dyDescent="0.25">
      <c r="V159">
        <v>25</v>
      </c>
      <c r="X159">
        <v>91</v>
      </c>
    </row>
    <row r="160" spans="22:24" x14ac:dyDescent="0.25">
      <c r="V160">
        <v>22</v>
      </c>
      <c r="X160">
        <v>92</v>
      </c>
    </row>
    <row r="161" spans="22:24" x14ac:dyDescent="0.25">
      <c r="V161">
        <v>19</v>
      </c>
      <c r="X161">
        <v>93</v>
      </c>
    </row>
    <row r="162" spans="22:24" x14ac:dyDescent="0.25">
      <c r="V162">
        <v>15</v>
      </c>
      <c r="X162">
        <v>94</v>
      </c>
    </row>
    <row r="163" spans="22:24" x14ac:dyDescent="0.25">
      <c r="V163">
        <v>11</v>
      </c>
      <c r="X163">
        <v>95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R61"/>
  <sheetViews>
    <sheetView topLeftCell="A4" workbookViewId="0">
      <selection activeCell="C13" sqref="C13"/>
    </sheetView>
  </sheetViews>
  <sheetFormatPr defaultRowHeight="15" x14ac:dyDescent="0.25"/>
  <cols>
    <col min="18" max="18" width="12.85546875" customWidth="1"/>
  </cols>
  <sheetData>
    <row r="1" spans="1:18" x14ac:dyDescent="0.25">
      <c r="A1" t="s">
        <v>145</v>
      </c>
    </row>
    <row r="2" spans="1:18" x14ac:dyDescent="0.25">
      <c r="B2">
        <v>36</v>
      </c>
    </row>
    <row r="5" spans="1:18" x14ac:dyDescent="0.25">
      <c r="R5" s="10"/>
    </row>
    <row r="6" spans="1:18" x14ac:dyDescent="0.25">
      <c r="D6" s="1" t="s">
        <v>17</v>
      </c>
      <c r="E6" s="1" t="s">
        <v>18</v>
      </c>
      <c r="H6" t="s">
        <v>17</v>
      </c>
      <c r="I6" t="s">
        <v>18</v>
      </c>
      <c r="J6" t="s">
        <v>17</v>
      </c>
      <c r="K6" t="s">
        <v>18</v>
      </c>
      <c r="R6" s="10"/>
    </row>
    <row r="7" spans="1:18" x14ac:dyDescent="0.25">
      <c r="D7" s="1">
        <v>30.867524381108989</v>
      </c>
      <c r="E7" s="1">
        <v>58.375588727230223</v>
      </c>
      <c r="H7">
        <f>INT(D7-$D$24+$D$32)</f>
        <v>130</v>
      </c>
      <c r="I7">
        <f>INT((E7-$E$24+$E$32))</f>
        <v>5</v>
      </c>
      <c r="J7">
        <f>180-ROUND(H7,0)+$D$32-$F$32</f>
        <v>50</v>
      </c>
      <c r="K7">
        <f>180-ROUND(I7,0)+$E$32-$G$32</f>
        <v>175</v>
      </c>
      <c r="R7" s="10"/>
    </row>
    <row r="8" spans="1:18" x14ac:dyDescent="0.25">
      <c r="D8" s="1">
        <v>33.004530325360633</v>
      </c>
      <c r="E8" s="1">
        <v>67.643112584392298</v>
      </c>
      <c r="H8">
        <f t="shared" ref="H8:H22" si="0">INT(D8-$D$24+$D$32)</f>
        <v>132</v>
      </c>
      <c r="I8">
        <f t="shared" ref="I8:I22" si="1">INT((E8-$E$24+$E$32))</f>
        <v>14</v>
      </c>
      <c r="J8">
        <f t="shared" ref="J8:J22" si="2">180-ROUND(H8,0)+$D$32-$F$32</f>
        <v>48</v>
      </c>
      <c r="K8">
        <f t="shared" ref="K8:K22" si="3">180-ROUND(I8,0)+$E$32-$G$32</f>
        <v>166</v>
      </c>
      <c r="R8" s="10"/>
    </row>
    <row r="9" spans="1:18" x14ac:dyDescent="0.25">
      <c r="D9" s="1">
        <v>35.393847419003485</v>
      </c>
      <c r="E9" s="1">
        <v>73.897037950493484</v>
      </c>
      <c r="H9">
        <f t="shared" si="0"/>
        <v>134</v>
      </c>
      <c r="I9">
        <f t="shared" si="1"/>
        <v>20</v>
      </c>
      <c r="J9">
        <f t="shared" si="2"/>
        <v>46</v>
      </c>
      <c r="K9">
        <f t="shared" si="3"/>
        <v>160</v>
      </c>
      <c r="R9" s="10"/>
    </row>
    <row r="10" spans="1:18" x14ac:dyDescent="0.25">
      <c r="D10" s="1">
        <v>38.028864665407966</v>
      </c>
      <c r="E10" s="1">
        <v>79.156635161312067</v>
      </c>
      <c r="H10">
        <f t="shared" si="0"/>
        <v>137</v>
      </c>
      <c r="I10">
        <f t="shared" si="1"/>
        <v>25</v>
      </c>
      <c r="J10">
        <f t="shared" si="2"/>
        <v>43</v>
      </c>
      <c r="K10">
        <f t="shared" si="3"/>
        <v>155</v>
      </c>
      <c r="R10" s="10"/>
    </row>
    <row r="11" spans="1:18" x14ac:dyDescent="0.25">
      <c r="D11" s="1">
        <v>40.903337865621403</v>
      </c>
      <c r="E11" s="1">
        <v>83.876224941339046</v>
      </c>
      <c r="H11">
        <f t="shared" si="0"/>
        <v>140</v>
      </c>
      <c r="I11">
        <f t="shared" si="1"/>
        <v>30</v>
      </c>
      <c r="J11">
        <f t="shared" si="2"/>
        <v>40</v>
      </c>
      <c r="K11">
        <f t="shared" si="3"/>
        <v>150</v>
      </c>
      <c r="R11" s="10"/>
    </row>
    <row r="12" spans="1:18" x14ac:dyDescent="0.25">
      <c r="D12" s="1">
        <v>44.011750087497873</v>
      </c>
      <c r="E12" s="1">
        <v>88.248897724600596</v>
      </c>
      <c r="H12">
        <f t="shared" si="0"/>
        <v>143</v>
      </c>
      <c r="I12">
        <f t="shared" si="1"/>
        <v>34</v>
      </c>
      <c r="J12">
        <f t="shared" si="2"/>
        <v>37</v>
      </c>
      <c r="K12">
        <f t="shared" si="3"/>
        <v>146</v>
      </c>
      <c r="R12" s="10"/>
    </row>
    <row r="13" spans="1:18" x14ac:dyDescent="0.25">
      <c r="C13" s="14"/>
      <c r="D13" s="1">
        <v>47.349826711636581</v>
      </c>
      <c r="E13" s="1">
        <v>92.377593842750656</v>
      </c>
      <c r="H13">
        <f t="shared" si="0"/>
        <v>146</v>
      </c>
      <c r="I13">
        <f t="shared" si="1"/>
        <v>39</v>
      </c>
      <c r="J13">
        <f t="shared" si="2"/>
        <v>34</v>
      </c>
      <c r="K13">
        <f t="shared" si="3"/>
        <v>141</v>
      </c>
      <c r="R13" s="10"/>
    </row>
    <row r="14" spans="1:18" x14ac:dyDescent="0.25">
      <c r="D14" s="1">
        <v>50.915230070609553</v>
      </c>
      <c r="E14" s="1">
        <v>96.324345927278671</v>
      </c>
      <c r="H14">
        <f t="shared" si="0"/>
        <v>150</v>
      </c>
      <c r="I14">
        <f t="shared" si="1"/>
        <v>42</v>
      </c>
      <c r="J14">
        <f t="shared" si="2"/>
        <v>30</v>
      </c>
      <c r="K14">
        <f t="shared" si="3"/>
        <v>138</v>
      </c>
      <c r="R14" s="10"/>
    </row>
    <row r="15" spans="1:18" x14ac:dyDescent="0.25">
      <c r="D15" s="1">
        <v>54.70848707283465</v>
      </c>
      <c r="E15" s="1">
        <v>100.12960329494481</v>
      </c>
      <c r="H15">
        <f t="shared" si="0"/>
        <v>153</v>
      </c>
      <c r="I15">
        <f t="shared" si="1"/>
        <v>46</v>
      </c>
      <c r="J15">
        <f t="shared" si="2"/>
        <v>27</v>
      </c>
      <c r="K15">
        <f t="shared" si="3"/>
        <v>134</v>
      </c>
      <c r="R15" s="10"/>
    </row>
    <row r="16" spans="1:18" x14ac:dyDescent="0.25">
      <c r="D16" s="1">
        <v>58.734254220892034</v>
      </c>
      <c r="E16" s="1">
        <v>103.82145635436756</v>
      </c>
      <c r="H16">
        <f t="shared" si="0"/>
        <v>157</v>
      </c>
      <c r="I16">
        <f t="shared" si="1"/>
        <v>50</v>
      </c>
      <c r="J16">
        <f t="shared" si="2"/>
        <v>23</v>
      </c>
      <c r="K16">
        <f t="shared" si="3"/>
        <v>130</v>
      </c>
      <c r="R16" s="10"/>
    </row>
    <row r="17" spans="3:18" x14ac:dyDescent="0.25">
      <c r="D17" s="1">
        <v>63.00311943239987</v>
      </c>
      <c r="E17" s="1">
        <v>107.42083959289144</v>
      </c>
      <c r="H17">
        <f t="shared" si="0"/>
        <v>162</v>
      </c>
      <c r="I17">
        <f t="shared" si="1"/>
        <v>54</v>
      </c>
      <c r="J17">
        <f t="shared" si="2"/>
        <v>18</v>
      </c>
      <c r="K17">
        <f t="shared" si="3"/>
        <v>126</v>
      </c>
      <c r="R17" s="10"/>
    </row>
    <row r="18" spans="3:18" x14ac:dyDescent="0.25">
      <c r="D18" s="1">
        <v>67.534327097385699</v>
      </c>
      <c r="E18" s="1">
        <v>110.94508603070696</v>
      </c>
      <c r="H18">
        <f t="shared" si="0"/>
        <v>166</v>
      </c>
      <c r="I18">
        <f t="shared" si="1"/>
        <v>57</v>
      </c>
      <c r="J18">
        <f t="shared" si="2"/>
        <v>14</v>
      </c>
      <c r="K18">
        <f t="shared" si="3"/>
        <v>123</v>
      </c>
      <c r="R18" s="10"/>
    </row>
    <row r="19" spans="3:18" x14ac:dyDescent="0.25">
      <c r="D19" s="1">
        <v>72.360209986474885</v>
      </c>
      <c r="E19" s="1">
        <v>114.41105737776019</v>
      </c>
      <c r="H19">
        <f t="shared" si="0"/>
        <v>171</v>
      </c>
      <c r="I19">
        <f t="shared" si="1"/>
        <v>61</v>
      </c>
      <c r="J19">
        <f t="shared" si="2"/>
        <v>9</v>
      </c>
      <c r="K19">
        <f t="shared" si="3"/>
        <v>119</v>
      </c>
      <c r="R19" s="10"/>
    </row>
    <row r="20" spans="3:18" x14ac:dyDescent="0.25">
      <c r="D20" s="1">
        <v>49.911949757957785</v>
      </c>
      <c r="E20" s="1">
        <v>165.3482977768733</v>
      </c>
      <c r="H20">
        <f t="shared" si="0"/>
        <v>149</v>
      </c>
      <c r="I20">
        <f t="shared" si="1"/>
        <v>111</v>
      </c>
      <c r="J20">
        <f t="shared" si="2"/>
        <v>31</v>
      </c>
      <c r="K20">
        <f t="shared" si="3"/>
        <v>69</v>
      </c>
      <c r="R20" s="10"/>
    </row>
    <row r="21" spans="3:18" x14ac:dyDescent="0.25">
      <c r="D21" s="1">
        <v>-55.334398825914889</v>
      </c>
      <c r="E21" s="1">
        <v>122.16786860658324</v>
      </c>
      <c r="H21">
        <f t="shared" si="0"/>
        <v>43</v>
      </c>
      <c r="I21">
        <f t="shared" si="1"/>
        <v>68</v>
      </c>
      <c r="J21">
        <f t="shared" si="2"/>
        <v>137</v>
      </c>
      <c r="K21">
        <f t="shared" si="3"/>
        <v>112</v>
      </c>
      <c r="R21" s="10"/>
    </row>
    <row r="22" spans="3:18" x14ac:dyDescent="0.25">
      <c r="D22" s="1">
        <v>-94.218469189267395</v>
      </c>
      <c r="E22" s="1">
        <v>114.59156098088593</v>
      </c>
      <c r="H22">
        <f t="shared" si="0"/>
        <v>5</v>
      </c>
      <c r="I22">
        <f t="shared" si="1"/>
        <v>61</v>
      </c>
      <c r="J22">
        <f t="shared" si="2"/>
        <v>175</v>
      </c>
      <c r="K22">
        <f t="shared" si="3"/>
        <v>119</v>
      </c>
      <c r="R22" s="10"/>
    </row>
    <row r="23" spans="3:18" x14ac:dyDescent="0.25">
      <c r="R23" s="10"/>
    </row>
    <row r="24" spans="3:18" x14ac:dyDescent="0.25">
      <c r="C24" t="s">
        <v>122</v>
      </c>
      <c r="D24">
        <f>MIN(D7:D22)</f>
        <v>-94.218469189267395</v>
      </c>
      <c r="E24">
        <f>MIN(E7:E22)</f>
        <v>58.375588727230223</v>
      </c>
      <c r="H24" t="s">
        <v>157</v>
      </c>
      <c r="O24" t="s">
        <v>4</v>
      </c>
      <c r="R24" s="10"/>
    </row>
    <row r="25" spans="3:18" x14ac:dyDescent="0.25">
      <c r="C25" t="s">
        <v>123</v>
      </c>
      <c r="D25">
        <f>MAX(D7:D22)</f>
        <v>72.360209986474885</v>
      </c>
      <c r="E25">
        <f>MAX(E7:E22)</f>
        <v>165.3482977768733</v>
      </c>
      <c r="H25" t="s">
        <v>158</v>
      </c>
      <c r="O25" t="s">
        <v>3</v>
      </c>
      <c r="R25" s="10"/>
    </row>
    <row r="26" spans="3:18" x14ac:dyDescent="0.25">
      <c r="H26" t="s">
        <v>159</v>
      </c>
      <c r="R26" s="10"/>
    </row>
    <row r="27" spans="3:18" x14ac:dyDescent="0.25">
      <c r="D27">
        <f>D25-D24</f>
        <v>166.57867917574228</v>
      </c>
      <c r="E27">
        <f>E25-E24</f>
        <v>106.97270904964307</v>
      </c>
      <c r="H27" t="s">
        <v>160</v>
      </c>
      <c r="R27" s="10"/>
    </row>
    <row r="28" spans="3:18" x14ac:dyDescent="0.25">
      <c r="R28" s="10"/>
    </row>
    <row r="29" spans="3:18" x14ac:dyDescent="0.25">
      <c r="C29" t="s">
        <v>122</v>
      </c>
      <c r="D29">
        <f>MIN( D7:D19)</f>
        <v>30.867524381108989</v>
      </c>
      <c r="E29">
        <f>MIN( E7:E19)</f>
        <v>58.375588727230223</v>
      </c>
      <c r="H29">
        <f>MIN(H7:H22)</f>
        <v>5</v>
      </c>
      <c r="I29">
        <f t="shared" ref="I29:K29" si="4">MIN(I7:I22)</f>
        <v>5</v>
      </c>
      <c r="J29">
        <f t="shared" si="4"/>
        <v>9</v>
      </c>
      <c r="K29">
        <f t="shared" si="4"/>
        <v>69</v>
      </c>
    </row>
    <row r="30" spans="3:18" x14ac:dyDescent="0.25">
      <c r="C30" t="s">
        <v>123</v>
      </c>
      <c r="D30">
        <f>MAX( D7:D19)</f>
        <v>72.360209986474885</v>
      </c>
      <c r="E30">
        <f>MAX( E7:E19)</f>
        <v>114.41105737776019</v>
      </c>
      <c r="H30">
        <f>MAX(H7:H22)</f>
        <v>171</v>
      </c>
      <c r="I30">
        <f t="shared" ref="I30:K30" si="5">MAX(I7:I22)</f>
        <v>111</v>
      </c>
      <c r="J30">
        <f t="shared" si="5"/>
        <v>175</v>
      </c>
      <c r="K30">
        <f t="shared" si="5"/>
        <v>175</v>
      </c>
    </row>
    <row r="31" spans="3:18" x14ac:dyDescent="0.25">
      <c r="D31">
        <f>D30-D29</f>
        <v>41.492685605365892</v>
      </c>
      <c r="E31">
        <f>E30-E29</f>
        <v>56.035468650529964</v>
      </c>
    </row>
    <row r="32" spans="3:18" x14ac:dyDescent="0.25">
      <c r="C32" t="s">
        <v>13</v>
      </c>
      <c r="D32">
        <v>5</v>
      </c>
      <c r="E32">
        <v>5</v>
      </c>
      <c r="F32">
        <v>5</v>
      </c>
      <c r="G32">
        <v>5</v>
      </c>
    </row>
    <row r="35" spans="4:11" x14ac:dyDescent="0.25">
      <c r="D35" s="1" t="s">
        <v>17</v>
      </c>
      <c r="E35" s="1" t="s">
        <v>18</v>
      </c>
      <c r="H35" t="s">
        <v>17</v>
      </c>
      <c r="I35" t="s">
        <v>18</v>
      </c>
      <c r="J35" t="s">
        <v>17</v>
      </c>
      <c r="K35" t="s">
        <v>18</v>
      </c>
    </row>
    <row r="36" spans="4:11" x14ac:dyDescent="0.25">
      <c r="D36" s="1">
        <v>-19.559431823447561</v>
      </c>
      <c r="E36" s="1">
        <v>88.048055113611852</v>
      </c>
      <c r="H36">
        <f>INT(D36-$D$24+$D$32)</f>
        <v>79</v>
      </c>
      <c r="I36">
        <f>INT((E36-$E$24+$E$32))</f>
        <v>34</v>
      </c>
      <c r="J36">
        <f>180-ROUND(H36,0)+$D$32-$F$32</f>
        <v>101</v>
      </c>
      <c r="K36">
        <f>180-ROUND(I36,0)+$E$32-$G$32</f>
        <v>146</v>
      </c>
    </row>
    <row r="37" spans="4:11" x14ac:dyDescent="0.25">
      <c r="D37" s="1">
        <v>-16.571484984053146</v>
      </c>
      <c r="E37" s="1">
        <v>91.676984597046243</v>
      </c>
      <c r="H37">
        <f t="shared" ref="H37:H51" si="6">INT(D37-$D$24+$D$32)</f>
        <v>82</v>
      </c>
      <c r="I37">
        <f t="shared" ref="I37:I51" si="7">INT((E37-$E$24+$E$32))</f>
        <v>38</v>
      </c>
      <c r="J37">
        <f t="shared" ref="J37:J51" si="8">180-ROUND(H37,0)+$D$32-$F$32</f>
        <v>98</v>
      </c>
      <c r="K37">
        <f t="shared" ref="K37:K51" si="9">180-ROUND(I37,0)+$E$32-$G$32</f>
        <v>142</v>
      </c>
    </row>
    <row r="38" spans="4:11" x14ac:dyDescent="0.25">
      <c r="D38" s="1">
        <v>-13.150606431144967</v>
      </c>
      <c r="E38" s="1">
        <v>95.261863629775405</v>
      </c>
      <c r="H38">
        <f t="shared" si="6"/>
        <v>86</v>
      </c>
      <c r="I38">
        <f t="shared" si="7"/>
        <v>41</v>
      </c>
      <c r="J38">
        <f t="shared" si="8"/>
        <v>94</v>
      </c>
      <c r="K38">
        <f t="shared" si="9"/>
        <v>139</v>
      </c>
    </row>
    <row r="39" spans="4:11" x14ac:dyDescent="0.25">
      <c r="D39" s="1">
        <v>-9.322718739008895</v>
      </c>
      <c r="E39" s="1">
        <v>98.829643307045075</v>
      </c>
      <c r="H39">
        <f t="shared" si="6"/>
        <v>89</v>
      </c>
      <c r="I39">
        <f t="shared" si="7"/>
        <v>45</v>
      </c>
      <c r="J39">
        <f t="shared" si="8"/>
        <v>91</v>
      </c>
      <c r="K39">
        <f t="shared" si="9"/>
        <v>135</v>
      </c>
    </row>
    <row r="40" spans="4:11" x14ac:dyDescent="0.25">
      <c r="D40" s="1">
        <v>-5.1233662277780336</v>
      </c>
      <c r="E40" s="1">
        <v>102.40459757844508</v>
      </c>
      <c r="H40">
        <f t="shared" si="6"/>
        <v>94</v>
      </c>
      <c r="I40">
        <f t="shared" si="7"/>
        <v>49</v>
      </c>
      <c r="J40">
        <f t="shared" si="8"/>
        <v>86</v>
      </c>
      <c r="K40">
        <f t="shared" si="9"/>
        <v>131</v>
      </c>
    </row>
    <row r="41" spans="4:11" x14ac:dyDescent="0.25">
      <c r="D41" s="1">
        <v>-0.59520441379243372</v>
      </c>
      <c r="E41" s="1">
        <v>106.0072940197486</v>
      </c>
      <c r="H41">
        <f t="shared" si="6"/>
        <v>98</v>
      </c>
      <c r="I41">
        <f t="shared" si="7"/>
        <v>52</v>
      </c>
      <c r="J41">
        <f t="shared" si="8"/>
        <v>82</v>
      </c>
      <c r="K41">
        <f t="shared" si="9"/>
        <v>128</v>
      </c>
    </row>
    <row r="42" spans="4:11" x14ac:dyDescent="0.25">
      <c r="D42" s="1">
        <v>4.215097227092552</v>
      </c>
      <c r="E42" s="1">
        <v>109.65346481407752</v>
      </c>
      <c r="H42">
        <f t="shared" si="6"/>
        <v>103</v>
      </c>
      <c r="I42">
        <f t="shared" si="7"/>
        <v>56</v>
      </c>
      <c r="J42">
        <f t="shared" si="8"/>
        <v>77</v>
      </c>
      <c r="K42">
        <f t="shared" si="9"/>
        <v>124</v>
      </c>
    </row>
    <row r="43" spans="4:11" x14ac:dyDescent="0.25">
      <c r="D43" s="1">
        <v>9.2600345583051222</v>
      </c>
      <c r="E43" s="1">
        <v>113.35308873909626</v>
      </c>
      <c r="H43">
        <f t="shared" si="6"/>
        <v>108</v>
      </c>
      <c r="I43">
        <f t="shared" si="7"/>
        <v>59</v>
      </c>
      <c r="J43">
        <f t="shared" si="8"/>
        <v>72</v>
      </c>
      <c r="K43">
        <f t="shared" si="9"/>
        <v>121</v>
      </c>
    </row>
    <row r="44" spans="4:11" x14ac:dyDescent="0.25">
      <c r="D44" s="1">
        <v>14.494106537424859</v>
      </c>
      <c r="E44" s="1">
        <v>117.10987661870136</v>
      </c>
      <c r="H44">
        <f t="shared" si="6"/>
        <v>113</v>
      </c>
      <c r="I44">
        <f t="shared" si="7"/>
        <v>63</v>
      </c>
      <c r="J44">
        <f t="shared" si="8"/>
        <v>67</v>
      </c>
      <c r="K44">
        <f t="shared" si="9"/>
        <v>117</v>
      </c>
    </row>
    <row r="45" spans="4:11" x14ac:dyDescent="0.25">
      <c r="D45" s="1">
        <v>19.876051621679473</v>
      </c>
      <c r="E45" s="1">
        <v>120.92122370471955</v>
      </c>
      <c r="H45">
        <f t="shared" si="6"/>
        <v>119</v>
      </c>
      <c r="I45">
        <f t="shared" si="7"/>
        <v>67</v>
      </c>
      <c r="J45">
        <f t="shared" si="8"/>
        <v>61</v>
      </c>
      <c r="K45">
        <f t="shared" si="9"/>
        <v>113</v>
      </c>
    </row>
    <row r="46" spans="4:11" x14ac:dyDescent="0.25">
      <c r="D46" s="1">
        <v>25.37039874377686</v>
      </c>
      <c r="E46" s="1">
        <v>124.77859132478758</v>
      </c>
      <c r="H46">
        <f t="shared" si="6"/>
        <v>124</v>
      </c>
      <c r="I46">
        <f t="shared" si="7"/>
        <v>71</v>
      </c>
      <c r="J46">
        <f t="shared" si="8"/>
        <v>56</v>
      </c>
      <c r="K46">
        <f t="shared" si="9"/>
        <v>109</v>
      </c>
    </row>
    <row r="47" spans="4:11" x14ac:dyDescent="0.25">
      <c r="D47" s="1">
        <v>30.94838716606494</v>
      </c>
      <c r="E47" s="1">
        <v>128.66822571665921</v>
      </c>
      <c r="H47">
        <f t="shared" si="6"/>
        <v>130</v>
      </c>
      <c r="I47">
        <f t="shared" si="7"/>
        <v>75</v>
      </c>
      <c r="J47">
        <f t="shared" si="8"/>
        <v>50</v>
      </c>
      <c r="K47">
        <f t="shared" si="9"/>
        <v>105</v>
      </c>
    </row>
    <row r="48" spans="4:11" x14ac:dyDescent="0.25">
      <c r="D48" s="1">
        <v>36.588393185296233</v>
      </c>
      <c r="E48" s="1">
        <v>132.5721112679187</v>
      </c>
      <c r="H48">
        <f t="shared" si="6"/>
        <v>135</v>
      </c>
      <c r="I48">
        <f t="shared" si="7"/>
        <v>79</v>
      </c>
      <c r="J48">
        <f t="shared" si="8"/>
        <v>45</v>
      </c>
      <c r="K48">
        <f t="shared" si="9"/>
        <v>101</v>
      </c>
    </row>
    <row r="49" spans="3:11" x14ac:dyDescent="0.25">
      <c r="D49" s="1">
        <v>49.911949757957785</v>
      </c>
      <c r="E49" s="1">
        <v>165.3482977768733</v>
      </c>
      <c r="H49">
        <f t="shared" si="6"/>
        <v>149</v>
      </c>
      <c r="I49">
        <f t="shared" si="7"/>
        <v>111</v>
      </c>
      <c r="J49">
        <f t="shared" si="8"/>
        <v>31</v>
      </c>
      <c r="K49">
        <f t="shared" si="9"/>
        <v>69</v>
      </c>
    </row>
    <row r="50" spans="3:11" x14ac:dyDescent="0.25">
      <c r="D50" s="1">
        <v>-55.334398825914889</v>
      </c>
      <c r="E50" s="1">
        <v>122.16786860658324</v>
      </c>
      <c r="H50">
        <f t="shared" si="6"/>
        <v>43</v>
      </c>
      <c r="I50">
        <f t="shared" si="7"/>
        <v>68</v>
      </c>
      <c r="J50">
        <f t="shared" si="8"/>
        <v>137</v>
      </c>
      <c r="K50">
        <f t="shared" si="9"/>
        <v>112</v>
      </c>
    </row>
    <row r="51" spans="3:11" x14ac:dyDescent="0.25">
      <c r="D51" s="1">
        <v>-94.218469189267395</v>
      </c>
      <c r="E51" s="1">
        <v>114.59156098088593</v>
      </c>
      <c r="H51">
        <f t="shared" si="6"/>
        <v>5</v>
      </c>
      <c r="I51">
        <f t="shared" si="7"/>
        <v>61</v>
      </c>
      <c r="J51">
        <f t="shared" si="8"/>
        <v>175</v>
      </c>
      <c r="K51">
        <f t="shared" si="9"/>
        <v>119</v>
      </c>
    </row>
    <row r="53" spans="3:11" x14ac:dyDescent="0.25">
      <c r="C53" t="s">
        <v>122</v>
      </c>
      <c r="D53">
        <f>MIN(D36:D51)</f>
        <v>-94.218469189267395</v>
      </c>
      <c r="E53">
        <f>MIN(E36:E51)</f>
        <v>88.048055113611852</v>
      </c>
      <c r="G53" t="s">
        <v>4</v>
      </c>
      <c r="H53" t="s">
        <v>161</v>
      </c>
    </row>
    <row r="54" spans="3:11" x14ac:dyDescent="0.25">
      <c r="C54" t="s">
        <v>123</v>
      </c>
      <c r="D54">
        <f>MAX(D36:D51)</f>
        <v>49.911949757957785</v>
      </c>
      <c r="E54">
        <f>MAX(E36:E51)</f>
        <v>165.3482977768733</v>
      </c>
      <c r="G54" t="s">
        <v>3</v>
      </c>
      <c r="H54" t="s">
        <v>162</v>
      </c>
    </row>
    <row r="55" spans="3:11" x14ac:dyDescent="0.25">
      <c r="H55" t="s">
        <v>163</v>
      </c>
    </row>
    <row r="56" spans="3:11" x14ac:dyDescent="0.25">
      <c r="D56">
        <f>D54-D53</f>
        <v>144.13041894722517</v>
      </c>
      <c r="E56">
        <f>E54-E53</f>
        <v>77.300242663261443</v>
      </c>
      <c r="H56" t="s">
        <v>164</v>
      </c>
    </row>
    <row r="58" spans="3:11" x14ac:dyDescent="0.25">
      <c r="C58" t="s">
        <v>122</v>
      </c>
      <c r="D58">
        <f>MIN( D36:D48)</f>
        <v>-19.559431823447561</v>
      </c>
      <c r="E58">
        <f>MIN( E36:E48)</f>
        <v>88.048055113611852</v>
      </c>
    </row>
    <row r="59" spans="3:11" x14ac:dyDescent="0.25">
      <c r="C59" t="s">
        <v>123</v>
      </c>
      <c r="D59">
        <f>MAX( D36:D48)</f>
        <v>36.588393185296233</v>
      </c>
      <c r="E59">
        <f>MAX( E36:E48)</f>
        <v>132.5721112679187</v>
      </c>
    </row>
    <row r="60" spans="3:11" x14ac:dyDescent="0.25">
      <c r="D60">
        <f>D59-D58</f>
        <v>56.147825008743794</v>
      </c>
      <c r="E60">
        <f>E59-E58</f>
        <v>44.524056154306848</v>
      </c>
    </row>
    <row r="61" spans="3:11" x14ac:dyDescent="0.25">
      <c r="C61" t="s">
        <v>13</v>
      </c>
      <c r="D61">
        <v>0</v>
      </c>
      <c r="E61">
        <v>0</v>
      </c>
      <c r="F61">
        <v>0</v>
      </c>
      <c r="G61">
        <v>0</v>
      </c>
    </row>
  </sheetData>
  <sortState ref="O40:P42">
    <sortCondition descending="1" ref="P40:P42"/>
  </sortState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C8:U92"/>
  <sheetViews>
    <sheetView tabSelected="1" topLeftCell="A22" workbookViewId="0">
      <selection activeCell="G29" sqref="G29"/>
    </sheetView>
  </sheetViews>
  <sheetFormatPr defaultRowHeight="15" x14ac:dyDescent="0.25"/>
  <cols>
    <col min="7" max="7" width="42.7109375" customWidth="1"/>
  </cols>
  <sheetData>
    <row r="8" spans="6:21" x14ac:dyDescent="0.25">
      <c r="F8" t="s">
        <v>141</v>
      </c>
    </row>
    <row r="13" spans="6:21" x14ac:dyDescent="0.25">
      <c r="F13">
        <v>118</v>
      </c>
      <c r="G13">
        <v>108</v>
      </c>
      <c r="H13">
        <v>99</v>
      </c>
      <c r="I13">
        <v>91</v>
      </c>
      <c r="J13">
        <v>84</v>
      </c>
      <c r="K13">
        <v>77</v>
      </c>
      <c r="L13">
        <v>69</v>
      </c>
      <c r="M13">
        <v>61</v>
      </c>
      <c r="N13">
        <v>52</v>
      </c>
      <c r="O13">
        <v>44</v>
      </c>
      <c r="P13">
        <v>35</v>
      </c>
      <c r="Q13">
        <v>27</v>
      </c>
      <c r="R13">
        <v>19</v>
      </c>
      <c r="S13">
        <v>12</v>
      </c>
      <c r="T13">
        <v>66</v>
      </c>
      <c r="U13">
        <v>65</v>
      </c>
    </row>
    <row r="14" spans="6:21" x14ac:dyDescent="0.25">
      <c r="F14">
        <v>161</v>
      </c>
      <c r="G14">
        <v>161</v>
      </c>
      <c r="H14">
        <v>159</v>
      </c>
      <c r="I14">
        <v>154</v>
      </c>
      <c r="J14">
        <v>147</v>
      </c>
      <c r="K14">
        <v>138</v>
      </c>
      <c r="L14">
        <v>127</v>
      </c>
      <c r="M14">
        <v>115</v>
      </c>
      <c r="N14">
        <v>102</v>
      </c>
      <c r="O14">
        <v>89</v>
      </c>
      <c r="P14">
        <v>76</v>
      </c>
      <c r="Q14">
        <v>64</v>
      </c>
      <c r="R14">
        <v>51</v>
      </c>
      <c r="S14">
        <v>56</v>
      </c>
      <c r="T14">
        <v>144</v>
      </c>
      <c r="U14">
        <v>180</v>
      </c>
    </row>
    <row r="18" spans="3:21" x14ac:dyDescent="0.25">
      <c r="F18">
        <f>180 - F13</f>
        <v>62</v>
      </c>
      <c r="G18">
        <f t="shared" ref="G18:U19" si="0">180 - G13</f>
        <v>72</v>
      </c>
      <c r="H18">
        <f t="shared" si="0"/>
        <v>81</v>
      </c>
      <c r="I18">
        <f t="shared" si="0"/>
        <v>89</v>
      </c>
      <c r="J18">
        <f t="shared" si="0"/>
        <v>96</v>
      </c>
      <c r="K18">
        <f t="shared" si="0"/>
        <v>103</v>
      </c>
      <c r="L18">
        <f t="shared" si="0"/>
        <v>111</v>
      </c>
      <c r="M18">
        <f t="shared" si="0"/>
        <v>119</v>
      </c>
      <c r="N18">
        <f t="shared" si="0"/>
        <v>128</v>
      </c>
      <c r="O18">
        <f t="shared" si="0"/>
        <v>136</v>
      </c>
      <c r="P18">
        <f t="shared" si="0"/>
        <v>145</v>
      </c>
      <c r="Q18">
        <f t="shared" si="0"/>
        <v>153</v>
      </c>
      <c r="R18">
        <f t="shared" si="0"/>
        <v>161</v>
      </c>
      <c r="S18">
        <f t="shared" si="0"/>
        <v>168</v>
      </c>
      <c r="T18">
        <f t="shared" si="0"/>
        <v>114</v>
      </c>
      <c r="U18">
        <f t="shared" si="0"/>
        <v>115</v>
      </c>
    </row>
    <row r="19" spans="3:21" x14ac:dyDescent="0.25">
      <c r="F19">
        <f>180 - F14</f>
        <v>19</v>
      </c>
      <c r="G19">
        <f t="shared" si="0"/>
        <v>19</v>
      </c>
      <c r="H19">
        <f t="shared" si="0"/>
        <v>21</v>
      </c>
      <c r="I19">
        <f t="shared" si="0"/>
        <v>26</v>
      </c>
      <c r="J19">
        <f t="shared" si="0"/>
        <v>33</v>
      </c>
      <c r="K19">
        <f t="shared" si="0"/>
        <v>42</v>
      </c>
      <c r="L19">
        <f t="shared" si="0"/>
        <v>53</v>
      </c>
      <c r="M19">
        <f t="shared" si="0"/>
        <v>65</v>
      </c>
      <c r="N19">
        <f t="shared" si="0"/>
        <v>78</v>
      </c>
      <c r="O19">
        <f t="shared" si="0"/>
        <v>91</v>
      </c>
      <c r="P19">
        <f t="shared" si="0"/>
        <v>104</v>
      </c>
      <c r="Q19">
        <f t="shared" si="0"/>
        <v>116</v>
      </c>
      <c r="R19">
        <f t="shared" si="0"/>
        <v>129</v>
      </c>
      <c r="S19">
        <f t="shared" si="0"/>
        <v>124</v>
      </c>
      <c r="T19">
        <f t="shared" si="0"/>
        <v>36</v>
      </c>
      <c r="U19">
        <f t="shared" si="0"/>
        <v>0</v>
      </c>
    </row>
    <row r="25" spans="3:21" x14ac:dyDescent="0.25">
      <c r="D25">
        <f>E25-48</f>
        <v>17</v>
      </c>
      <c r="E25" s="12">
        <f t="shared" ref="E25:E47" si="1">CODE(F25)</f>
        <v>65</v>
      </c>
      <c r="F25" s="12" t="s">
        <v>166</v>
      </c>
      <c r="G25" s="12" t="s">
        <v>194</v>
      </c>
    </row>
    <row r="26" spans="3:21" x14ac:dyDescent="0.25">
      <c r="C26">
        <f>E26-E25</f>
        <v>1</v>
      </c>
      <c r="E26" s="12">
        <f t="shared" si="1"/>
        <v>66</v>
      </c>
      <c r="F26" s="12" t="str">
        <f t="shared" ref="F26:F47" si="2">LEFT(G26)</f>
        <v>B</v>
      </c>
      <c r="G26" s="12" t="s">
        <v>175</v>
      </c>
    </row>
    <row r="27" spans="3:21" x14ac:dyDescent="0.25">
      <c r="C27">
        <f t="shared" ref="C27:C50" si="3">E27-E26</f>
        <v>1</v>
      </c>
      <c r="E27">
        <f t="shared" si="1"/>
        <v>67</v>
      </c>
      <c r="F27" t="str">
        <f t="shared" si="2"/>
        <v>C</v>
      </c>
      <c r="G27" t="s">
        <v>139</v>
      </c>
    </row>
    <row r="28" spans="3:21" x14ac:dyDescent="0.25">
      <c r="C28">
        <f t="shared" si="3"/>
        <v>1</v>
      </c>
      <c r="E28">
        <f t="shared" si="1"/>
        <v>68</v>
      </c>
      <c r="F28" t="str">
        <f t="shared" si="2"/>
        <v>D</v>
      </c>
      <c r="G28" t="s">
        <v>195</v>
      </c>
    </row>
    <row r="29" spans="3:21" x14ac:dyDescent="0.25">
      <c r="C29">
        <f t="shared" si="3"/>
        <v>2</v>
      </c>
      <c r="E29" s="11">
        <f t="shared" si="1"/>
        <v>70</v>
      </c>
      <c r="F29" s="11" t="str">
        <f t="shared" si="2"/>
        <v>F</v>
      </c>
      <c r="G29" s="11" t="s">
        <v>174</v>
      </c>
    </row>
    <row r="30" spans="3:21" x14ac:dyDescent="0.25">
      <c r="C30">
        <f t="shared" si="3"/>
        <v>15</v>
      </c>
      <c r="E30" s="12">
        <f t="shared" si="1"/>
        <v>85</v>
      </c>
      <c r="F30" s="12" t="str">
        <f>LEFT(G42)</f>
        <v>U</v>
      </c>
    </row>
    <row r="31" spans="3:21" x14ac:dyDescent="0.25">
      <c r="C31">
        <f t="shared" si="3"/>
        <v>-13</v>
      </c>
      <c r="E31">
        <f t="shared" si="1"/>
        <v>72</v>
      </c>
      <c r="F31" t="str">
        <f t="shared" si="2"/>
        <v>H</v>
      </c>
      <c r="G31" t="s">
        <v>129</v>
      </c>
    </row>
    <row r="32" spans="3:21" x14ac:dyDescent="0.25">
      <c r="C32">
        <f t="shared" si="3"/>
        <v>1</v>
      </c>
      <c r="E32">
        <f t="shared" si="1"/>
        <v>73</v>
      </c>
      <c r="F32" t="str">
        <f t="shared" si="2"/>
        <v>I</v>
      </c>
      <c r="G32" t="s">
        <v>125</v>
      </c>
    </row>
    <row r="33" spans="3:7" x14ac:dyDescent="0.25">
      <c r="C33">
        <f t="shared" si="3"/>
        <v>1</v>
      </c>
      <c r="E33">
        <f t="shared" si="1"/>
        <v>74</v>
      </c>
      <c r="F33" t="str">
        <f t="shared" si="2"/>
        <v>J</v>
      </c>
      <c r="G33" t="s">
        <v>130</v>
      </c>
    </row>
    <row r="34" spans="3:7" x14ac:dyDescent="0.25">
      <c r="C34">
        <f t="shared" si="3"/>
        <v>2</v>
      </c>
      <c r="E34">
        <f t="shared" si="1"/>
        <v>76</v>
      </c>
      <c r="F34" t="str">
        <f t="shared" si="2"/>
        <v>L</v>
      </c>
      <c r="G34" t="s">
        <v>126</v>
      </c>
    </row>
    <row r="35" spans="3:7" x14ac:dyDescent="0.25">
      <c r="C35">
        <f t="shared" si="3"/>
        <v>1</v>
      </c>
      <c r="E35">
        <f t="shared" si="1"/>
        <v>77</v>
      </c>
      <c r="F35" t="str">
        <f t="shared" si="2"/>
        <v>M</v>
      </c>
      <c r="G35" t="s">
        <v>165</v>
      </c>
    </row>
    <row r="36" spans="3:7" x14ac:dyDescent="0.25">
      <c r="C36">
        <f t="shared" si="3"/>
        <v>2</v>
      </c>
      <c r="E36">
        <f t="shared" si="1"/>
        <v>79</v>
      </c>
      <c r="F36" t="str">
        <f t="shared" si="2"/>
        <v>O</v>
      </c>
      <c r="G36" t="s">
        <v>137</v>
      </c>
    </row>
    <row r="37" spans="3:7" x14ac:dyDescent="0.25">
      <c r="C37">
        <f t="shared" si="3"/>
        <v>1</v>
      </c>
      <c r="E37">
        <f t="shared" si="1"/>
        <v>80</v>
      </c>
      <c r="F37" t="str">
        <f t="shared" si="2"/>
        <v>P</v>
      </c>
      <c r="G37" t="s">
        <v>138</v>
      </c>
    </row>
    <row r="38" spans="3:7" x14ac:dyDescent="0.25">
      <c r="C38">
        <f t="shared" si="3"/>
        <v>1</v>
      </c>
      <c r="E38">
        <f t="shared" si="1"/>
        <v>81</v>
      </c>
      <c r="F38" t="str">
        <f t="shared" si="2"/>
        <v>Q</v>
      </c>
      <c r="G38" t="s">
        <v>144</v>
      </c>
    </row>
    <row r="39" spans="3:7" x14ac:dyDescent="0.25">
      <c r="C39">
        <f t="shared" si="3"/>
        <v>1</v>
      </c>
      <c r="E39">
        <f t="shared" si="1"/>
        <v>82</v>
      </c>
      <c r="F39" t="str">
        <f t="shared" si="2"/>
        <v>R</v>
      </c>
      <c r="G39" t="s">
        <v>128</v>
      </c>
    </row>
    <row r="40" spans="3:7" x14ac:dyDescent="0.25">
      <c r="C40">
        <f t="shared" si="3"/>
        <v>1</v>
      </c>
      <c r="E40">
        <f t="shared" si="1"/>
        <v>83</v>
      </c>
      <c r="F40" t="str">
        <f t="shared" si="2"/>
        <v>S</v>
      </c>
      <c r="G40" t="s">
        <v>127</v>
      </c>
    </row>
    <row r="41" spans="3:7" x14ac:dyDescent="0.25">
      <c r="C41">
        <f t="shared" si="3"/>
        <v>1</v>
      </c>
      <c r="E41">
        <f t="shared" si="1"/>
        <v>84</v>
      </c>
      <c r="F41" t="str">
        <f t="shared" si="2"/>
        <v>T</v>
      </c>
      <c r="G41" t="s">
        <v>176</v>
      </c>
    </row>
    <row r="42" spans="3:7" x14ac:dyDescent="0.25">
      <c r="C42">
        <f t="shared" ref="C42" si="4">E42-E41</f>
        <v>1</v>
      </c>
      <c r="E42">
        <f t="shared" ref="E42" si="5">CODE(F42)</f>
        <v>85</v>
      </c>
      <c r="F42" t="str">
        <f t="shared" ref="F42" si="6">LEFT(G42)</f>
        <v>U</v>
      </c>
      <c r="G42" s="12" t="s">
        <v>193</v>
      </c>
    </row>
    <row r="43" spans="3:7" x14ac:dyDescent="0.25">
      <c r="C43">
        <f t="shared" si="3"/>
        <v>1</v>
      </c>
      <c r="E43">
        <f t="shared" si="1"/>
        <v>86</v>
      </c>
      <c r="F43" t="str">
        <f t="shared" si="2"/>
        <v>V</v>
      </c>
      <c r="G43" t="s">
        <v>140</v>
      </c>
    </row>
    <row r="44" spans="3:7" x14ac:dyDescent="0.25">
      <c r="C44">
        <f t="shared" si="3"/>
        <v>1</v>
      </c>
      <c r="E44">
        <f t="shared" si="1"/>
        <v>87</v>
      </c>
      <c r="F44" t="str">
        <f t="shared" si="2"/>
        <v>W</v>
      </c>
      <c r="G44" t="s">
        <v>133</v>
      </c>
    </row>
    <row r="45" spans="3:7" x14ac:dyDescent="0.25">
      <c r="C45">
        <f t="shared" si="3"/>
        <v>1</v>
      </c>
      <c r="E45">
        <f t="shared" si="1"/>
        <v>88</v>
      </c>
      <c r="F45" t="str">
        <f t="shared" si="2"/>
        <v>X</v>
      </c>
      <c r="G45" t="s">
        <v>134</v>
      </c>
    </row>
    <row r="46" spans="3:7" x14ac:dyDescent="0.25">
      <c r="C46">
        <f t="shared" si="3"/>
        <v>1</v>
      </c>
      <c r="E46">
        <f t="shared" si="1"/>
        <v>89</v>
      </c>
      <c r="F46" t="str">
        <f t="shared" si="2"/>
        <v>Y</v>
      </c>
      <c r="G46" t="s">
        <v>135</v>
      </c>
    </row>
    <row r="47" spans="3:7" x14ac:dyDescent="0.25">
      <c r="C47">
        <f t="shared" si="3"/>
        <v>1</v>
      </c>
      <c r="E47">
        <f t="shared" si="1"/>
        <v>90</v>
      </c>
      <c r="F47" t="str">
        <f t="shared" si="2"/>
        <v>Z</v>
      </c>
      <c r="G47" t="s">
        <v>136</v>
      </c>
    </row>
    <row r="48" spans="3:7" x14ac:dyDescent="0.25">
      <c r="C48">
        <f t="shared" si="3"/>
        <v>1</v>
      </c>
      <c r="E48">
        <f t="shared" ref="E48:E54" si="7">CODE(F48)</f>
        <v>91</v>
      </c>
      <c r="F48" t="str">
        <f t="shared" ref="F48:F53" si="8">LEFT(G48)</f>
        <v>[</v>
      </c>
      <c r="G48" t="s">
        <v>169</v>
      </c>
    </row>
    <row r="49" spans="3:9" x14ac:dyDescent="0.25">
      <c r="C49">
        <f t="shared" si="3"/>
        <v>2</v>
      </c>
      <c r="E49">
        <f t="shared" si="7"/>
        <v>93</v>
      </c>
      <c r="F49" t="str">
        <f t="shared" si="8"/>
        <v>]</v>
      </c>
      <c r="G49" t="s">
        <v>170</v>
      </c>
    </row>
    <row r="50" spans="3:9" x14ac:dyDescent="0.25">
      <c r="C50">
        <f t="shared" si="3"/>
        <v>-24</v>
      </c>
      <c r="E50">
        <f t="shared" si="7"/>
        <v>69</v>
      </c>
      <c r="F50" t="str">
        <f t="shared" si="8"/>
        <v>E</v>
      </c>
      <c r="G50" t="s">
        <v>173</v>
      </c>
    </row>
    <row r="51" spans="3:9" x14ac:dyDescent="0.25">
      <c r="E51">
        <f t="shared" si="7"/>
        <v>75</v>
      </c>
      <c r="F51" t="s">
        <v>177</v>
      </c>
      <c r="G51" t="s">
        <v>181</v>
      </c>
    </row>
    <row r="52" spans="3:9" x14ac:dyDescent="0.25">
      <c r="E52">
        <f t="shared" si="7"/>
        <v>78</v>
      </c>
      <c r="F52" t="s">
        <v>21</v>
      </c>
      <c r="G52" t="s">
        <v>178</v>
      </c>
    </row>
    <row r="53" spans="3:9" x14ac:dyDescent="0.25">
      <c r="E53" t="e">
        <f t="shared" si="7"/>
        <v>#VALUE!</v>
      </c>
      <c r="F53" t="str">
        <f t="shared" si="8"/>
        <v/>
      </c>
    </row>
    <row r="54" spans="3:9" x14ac:dyDescent="0.25">
      <c r="E54" t="e">
        <f t="shared" si="7"/>
        <v>#VALUE!</v>
      </c>
      <c r="G54" t="s">
        <v>150</v>
      </c>
    </row>
    <row r="55" spans="3:9" x14ac:dyDescent="0.25">
      <c r="C55" t="s">
        <v>187</v>
      </c>
      <c r="D55" t="s">
        <v>21</v>
      </c>
      <c r="H55" t="s">
        <v>171</v>
      </c>
    </row>
    <row r="56" spans="3:9" x14ac:dyDescent="0.25">
      <c r="C56">
        <v>0</v>
      </c>
      <c r="D56">
        <v>1</v>
      </c>
      <c r="F56">
        <v>0</v>
      </c>
      <c r="G56" t="s">
        <v>142</v>
      </c>
      <c r="H56">
        <v>0</v>
      </c>
    </row>
    <row r="57" spans="3:9" x14ac:dyDescent="0.25">
      <c r="F57">
        <v>1</v>
      </c>
      <c r="G57" t="s">
        <v>146</v>
      </c>
      <c r="H57">
        <v>15</v>
      </c>
      <c r="I57">
        <v>16</v>
      </c>
    </row>
    <row r="58" spans="3:9" x14ac:dyDescent="0.25">
      <c r="C58" t="s">
        <v>184</v>
      </c>
      <c r="D58" s="13" t="s">
        <v>186</v>
      </c>
      <c r="F58">
        <v>2</v>
      </c>
      <c r="G58" t="s">
        <v>143</v>
      </c>
      <c r="H58">
        <v>5</v>
      </c>
    </row>
    <row r="59" spans="3:9" x14ac:dyDescent="0.25">
      <c r="C59" s="13" t="s">
        <v>185</v>
      </c>
      <c r="D59" s="13" t="s">
        <v>183</v>
      </c>
      <c r="F59">
        <v>3</v>
      </c>
      <c r="G59" t="s">
        <v>148</v>
      </c>
      <c r="H59">
        <v>6</v>
      </c>
    </row>
    <row r="60" spans="3:9" x14ac:dyDescent="0.25">
      <c r="C60" s="13" t="s">
        <v>186</v>
      </c>
      <c r="D60" s="13" t="s">
        <v>188</v>
      </c>
      <c r="F60">
        <v>4</v>
      </c>
      <c r="G60" t="s">
        <v>149</v>
      </c>
      <c r="H60">
        <v>9</v>
      </c>
    </row>
    <row r="61" spans="3:9" x14ac:dyDescent="0.25">
      <c r="F61">
        <v>5</v>
      </c>
      <c r="G61" t="s">
        <v>155</v>
      </c>
    </row>
    <row r="62" spans="3:9" x14ac:dyDescent="0.25">
      <c r="F62">
        <v>6</v>
      </c>
      <c r="G62" t="s">
        <v>156</v>
      </c>
    </row>
    <row r="63" spans="3:9" x14ac:dyDescent="0.25">
      <c r="C63" s="13" t="s">
        <v>183</v>
      </c>
      <c r="D63" s="13" t="s">
        <v>185</v>
      </c>
      <c r="F63">
        <v>7</v>
      </c>
      <c r="G63" t="s">
        <v>172</v>
      </c>
      <c r="H63">
        <v>8</v>
      </c>
    </row>
    <row r="64" spans="3:9" x14ac:dyDescent="0.25">
      <c r="F64">
        <v>8</v>
      </c>
      <c r="G64" t="s">
        <v>180</v>
      </c>
    </row>
    <row r="65" spans="4:7" x14ac:dyDescent="0.25">
      <c r="F65">
        <v>9</v>
      </c>
      <c r="G65" t="s">
        <v>179</v>
      </c>
    </row>
    <row r="66" spans="4:7" x14ac:dyDescent="0.25">
      <c r="F66">
        <v>10</v>
      </c>
    </row>
    <row r="67" spans="4:7" x14ac:dyDescent="0.25">
      <c r="F67">
        <v>11</v>
      </c>
    </row>
    <row r="68" spans="4:7" x14ac:dyDescent="0.25">
      <c r="F68">
        <v>12</v>
      </c>
    </row>
    <row r="69" spans="4:7" x14ac:dyDescent="0.25">
      <c r="F69">
        <v>13</v>
      </c>
    </row>
    <row r="70" spans="4:7" x14ac:dyDescent="0.25">
      <c r="F70">
        <v>14</v>
      </c>
    </row>
    <row r="71" spans="4:7" x14ac:dyDescent="0.25">
      <c r="F71">
        <v>15</v>
      </c>
      <c r="G71" t="s">
        <v>167</v>
      </c>
    </row>
    <row r="72" spans="4:7" x14ac:dyDescent="0.25">
      <c r="F72">
        <v>16</v>
      </c>
      <c r="G72" t="s">
        <v>168</v>
      </c>
    </row>
    <row r="73" spans="4:7" x14ac:dyDescent="0.25">
      <c r="F73">
        <v>17</v>
      </c>
    </row>
    <row r="80" spans="4:7" x14ac:dyDescent="0.25">
      <c r="D80">
        <f>F80+48</f>
        <v>81</v>
      </c>
      <c r="E80" t="str">
        <f>CHAR(48+F80)</f>
        <v>Q</v>
      </c>
      <c r="F80">
        <v>33</v>
      </c>
      <c r="G80" t="s">
        <v>147</v>
      </c>
    </row>
    <row r="81" spans="4:7" x14ac:dyDescent="0.25">
      <c r="D81">
        <f t="shared" ref="D81:D92" si="9">F81+48</f>
        <v>83</v>
      </c>
      <c r="E81" t="str">
        <f t="shared" ref="E81:E92" si="10">CHAR(48+F81)</f>
        <v>S</v>
      </c>
      <c r="F81">
        <f>83-48</f>
        <v>35</v>
      </c>
      <c r="G81" t="s">
        <v>151</v>
      </c>
    </row>
    <row r="82" spans="4:7" x14ac:dyDescent="0.25">
      <c r="D82">
        <f t="shared" si="9"/>
        <v>66</v>
      </c>
      <c r="E82" t="str">
        <f t="shared" si="10"/>
        <v>B</v>
      </c>
      <c r="F82">
        <f>66-48</f>
        <v>18</v>
      </c>
      <c r="G82" t="s">
        <v>152</v>
      </c>
    </row>
    <row r="83" spans="4:7" x14ac:dyDescent="0.25">
      <c r="D83">
        <f t="shared" si="9"/>
        <v>70</v>
      </c>
      <c r="E83" t="str">
        <f t="shared" si="10"/>
        <v>F</v>
      </c>
      <c r="F83">
        <f>70-48</f>
        <v>22</v>
      </c>
      <c r="G83" t="s">
        <v>153</v>
      </c>
    </row>
    <row r="84" spans="4:7" x14ac:dyDescent="0.25">
      <c r="D84">
        <f t="shared" si="9"/>
        <v>65</v>
      </c>
      <c r="E84" t="str">
        <f t="shared" si="10"/>
        <v>A</v>
      </c>
      <c r="F84">
        <v>17</v>
      </c>
      <c r="G84" t="s">
        <v>154</v>
      </c>
    </row>
    <row r="85" spans="4:7" x14ac:dyDescent="0.25">
      <c r="D85">
        <f t="shared" si="9"/>
        <v>48</v>
      </c>
      <c r="E85" t="str">
        <f t="shared" si="10"/>
        <v>0</v>
      </c>
    </row>
    <row r="86" spans="4:7" x14ac:dyDescent="0.25">
      <c r="D86">
        <f t="shared" si="9"/>
        <v>48</v>
      </c>
      <c r="E86" t="str">
        <f t="shared" si="10"/>
        <v>0</v>
      </c>
    </row>
    <row r="87" spans="4:7" x14ac:dyDescent="0.25">
      <c r="D87">
        <f t="shared" si="9"/>
        <v>48</v>
      </c>
      <c r="E87" t="str">
        <f t="shared" si="10"/>
        <v>0</v>
      </c>
    </row>
    <row r="88" spans="4:7" x14ac:dyDescent="0.25">
      <c r="D88">
        <f t="shared" si="9"/>
        <v>48</v>
      </c>
      <c r="E88" t="str">
        <f t="shared" si="10"/>
        <v>0</v>
      </c>
    </row>
    <row r="89" spans="4:7" x14ac:dyDescent="0.25">
      <c r="D89">
        <f t="shared" si="9"/>
        <v>48</v>
      </c>
      <c r="E89" t="str">
        <f t="shared" si="10"/>
        <v>0</v>
      </c>
    </row>
    <row r="90" spans="4:7" x14ac:dyDescent="0.25">
      <c r="D90">
        <f t="shared" si="9"/>
        <v>48</v>
      </c>
      <c r="E90" t="str">
        <f t="shared" si="10"/>
        <v>0</v>
      </c>
    </row>
    <row r="91" spans="4:7" x14ac:dyDescent="0.25">
      <c r="D91">
        <f t="shared" si="9"/>
        <v>48</v>
      </c>
      <c r="E91" t="str">
        <f t="shared" si="10"/>
        <v>0</v>
      </c>
    </row>
    <row r="92" spans="4:7" x14ac:dyDescent="0.25">
      <c r="D92">
        <f t="shared" si="9"/>
        <v>48</v>
      </c>
      <c r="E92" t="str">
        <f t="shared" si="10"/>
        <v>0</v>
      </c>
    </row>
  </sheetData>
  <sortState ref="D25:G48">
    <sortCondition ref="E25:E48"/>
  </sortState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CodezAndroid</vt:lpstr>
      <vt:lpstr>5LeverTailRectangle</vt:lpstr>
      <vt:lpstr>CALC60</vt:lpstr>
      <vt:lpstr>5LeverTailRectangle (2)</vt:lpstr>
      <vt:lpstr>Лист3</vt:lpstr>
      <vt:lpstr>Cmnds</vt:lpstr>
      <vt:lpstr>ReCalc</vt:lpstr>
    </vt:vector>
  </TitlesOfParts>
  <Company>Home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</dc:creator>
  <cp:lastModifiedBy>ydom</cp:lastModifiedBy>
  <cp:lastPrinted>2021-08-07T19:11:28Z</cp:lastPrinted>
  <dcterms:created xsi:type="dcterms:W3CDTF">2017-12-21T16:41:39Z</dcterms:created>
  <dcterms:modified xsi:type="dcterms:W3CDTF">2021-10-20T00:34:06Z</dcterms:modified>
</cp:coreProperties>
</file>